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<sst xmlns="http://schemas.openxmlformats.org/spreadsheetml/2006/main" uniqueCount="988">
  <si>
    <t>SPCoast Part Inventory</t>
  </si>
  <si>
    <t>IPN</t>
  </si>
  <si>
    <t>Name</t>
  </si>
  <si>
    <t>Keywords</t>
  </si>
  <si>
    <t>link</t>
  </si>
  <si>
    <t>Category</t>
  </si>
  <si>
    <t>Generic</t>
  </si>
  <si>
    <t>Description</t>
  </si>
  <si>
    <t>SMD</t>
  </si>
  <si>
    <t>Value</t>
  </si>
  <si>
    <t>Type</t>
  </si>
  <si>
    <t>Tolerance</t>
  </si>
  <si>
    <t>V</t>
  </si>
  <si>
    <t>A</t>
  </si>
  <si>
    <t>W</t>
  </si>
  <si>
    <t>Angle</t>
  </si>
  <si>
    <t>Wavelength</t>
  </si>
  <si>
    <t>mcd</t>
  </si>
  <si>
    <t>Frequency</t>
  </si>
  <si>
    <t>Stability</t>
  </si>
  <si>
    <t>Load</t>
  </si>
  <si>
    <t>Family</t>
  </si>
  <si>
    <t>Form</t>
  </si>
  <si>
    <t>Pins</t>
  </si>
  <si>
    <t>Pitch</t>
  </si>
  <si>
    <t>Package</t>
  </si>
  <si>
    <t>LCSC</t>
  </si>
  <si>
    <t>Manufacturer</t>
  </si>
  <si>
    <t>MFGPN</t>
  </si>
  <si>
    <t>assembly</t>
  </si>
  <si>
    <t>purchaseable</t>
  </si>
  <si>
    <t>Symbol</t>
  </si>
  <si>
    <t>Footprint</t>
  </si>
  <si>
    <t>Priority</t>
  </si>
  <si>
    <t>ACTIVE</t>
  </si>
  <si>
    <t>Reorder</t>
  </si>
  <si>
    <t>Location</t>
  </si>
  <si>
    <t>total_in_stock</t>
  </si>
  <si>
    <t>Order
Quantity</t>
  </si>
  <si>
    <t>QUOTED
EA</t>
  </si>
  <si>
    <t>QUOTED TOTAL</t>
  </si>
  <si>
    <t>Datasheet</t>
  </si>
  <si>
    <r>
      <rPr>
        <sz val="10"/>
        <color indexed="8"/>
        <rFont val="Arial"/>
      </rPr>
      <t>SLK_BRD_80x100</t>
    </r>
  </si>
  <si>
    <r>
      <rPr>
        <sz val="10"/>
        <color indexed="8"/>
        <rFont val="Arial"/>
      </rPr>
      <t>BRD_80x100 Board Outline &amp; Milling</t>
    </r>
  </si>
  <si>
    <r>
      <rPr>
        <sz val="10"/>
        <color indexed="8"/>
        <rFont val="Arial"/>
      </rPr>
      <t>SLK_BRD_80x100 BRD_80x100 SLK Board Outline &amp; Milling</t>
    </r>
  </si>
  <si>
    <t>SLK</t>
  </si>
  <si>
    <t>PCB Board outline with mounting holes - fits Tyco 3 mounting rail</t>
  </si>
  <si>
    <t>BRD_80x100</t>
  </si>
  <si>
    <t>Board Outline &amp; Milling</t>
  </si>
  <si>
    <t>SPCoast:Board</t>
  </si>
  <si>
    <t>SPCoast:Board_080x100</t>
  </si>
  <si>
    <t>DNP</t>
  </si>
  <si>
    <t>-na-</t>
  </si>
  <si>
    <t>SPCoast</t>
  </si>
  <si>
    <r>
      <rPr>
        <sz val="10"/>
        <color indexed="8"/>
        <rFont val="Arial"/>
      </rPr>
      <t>SLK_BRD_100x50</t>
    </r>
  </si>
  <si>
    <r>
      <rPr>
        <sz val="10"/>
        <color indexed="8"/>
        <rFont val="Arial"/>
      </rPr>
      <t>BRD_100x50 Board Outline &amp; Milling</t>
    </r>
  </si>
  <si>
    <r>
      <rPr>
        <sz val="10"/>
        <color indexed="8"/>
        <rFont val="Arial"/>
      </rPr>
      <t>BRD_100x50 SLK Board Outline &amp; Milling</t>
    </r>
  </si>
  <si>
    <t>PCB Board outline with mounting holes</t>
  </si>
  <si>
    <t>BRD_100x50</t>
  </si>
  <si>
    <t>SPCoast:Board_100x050</t>
  </si>
  <si>
    <r>
      <rPr>
        <sz val="10"/>
        <color indexed="8"/>
        <rFont val="Arial"/>
      </rPr>
      <t>SLK_BRD_100x25x2</t>
    </r>
  </si>
  <si>
    <r>
      <rPr>
        <sz val="10"/>
        <color indexed="8"/>
        <rFont val="Arial"/>
      </rPr>
      <t>BRD_100x25x2 Board Outline &amp; Milling</t>
    </r>
  </si>
  <si>
    <r>
      <rPr>
        <sz val="10"/>
        <color indexed="8"/>
        <rFont val="Arial"/>
      </rPr>
      <t>BRD_100x25x2 SLK Board Outline &amp; Milling</t>
    </r>
  </si>
  <si>
    <t>BRD_100x25x2</t>
  </si>
  <si>
    <t>SPCoast:Board_100x050_2</t>
  </si>
  <si>
    <r>
      <rPr>
        <sz val="10"/>
        <color indexed="8"/>
        <rFont val="Arial"/>
      </rPr>
      <t>SLK_BRD_100x75</t>
    </r>
  </si>
  <si>
    <r>
      <rPr>
        <sz val="10"/>
        <color indexed="8"/>
        <rFont val="Arial"/>
      </rPr>
      <t>BRD_100x75 Board Outline &amp; Milling</t>
    </r>
  </si>
  <si>
    <r>
      <rPr>
        <sz val="10"/>
        <color indexed="8"/>
        <rFont val="Arial"/>
      </rPr>
      <t>BRD_100x75 SLK Board Outline &amp; Milling</t>
    </r>
  </si>
  <si>
    <t>BRD_100x75</t>
  </si>
  <si>
    <t>SPCoast:Board_100x075</t>
  </si>
  <si>
    <t>PCB Board outline with mounting holes  large radius corners</t>
  </si>
  <si>
    <t>SPCoast:Board_100x075_Rounded</t>
  </si>
  <si>
    <r>
      <rPr>
        <sz val="10"/>
        <color indexed="8"/>
        <rFont val="Arial"/>
      </rPr>
      <t>SLK_BRD_100x100</t>
    </r>
  </si>
  <si>
    <r>
      <rPr>
        <sz val="10"/>
        <color indexed="8"/>
        <rFont val="Arial"/>
      </rPr>
      <t>BRD_100x100 Board Outline &amp; Milling</t>
    </r>
  </si>
  <si>
    <r>
      <rPr>
        <sz val="10"/>
        <color indexed="8"/>
        <rFont val="Arial"/>
      </rPr>
      <t>BRD_100x100 SLK Board Outline &amp; Milling</t>
    </r>
  </si>
  <si>
    <t>BRD_100x100</t>
  </si>
  <si>
    <t>SPCoast:Board_100x100</t>
  </si>
  <si>
    <r>
      <rPr>
        <sz val="10"/>
        <color indexed="8"/>
        <rFont val="Arial"/>
      </rPr>
      <t>SLK_BRD_100x150</t>
    </r>
  </si>
  <si>
    <r>
      <rPr>
        <sz val="10"/>
        <color indexed="8"/>
        <rFont val="Arial"/>
      </rPr>
      <t>BRD_100x150 Board Outline &amp; Milling</t>
    </r>
  </si>
  <si>
    <r>
      <rPr>
        <sz val="10"/>
        <color indexed="8"/>
        <rFont val="Arial"/>
      </rPr>
      <t>BRD_100x150 SLK Board Outline &amp; Milling</t>
    </r>
  </si>
  <si>
    <t>BRD_100x150</t>
  </si>
  <si>
    <t>SPCoast:Board_100x150</t>
  </si>
  <si>
    <r>
      <rPr>
        <sz val="10"/>
        <color indexed="8"/>
        <rFont val="Arial"/>
      </rPr>
      <t>SLK_BRD_100x200</t>
    </r>
  </si>
  <si>
    <r>
      <rPr>
        <sz val="10"/>
        <color indexed="8"/>
        <rFont val="Arial"/>
      </rPr>
      <t>BRD_100x200 Board Outline &amp; Milling</t>
    </r>
  </si>
  <si>
    <r>
      <rPr>
        <sz val="10"/>
        <color indexed="8"/>
        <rFont val="Arial"/>
      </rPr>
      <t>BRD_100x200 SLK Board Outline &amp; Milling</t>
    </r>
  </si>
  <si>
    <t>BRD_100x200</t>
  </si>
  <si>
    <t>SPCoast:Board_100x200</t>
  </si>
  <si>
    <r>
      <rPr>
        <sz val="10"/>
        <color indexed="8"/>
        <rFont val="Arial"/>
      </rPr>
      <t>SLK_DCPower+</t>
    </r>
  </si>
  <si>
    <r>
      <rPr>
        <sz val="10"/>
        <color indexed="8"/>
        <rFont val="Arial"/>
      </rPr>
      <t>DCPower+ SilkScreen</t>
    </r>
  </si>
  <si>
    <r>
      <rPr>
        <sz val="10"/>
        <color indexed="8"/>
        <rFont val="Arial"/>
      </rPr>
      <t>DCPower+ SLK SilkScreen</t>
    </r>
  </si>
  <si>
    <t>DC Power Jack Label</t>
  </si>
  <si>
    <t>DCPower+</t>
  </si>
  <si>
    <t>SilkScreen</t>
  </si>
  <si>
    <t>SPCoast:DOC_Label-Power_CP</t>
  </si>
  <si>
    <t>SPCoast:SILK_Label-Power_CP</t>
  </si>
  <si>
    <r>
      <rPr>
        <sz val="10"/>
        <color indexed="8"/>
        <rFont val="Arial"/>
      </rPr>
      <t>SLK_DCPower-</t>
    </r>
  </si>
  <si>
    <r>
      <rPr>
        <sz val="10"/>
        <color indexed="8"/>
        <rFont val="Arial"/>
      </rPr>
      <t>DCPower- SilkScreen</t>
    </r>
  </si>
  <si>
    <r>
      <rPr>
        <sz val="10"/>
        <color indexed="8"/>
        <rFont val="Arial"/>
      </rPr>
      <t>DCPower- SLK SilkScreen</t>
    </r>
  </si>
  <si>
    <t>DCPower-</t>
  </si>
  <si>
    <t>SPCoast:DOC_Label-Power_CN</t>
  </si>
  <si>
    <t>SPCoast:SILK_Label-Power_CN</t>
  </si>
  <si>
    <r>
      <rPr>
        <sz val="10"/>
        <color indexed="8"/>
        <rFont val="Arial"/>
      </rPr>
      <t>SLK_CA65</t>
    </r>
  </si>
  <si>
    <r>
      <rPr>
        <sz val="10"/>
        <color indexed="8"/>
        <rFont val="Arial"/>
      </rPr>
      <t>CA65 SilkScreen</t>
    </r>
  </si>
  <si>
    <r>
      <rPr>
        <sz val="10"/>
        <color indexed="8"/>
        <rFont val="Arial"/>
      </rPr>
      <t>CA65 SLK SilkScreen</t>
    </r>
  </si>
  <si>
    <t>California Prop 65 warning</t>
  </si>
  <si>
    <t>CA65</t>
  </si>
  <si>
    <t>SPCoast:DOC_Label-CA65</t>
  </si>
  <si>
    <t>SPCoast:SILK_Label-CA65</t>
  </si>
  <si>
    <r>
      <rPr>
        <sz val="10"/>
        <color indexed="8"/>
        <rFont val="Arial"/>
      </rPr>
      <t>SLK_CC-by-sa</t>
    </r>
  </si>
  <si>
    <r>
      <rPr>
        <sz val="10"/>
        <color indexed="8"/>
        <rFont val="Arial"/>
      </rPr>
      <t>CC-by-sa SilkScreen</t>
    </r>
  </si>
  <si>
    <r>
      <rPr>
        <sz val="10"/>
        <color indexed="8"/>
        <rFont val="Arial"/>
      </rPr>
      <t>CC-by-sa SLK SilkScreen</t>
    </r>
  </si>
  <si>
    <t>Creative Commons License 3.0</t>
  </si>
  <si>
    <t>CC-by-sa</t>
  </si>
  <si>
    <t>SPCoast:DOC_License-CC-BY-SA</t>
  </si>
  <si>
    <t>SPCoast:SILK_License-CC-by-sa</t>
  </si>
  <si>
    <r>
      <rPr>
        <sz val="10"/>
        <color indexed="8"/>
        <rFont val="Arial"/>
      </rPr>
      <t>SLK_Logo_MRCS</t>
    </r>
  </si>
  <si>
    <r>
      <rPr>
        <sz val="10"/>
        <color indexed="8"/>
        <rFont val="Arial"/>
      </rPr>
      <t>Logo_MRCS SilkScreen</t>
    </r>
  </si>
  <si>
    <r>
      <rPr>
        <sz val="10"/>
        <color indexed="8"/>
        <rFont val="Arial"/>
      </rPr>
      <t>Logo_MRCS SLK SilkScreen</t>
    </r>
  </si>
  <si>
    <t>MRCS PCB Logo</t>
  </si>
  <si>
    <t>Logo_MRCS</t>
  </si>
  <si>
    <t>SPCoast:DOC_Logo-MRCS</t>
  </si>
  <si>
    <t>SPCoast:SILK_Logo-MRCS</t>
  </si>
  <si>
    <r>
      <rPr>
        <sz val="10"/>
        <color indexed="8"/>
        <rFont val="Arial"/>
      </rPr>
      <t>SLK_Logo_SPCoast</t>
    </r>
  </si>
  <si>
    <r>
      <rPr>
        <sz val="10"/>
        <color indexed="8"/>
        <rFont val="Arial"/>
      </rPr>
      <t>Logo_SPCoast SilkScreen</t>
    </r>
  </si>
  <si>
    <r>
      <rPr>
        <sz val="10"/>
        <color indexed="8"/>
        <rFont val="Arial"/>
      </rPr>
      <t>Logo_SPCoast SLK SilkScreen</t>
    </r>
  </si>
  <si>
    <t>SPCoast PCB Logo</t>
  </si>
  <si>
    <t>Logo_SPCoast</t>
  </si>
  <si>
    <t>SPCoast:DOC_Logo-SPCoast</t>
  </si>
  <si>
    <t>SPCoast:SILK_Logo-SPCoast</t>
  </si>
  <si>
    <r>
      <rPr>
        <sz val="10"/>
        <color indexed="8"/>
        <rFont val="Arial"/>
      </rPr>
      <t>SLK_Power_Draw</t>
    </r>
  </si>
  <si>
    <r>
      <rPr>
        <sz val="10"/>
        <color indexed="8"/>
        <rFont val="Arial"/>
      </rPr>
      <t>Power_Draw SilkScreen</t>
    </r>
  </si>
  <si>
    <r>
      <rPr>
        <sz val="10"/>
        <color indexed="8"/>
        <rFont val="Arial"/>
      </rPr>
      <t>Power_Draw SLK SilkScreen</t>
    </r>
  </si>
  <si>
    <t>SPCoast Power Consumption Label</t>
  </si>
  <si>
    <t>Power_Draw</t>
  </si>
  <si>
    <t>SPCoast:DOC_Label-Current-Sink</t>
  </si>
  <si>
    <t>SPCoast:SILK_Label-Current-Sink</t>
  </si>
  <si>
    <r>
      <rPr>
        <sz val="10"/>
        <color indexed="8"/>
        <rFont val="Arial"/>
      </rPr>
      <t>SLK_Power_Provide</t>
    </r>
  </si>
  <si>
    <r>
      <rPr>
        <sz val="10"/>
        <color indexed="8"/>
        <rFont val="Arial"/>
      </rPr>
      <t>Power_Provide SilkScreen</t>
    </r>
  </si>
  <si>
    <r>
      <rPr>
        <sz val="10"/>
        <color indexed="8"/>
        <rFont val="Arial"/>
      </rPr>
      <t>Power_Provide SLK SilkScreen</t>
    </r>
  </si>
  <si>
    <t>SPCoast Power Provision Label</t>
  </si>
  <si>
    <t>Power_Provide</t>
  </si>
  <si>
    <t>SPCoast:DOC_Label-Current-Source</t>
  </si>
  <si>
    <t>SPCoast:SILK_Label-Current-Source</t>
  </si>
  <si>
    <r>
      <rPr>
        <sz val="10"/>
        <color indexed="8"/>
        <rFont val="Arial"/>
      </rPr>
      <t>SWI_EDG-104</t>
    </r>
  </si>
  <si>
    <r>
      <rPr>
        <sz val="10"/>
        <color indexed="8"/>
        <rFont val="Arial"/>
      </rPr>
      <t>EDG-104 SPSTx4 DIP</t>
    </r>
  </si>
  <si>
    <r>
      <rPr>
        <sz val="10"/>
        <color indexed="8"/>
        <rFont val="Arial"/>
      </rPr>
      <t>EDG-104 SWI SPSTx4 DIP</t>
    </r>
  </si>
  <si>
    <r>
      <rPr>
        <u val="single"/>
        <sz val="10"/>
        <color indexed="8"/>
        <rFont val="Arial"/>
      </rPr>
      <t>C840579</t>
    </r>
  </si>
  <si>
    <t>SWI</t>
  </si>
  <si>
    <t>SPST x4 DIP Switch</t>
  </si>
  <si>
    <t>PTH</t>
  </si>
  <si>
    <t>EDG-104</t>
  </si>
  <si>
    <t>SPSTx4 DIP</t>
  </si>
  <si>
    <t>0.3"</t>
  </si>
  <si>
    <t>2x4</t>
  </si>
  <si>
    <t>0.1"</t>
  </si>
  <si>
    <t>DIP-8</t>
  </si>
  <si>
    <t>C840579</t>
  </si>
  <si>
    <t>ECE</t>
  </si>
  <si>
    <t>EDG104S</t>
  </si>
  <si>
    <t>SPCoast:SW-EDG-04</t>
  </si>
  <si>
    <t>Available</t>
  </si>
  <si>
    <r>
      <rPr>
        <u val="single"/>
        <sz val="10"/>
        <color indexed="8"/>
        <rFont val="Arial"/>
      </rPr>
      <t>https://wmsc.lcsc.com/wmsc/upload/file/pdf/v2/lcsc/2311231642_ECE-EDG104S33_C840579.pdf</t>
    </r>
  </si>
  <si>
    <r>
      <rPr>
        <sz val="10"/>
        <color indexed="8"/>
        <rFont val="Arial"/>
      </rPr>
      <t>SWI_6x6x6mm_PTH</t>
    </r>
  </si>
  <si>
    <r>
      <rPr>
        <sz val="10"/>
        <color indexed="8"/>
        <rFont val="Arial"/>
      </rPr>
      <t>6x6x6mm_PTH SPSTx1 6mm Momentary</t>
    </r>
  </si>
  <si>
    <r>
      <rPr>
        <sz val="10"/>
        <color indexed="8"/>
        <rFont val="Arial"/>
      </rPr>
      <t>6x6x6mm_PTH SWI SPSTx1 6mm Momentary</t>
    </r>
  </si>
  <si>
    <r>
      <rPr>
        <u val="single"/>
        <sz val="10"/>
        <color indexed="8"/>
        <rFont val="Arial"/>
      </rPr>
      <t>C5340138</t>
    </r>
  </si>
  <si>
    <t>Round Button Direct Insert SPST 6mm 5.5mm 50mA 100M 100 000 Times 12V 250gf Plugin Tactile Switch</t>
  </si>
  <si>
    <t>6x6x6mm_PTH</t>
  </si>
  <si>
    <t>SPSTx1 6mm Momentary</t>
  </si>
  <si>
    <t>2x2</t>
  </si>
  <si>
    <t>6mm button</t>
  </si>
  <si>
    <t>C5340138</t>
  </si>
  <si>
    <t>hanxia</t>
  </si>
  <si>
    <t>HX TS666CJ 250gf 009</t>
  </si>
  <si>
    <t>SPCoast:SW_Push</t>
  </si>
  <si>
    <t>SPCoast:SW_Push_SPST_6mmx6mm_PTH</t>
  </si>
  <si>
    <t>JLC</t>
  </si>
  <si>
    <r>
      <rPr>
        <u val="single"/>
        <sz val="10"/>
        <color indexed="8"/>
        <rFont val="Arial"/>
      </rPr>
      <t>https://wmsc.lcsc.com/wmsc/upload/file/pdf/v2/lcsc/2212291730_hanxia-HX-TS666CJ-250gf-009_C5340138.pdf</t>
    </r>
  </si>
  <si>
    <r>
      <rPr>
        <sz val="10"/>
        <color indexed="8"/>
        <rFont val="Arial"/>
      </rPr>
      <t>SWI_6x6x6mm_SMD</t>
    </r>
  </si>
  <si>
    <r>
      <rPr>
        <sz val="10"/>
        <color indexed="8"/>
        <rFont val="Arial"/>
      </rPr>
      <t>6x6x6mm_SMD SPSTx1 6mm Momentary</t>
    </r>
  </si>
  <si>
    <r>
      <rPr>
        <sz val="10"/>
        <color indexed="8"/>
        <rFont val="Arial"/>
      </rPr>
      <t>6x6x6mm_SMD SWI SPSTx1 6mm Momentary</t>
    </r>
  </si>
  <si>
    <r>
      <rPr>
        <u val="single"/>
        <sz val="10"/>
        <color indexed="8"/>
        <rFont val="Arial"/>
      </rPr>
      <t>C5340123</t>
    </r>
  </si>
  <si>
    <t>Round Button Standing paste SPST 6mm 6mm 6mm 50mA 100M 100 000 Times 12V 250gf SMD Tactile Switch</t>
  </si>
  <si>
    <t>6x6x6mm_SMD</t>
  </si>
  <si>
    <t>C5340123</t>
  </si>
  <si>
    <t>HX TS666TP 250gf 009</t>
  </si>
  <si>
    <t>SPCoast:SW_Push_SPST_6mmx6mm_SMT</t>
  </si>
  <si>
    <r>
      <rPr>
        <u val="single"/>
        <sz val="10"/>
        <color indexed="8"/>
        <rFont val="Arial"/>
      </rPr>
      <t>https://wmsc.lcsc.com/wmsc/upload/file/pdf/v2/lcsc/2212271430_hanxia-HX-TS666TP-250gf-009_C5340123.pdf</t>
    </r>
  </si>
  <si>
    <r>
      <rPr>
        <sz val="10"/>
        <color indexed="8"/>
        <rFont val="Arial"/>
      </rPr>
      <t>CON_TC2030-NL</t>
    </r>
  </si>
  <si>
    <r>
      <rPr>
        <sz val="10"/>
        <color indexed="8"/>
        <rFont val="Arial"/>
      </rPr>
      <t>TC2030-NL SilkScreen &amp; Pads</t>
    </r>
  </si>
  <si>
    <r>
      <rPr>
        <sz val="10"/>
        <color indexed="8"/>
        <rFont val="Arial"/>
      </rPr>
      <t>TC2030-NL CON SilkScreen &amp; Pads</t>
    </r>
  </si>
  <si>
    <t>CON</t>
  </si>
  <si>
    <t>Tag Connect “No Legs” 6-pin Plug-of-Nails™ programming cable with a 6-pin 0.1″ pitch ribbon connector.</t>
  </si>
  <si>
    <t>TC2030-NL</t>
  </si>
  <si>
    <t>SilkScreen &amp; Pads</t>
  </si>
  <si>
    <t>NL</t>
  </si>
  <si>
    <t>2x3</t>
  </si>
  <si>
    <t>Tag Connect</t>
  </si>
  <si>
    <t>SPCoast:TC2030-IDC</t>
  </si>
  <si>
    <t>SPCoast:Tag-Connect_TC2030-IDC-NL_2x03_P1.27mm_Vertical</t>
  </si>
  <si>
    <r>
      <rPr>
        <sz val="10"/>
        <color indexed="8"/>
        <rFont val="Arial"/>
      </rPr>
      <t>CON_TC2030-FP</t>
    </r>
  </si>
  <si>
    <r>
      <rPr>
        <sz val="10"/>
        <color indexed="8"/>
        <rFont val="Arial"/>
      </rPr>
      <t>TC2030-FP SilkScreen &amp; Pads</t>
    </r>
  </si>
  <si>
    <r>
      <rPr>
        <sz val="10"/>
        <color indexed="8"/>
        <rFont val="Arial"/>
      </rPr>
      <t>TC2030-FP CON SilkScreen &amp; Pads</t>
    </r>
  </si>
  <si>
    <t>Tag Connect “With Legs” 6-pin Plug-of-Nails™ programming cable with a 6-pin 0.1″ pitch ribbon connector.</t>
  </si>
  <si>
    <t>TC2030-FP</t>
  </si>
  <si>
    <t>Legs</t>
  </si>
  <si>
    <t>SPCoast:Tag-Connect_TC2030-IDC-FP_2x03_P1.27mm_Vertical</t>
  </si>
  <si>
    <r>
      <rPr>
        <sz val="10"/>
        <color indexed="8"/>
        <rFont val="Arial"/>
      </rPr>
      <t>CON_TC2050-NL</t>
    </r>
  </si>
  <si>
    <r>
      <rPr>
        <sz val="10"/>
        <color indexed="8"/>
        <rFont val="Arial"/>
      </rPr>
      <t>TC2050-NL SilkScreen &amp; Pads</t>
    </r>
  </si>
  <si>
    <r>
      <rPr>
        <sz val="10"/>
        <color indexed="8"/>
        <rFont val="Arial"/>
      </rPr>
      <t>TC2050-NL CON SilkScreen &amp; Pads</t>
    </r>
  </si>
  <si>
    <t>Tag Connect “No Legs”10-pin Plug-of-Nails™ programming cable with a 10-pin 0.1″ pitch ribbon connector.</t>
  </si>
  <si>
    <t>TC2050-NL</t>
  </si>
  <si>
    <t>2x5</t>
  </si>
  <si>
    <t>SPCoast:TC2050-IDC</t>
  </si>
  <si>
    <t>SPCoast:Tag-Connect_TC2050-IDC-NL_2x05_P1.27mm_Vertical</t>
  </si>
  <si>
    <r>
      <rPr>
        <sz val="10"/>
        <color indexed="8"/>
        <rFont val="Arial"/>
      </rPr>
      <t>CON_TC2050-FP</t>
    </r>
  </si>
  <si>
    <r>
      <rPr>
        <sz val="10"/>
        <color indexed="8"/>
        <rFont val="Arial"/>
      </rPr>
      <t>TC2050-FP SilkScreen &amp; Pads</t>
    </r>
  </si>
  <si>
    <r>
      <rPr>
        <sz val="10"/>
        <color indexed="8"/>
        <rFont val="Arial"/>
      </rPr>
      <t>TC2050-FP CON SilkScreen &amp; Pads</t>
    </r>
  </si>
  <si>
    <t>Tag Connect “With Legs” 10-pin Plug-of-Nails™ programming cable with a10-pin 0.1″ pitch ribbon connector.</t>
  </si>
  <si>
    <t>TC2050-FP</t>
  </si>
  <si>
    <t>SPCoast:Tag-Connect_TC2050-IDC-FP_2x05_P1.27mm_Vertical</t>
  </si>
  <si>
    <r>
      <rPr>
        <sz val="10"/>
        <color indexed="8"/>
        <rFont val="Arial"/>
      </rPr>
      <t>CON_TC2070-FP</t>
    </r>
  </si>
  <si>
    <r>
      <rPr>
        <sz val="10"/>
        <color indexed="8"/>
        <rFont val="Arial"/>
      </rPr>
      <t>TC2070-FP SilkScreen &amp; Pads</t>
    </r>
  </si>
  <si>
    <r>
      <rPr>
        <sz val="10"/>
        <color indexed="8"/>
        <rFont val="Arial"/>
      </rPr>
      <t>TC2070-FP CON SilkScreen &amp; Pads</t>
    </r>
  </si>
  <si>
    <t>Tag Connect “With Legs” 14-pin Plug-of-Nails™ programming cable with a 14-pin 0.1″ pitch ribbon connector.</t>
  </si>
  <si>
    <t>TC2070-FP</t>
  </si>
  <si>
    <t>2x7</t>
  </si>
  <si>
    <t>SPCoast:TC2070-IDC</t>
  </si>
  <si>
    <t>SPCoast:Tag-Connect_TC2070-IDC-FP_2x07_P1.27mm_Vertical</t>
  </si>
  <si>
    <r>
      <rPr>
        <sz val="10"/>
        <color indexed="8"/>
        <rFont val="Arial"/>
      </rPr>
      <t>CON_DCJ0202</t>
    </r>
  </si>
  <si>
    <r>
      <rPr>
        <sz val="10"/>
        <color indexed="8"/>
        <rFont val="Arial"/>
      </rPr>
      <t>DCJ0202 Power Connector</t>
    </r>
  </si>
  <si>
    <r>
      <rPr>
        <sz val="10"/>
        <color indexed="8"/>
        <rFont val="Arial"/>
      </rPr>
      <t>DCJ0202 CON Power Connector</t>
    </r>
  </si>
  <si>
    <t>DC Jack 0202</t>
  </si>
  <si>
    <t>DCJ0202</t>
  </si>
  <si>
    <t>Power Connector</t>
  </si>
  <si>
    <t>3x</t>
  </si>
  <si>
    <t>SPCoast:Conn_DC_POWER</t>
  </si>
  <si>
    <t>SPCoast:DCJ0202</t>
  </si>
  <si>
    <r>
      <rPr>
        <sz val="10"/>
        <color indexed="8"/>
        <rFont val="Arial"/>
      </rPr>
      <t>CON_1x02-0.100</t>
    </r>
  </si>
  <si>
    <r>
      <rPr>
        <sz val="10"/>
        <color indexed="8"/>
        <rFont val="Arial"/>
      </rPr>
      <t>1x02-0.100 Male Header</t>
    </r>
  </si>
  <si>
    <r>
      <rPr>
        <sz val="10"/>
        <color indexed="8"/>
        <rFont val="Arial"/>
      </rPr>
      <t>1x02-0.100 CON Male Header</t>
    </r>
  </si>
  <si>
    <t>Connector 1x02 0.100</t>
  </si>
  <si>
    <t>1x02-0.100</t>
  </si>
  <si>
    <t>Male Header</t>
  </si>
  <si>
    <t>1x2</t>
  </si>
  <si>
    <t>0.1</t>
  </si>
  <si>
    <t>SPCoast:Conn_01x02</t>
  </si>
  <si>
    <t>SPCoast:Connector_01x02_V</t>
  </si>
  <si>
    <r>
      <rPr>
        <sz val="10"/>
        <color indexed="8"/>
        <rFont val="Arial"/>
      </rPr>
      <t>CON_1x03-0.100</t>
    </r>
  </si>
  <si>
    <r>
      <rPr>
        <sz val="10"/>
        <color indexed="8"/>
        <rFont val="Arial"/>
      </rPr>
      <t>1x03-0.100 Male Header</t>
    </r>
  </si>
  <si>
    <r>
      <rPr>
        <sz val="10"/>
        <color indexed="8"/>
        <rFont val="Arial"/>
      </rPr>
      <t>1x03-0.100 CON Male Header</t>
    </r>
  </si>
  <si>
    <t>Connector 1x03 0.100</t>
  </si>
  <si>
    <t>1x03-0.100</t>
  </si>
  <si>
    <t>1x3</t>
  </si>
  <si>
    <t>SPCoast:Conn_01x03</t>
  </si>
  <si>
    <t>SPCoast:Connector_01x03_V</t>
  </si>
  <si>
    <r>
      <rPr>
        <sz val="10"/>
        <color indexed="8"/>
        <rFont val="Arial"/>
      </rPr>
      <t>CON_1x04-0.100</t>
    </r>
  </si>
  <si>
    <r>
      <rPr>
        <sz val="10"/>
        <color indexed="8"/>
        <rFont val="Arial"/>
      </rPr>
      <t>1x04-0.100 Male Header</t>
    </r>
  </si>
  <si>
    <r>
      <rPr>
        <sz val="10"/>
        <color indexed="8"/>
        <rFont val="Arial"/>
      </rPr>
      <t>1x04-0.100 CON Male Header</t>
    </r>
  </si>
  <si>
    <t>Connector 1x04 0.100</t>
  </si>
  <si>
    <t>1x04-0.100</t>
  </si>
  <si>
    <t>1x4</t>
  </si>
  <si>
    <t>SPCoast:Conn_01x04</t>
  </si>
  <si>
    <t>SPCoast:Connector_01x04_V</t>
  </si>
  <si>
    <r>
      <rPr>
        <sz val="10"/>
        <color indexed="8"/>
        <rFont val="Arial"/>
      </rPr>
      <t>CON_1x06-0.100</t>
    </r>
  </si>
  <si>
    <r>
      <rPr>
        <sz val="10"/>
        <color indexed="8"/>
        <rFont val="Arial"/>
      </rPr>
      <t>1x06-0.100 Male Header</t>
    </r>
  </si>
  <si>
    <r>
      <rPr>
        <sz val="10"/>
        <color indexed="8"/>
        <rFont val="Arial"/>
      </rPr>
      <t>1x06-0.100 CON Male Header</t>
    </r>
  </si>
  <si>
    <t>Connector 1x06 0.100</t>
  </si>
  <si>
    <t>1x06-0.100</t>
  </si>
  <si>
    <t>1x6</t>
  </si>
  <si>
    <t>SPCoast:Conn_01x06</t>
  </si>
  <si>
    <t>SPCoast:Connector_01x06_V</t>
  </si>
  <si>
    <r>
      <rPr>
        <sz val="10"/>
        <color indexed="8"/>
        <rFont val="Arial"/>
      </rPr>
      <t>CON_FTDI-1x6-0.100</t>
    </r>
  </si>
  <si>
    <r>
      <rPr>
        <sz val="10"/>
        <color indexed="8"/>
        <rFont val="Arial"/>
      </rPr>
      <t>FTDI-1x6-0.100 Male Header</t>
    </r>
  </si>
  <si>
    <r>
      <rPr>
        <sz val="10"/>
        <color indexed="8"/>
        <rFont val="Arial"/>
      </rPr>
      <t>FTDI-1x6-0.100 CON Male Header</t>
    </r>
  </si>
  <si>
    <t>FTDI Programming Connector 1x06 0.100</t>
  </si>
  <si>
    <t>FTDI-1x6-0.100</t>
  </si>
  <si>
    <t>SPCoast:Conn_Programmer-FTDI</t>
  </si>
  <si>
    <t>SPCoast:Connector_FTDI-DEVICE-SIDE</t>
  </si>
  <si>
    <r>
      <rPr>
        <sz val="10"/>
        <color indexed="8"/>
        <rFont val="Arial"/>
      </rPr>
      <t>CON_M5-1x6-0.100</t>
    </r>
  </si>
  <si>
    <r>
      <rPr>
        <sz val="10"/>
        <color indexed="8"/>
        <rFont val="Arial"/>
      </rPr>
      <t>M5-1x6-0.100 Female Header</t>
    </r>
  </si>
  <si>
    <r>
      <rPr>
        <sz val="10"/>
        <color indexed="8"/>
        <rFont val="Arial"/>
      </rPr>
      <t>M5-1x6-0.100 CON Female Header</t>
    </r>
  </si>
  <si>
    <t>M5 Programming Connector 1x06 0.100</t>
  </si>
  <si>
    <t>M5-1x6-0.100</t>
  </si>
  <si>
    <t>Female Header</t>
  </si>
  <si>
    <t>SPCoast:Conn_Programmer-M5</t>
  </si>
  <si>
    <t>SPCoast:Connector_M5-DEVICE-SIDE</t>
  </si>
  <si>
    <r>
      <rPr>
        <sz val="10"/>
        <color indexed="8"/>
        <rFont val="Arial"/>
      </rPr>
      <t>CON_SSD1306-1x4-0.100</t>
    </r>
  </si>
  <si>
    <r>
      <rPr>
        <sz val="10"/>
        <color indexed="8"/>
        <rFont val="Arial"/>
      </rPr>
      <t>SSD1306-1x4-0.100 Male Header</t>
    </r>
  </si>
  <si>
    <r>
      <rPr>
        <sz val="10"/>
        <color indexed="8"/>
        <rFont val="Arial"/>
      </rPr>
      <t>SSD1306-1x4-0.100 CON Male Header</t>
    </r>
  </si>
  <si>
    <t>I2C SSD1306 OLED Connector</t>
  </si>
  <si>
    <t>SSD1306-1x4-0.100</t>
  </si>
  <si>
    <t>SPCoast:Conn_I2C-OLED</t>
  </si>
  <si>
    <t>SPCoast:Connector_I2C-OLED</t>
  </si>
  <si>
    <r>
      <rPr>
        <sz val="10"/>
        <color indexed="8"/>
        <rFont val="Arial"/>
      </rPr>
      <t>MCU_WT32-ETH01</t>
    </r>
  </si>
  <si>
    <r>
      <rPr>
        <sz val="10"/>
        <color indexed="8"/>
        <rFont val="Arial"/>
      </rPr>
      <t>WT32-ETH01 ESP32</t>
    </r>
  </si>
  <si>
    <r>
      <rPr>
        <sz val="10"/>
        <color indexed="8"/>
        <rFont val="Arial"/>
      </rPr>
      <t>WT32-ETH01 MCU ESP32</t>
    </r>
  </si>
  <si>
    <t>MCU</t>
  </si>
  <si>
    <t>WT32-ETH01</t>
  </si>
  <si>
    <t>ESP32</t>
  </si>
  <si>
    <t>2x13</t>
  </si>
  <si>
    <t>0.1x0.9</t>
  </si>
  <si>
    <t>WT</t>
  </si>
  <si>
    <t>SPCoast:WT32-ETH01</t>
  </si>
  <si>
    <t>GFL</t>
  </si>
  <si>
    <r>
      <rPr>
        <u val="single"/>
        <sz val="10"/>
        <color indexed="8"/>
        <rFont val="Arial"/>
      </rPr>
      <t>https://www.amazon.com/DWEII-WT32-ETH01-Bluetooth-Development-Converter/dp/B0B1V2RSLY/ref=sr_1_6?crid=314KW0BPPVKW8&amp;dib=eyJ2IjoiMSJ9.G-jwgG2jf14TIyjtM6gPyYH3hjQUHKrQfu5_H3L9tC5jQFWRvQDq9e6MLIQJ2c_4zpV9VRvg39dGowOt8Ju3zdg0lPeXEKqTTXnLnach_267rAAC7T58mNYeH4anDT2My3U9K8OfvWwLEeqER44Jda4kDCnkxc14_Mbmi_gna2cnePF20jCunUNQWGwMVCvjp-UtBf86MK56FFjlFtjp1z2Aq4rvOP806BaqqU8Oo38.ev-u-C0T1GFgjLgimXKb_ZAMLnonoSzJ6AzhzPd1w-4&amp;dib_tag=se&amp;keywords=WT32-eth01&amp;qid=1736014651&amp;sprefix=wt32-eth01,aps,160&amp;sr=8-6&amp;th=1</t>
    </r>
  </si>
  <si>
    <r>
      <rPr>
        <sz val="10"/>
        <color indexed="8"/>
        <rFont val="Arial"/>
      </rPr>
      <t>MCU_ESP32-DevKit_V1</t>
    </r>
  </si>
  <si>
    <r>
      <rPr>
        <sz val="10"/>
        <color indexed="8"/>
        <rFont val="Arial"/>
      </rPr>
      <t>ESP32-DevKit_V1 ESP32</t>
    </r>
  </si>
  <si>
    <r>
      <rPr>
        <sz val="10"/>
        <color indexed="8"/>
        <rFont val="Arial"/>
      </rPr>
      <t>ESP32-DevKit_V1 MCU ESP32</t>
    </r>
  </si>
  <si>
    <t>ESP32-DevKit_V1 WROOM32</t>
  </si>
  <si>
    <t>ESP32-DevKit_V1</t>
  </si>
  <si>
    <t>2x15</t>
  </si>
  <si>
    <t>Espressif</t>
  </si>
  <si>
    <t>SPCoast:ESP32-DevKit_V1</t>
  </si>
  <si>
    <r>
      <rPr>
        <u val="single"/>
        <sz val="10"/>
        <color indexed="8"/>
        <rFont val="Arial"/>
      </rPr>
      <t>https://mischianti.org/wp-content/uploads/2020/11/ESP32-DOIT-DEV-KIT-v1-pinout-mischianti.png</t>
    </r>
  </si>
  <si>
    <r>
      <rPr>
        <sz val="10"/>
        <color indexed="8"/>
        <rFont val="Arial"/>
      </rPr>
      <t>CAP_0.01uF_0603</t>
    </r>
  </si>
  <si>
    <r>
      <rPr>
        <sz val="10"/>
        <color indexed="8"/>
        <rFont val="Arial"/>
      </rPr>
      <t>0.01uF 10% X7R 25V</t>
    </r>
  </si>
  <si>
    <r>
      <rPr>
        <sz val="10"/>
        <color indexed="8"/>
        <rFont val="Arial"/>
      </rPr>
      <t>0.01uF CAP 10% X7R 25V</t>
    </r>
  </si>
  <si>
    <r>
      <rPr>
        <u val="single"/>
        <sz val="10"/>
        <color indexed="8"/>
        <rFont val="Arial"/>
      </rPr>
      <t>C1852832</t>
    </r>
  </si>
  <si>
    <t>CAP</t>
  </si>
  <si>
    <t>25V 10nF X7R ±10% 0603 Multilayer Ceramic Capacitors MLCC</t>
  </si>
  <si>
    <t>0.01uF</t>
  </si>
  <si>
    <t>X7R</t>
  </si>
  <si>
    <t>10%</t>
  </si>
  <si>
    <t>25V</t>
  </si>
  <si>
    <t>0603</t>
  </si>
  <si>
    <t>C1852832</t>
  </si>
  <si>
    <t>YAGEO</t>
  </si>
  <si>
    <t>CC0603KPX7R8BB103</t>
  </si>
  <si>
    <t>Device:C</t>
  </si>
  <si>
    <t>SPCoast:0603-CAP</t>
  </si>
  <si>
    <t>No</t>
  </si>
  <si>
    <t>GFL &amp; JLC</t>
  </si>
  <si>
    <r>
      <rPr>
        <u val="single"/>
        <sz val="10"/>
        <color indexed="8"/>
        <rFont val="Arial"/>
      </rPr>
      <t>https://wmsc.lcsc.com/wmsc/upload/file/pdf/v2/lcsc/2201271000_YAGEO-CC0603KPX7R8BB103_C1852832.pdf</t>
    </r>
  </si>
  <si>
    <r>
      <rPr>
        <sz val="10"/>
        <color indexed="8"/>
        <rFont val="Arial"/>
      </rPr>
      <t>0.01uF 10% X5R 50V</t>
    </r>
  </si>
  <si>
    <r>
      <rPr>
        <sz val="10"/>
        <color indexed="8"/>
        <rFont val="Arial"/>
      </rPr>
      <t>0.01uF CAP 10% X5R 50V</t>
    </r>
  </si>
  <si>
    <r>
      <rPr>
        <u val="single"/>
        <sz val="10"/>
        <color indexed="8"/>
        <rFont val="Arial"/>
      </rPr>
      <t>C3910010</t>
    </r>
  </si>
  <si>
    <t>50V 10nF X5R ±10% 0603 Multilayer Ceramic Capacitors MLCC</t>
  </si>
  <si>
    <t>X5R</t>
  </si>
  <si>
    <t>50V</t>
  </si>
  <si>
    <t>C3910010</t>
  </si>
  <si>
    <t>CAL-CHIP</t>
  </si>
  <si>
    <t>GMC10X5R103K50NT</t>
  </si>
  <si>
    <t>reserve</t>
  </si>
  <si>
    <r>
      <rPr>
        <sz val="10"/>
        <color indexed="8"/>
        <rFont val="Arial"/>
      </rPr>
      <t>0.01uF 10% X7R 50V</t>
    </r>
  </si>
  <si>
    <r>
      <rPr>
        <sz val="10"/>
        <color indexed="8"/>
        <rFont val="Arial"/>
      </rPr>
      <t>0.01uF CAP 10% X7R 50V</t>
    </r>
  </si>
  <si>
    <r>
      <rPr>
        <u val="single"/>
        <sz val="10"/>
        <color indexed="8"/>
        <rFont val="Arial"/>
      </rPr>
      <t>C100042</t>
    </r>
  </si>
  <si>
    <t>50V 10nF X7R ±10% 0603 Multilayer Ceramic Capacitors MLCC</t>
  </si>
  <si>
    <t>C100042</t>
  </si>
  <si>
    <t>CC0603KRX7R9BB103</t>
  </si>
  <si>
    <r>
      <rPr>
        <u val="single"/>
        <sz val="10"/>
        <color indexed="8"/>
        <rFont val="Arial"/>
      </rPr>
      <t>https://www.lcsc.com/datasheet/lcsc_datasheet_2304140030_YAGEO-CC0603KRX7R9BB103_C100042.pdf</t>
    </r>
  </si>
  <si>
    <r>
      <rPr>
        <sz val="10"/>
        <color indexed="8"/>
        <rFont val="Arial"/>
      </rPr>
      <t>CAP_0.1uf_0603</t>
    </r>
  </si>
  <si>
    <r>
      <rPr>
        <sz val="10"/>
        <color indexed="8"/>
        <rFont val="Arial"/>
      </rPr>
      <t>0.1uf 10% X5R 25V</t>
    </r>
  </si>
  <si>
    <r>
      <rPr>
        <sz val="10"/>
        <color indexed="8"/>
        <rFont val="Arial"/>
      </rPr>
      <t>0.1uf CAP 10% X5R 25V</t>
    </r>
  </si>
  <si>
    <r>
      <rPr>
        <u val="single"/>
        <sz val="10"/>
        <color indexed="8"/>
        <rFont val="Arial"/>
      </rPr>
      <t>C3853265</t>
    </r>
  </si>
  <si>
    <t>25V 100nF X5R ±10% 0603 Multilayer Ceramic Capacitors MLCC</t>
  </si>
  <si>
    <t>0.1uf</t>
  </si>
  <si>
    <t>C3853265</t>
  </si>
  <si>
    <t>GMC10X5R104K25NT</t>
  </si>
  <si>
    <r>
      <rPr>
        <sz val="10"/>
        <color indexed="8"/>
        <rFont val="Arial"/>
      </rPr>
      <t>0.1uf 10% X7R 50V</t>
    </r>
  </si>
  <si>
    <r>
      <rPr>
        <sz val="10"/>
        <color indexed="8"/>
        <rFont val="Arial"/>
      </rPr>
      <t>0.1uf CAP 10% X7R 50V</t>
    </r>
  </si>
  <si>
    <r>
      <rPr>
        <u val="single"/>
        <sz val="10"/>
        <color indexed="8"/>
        <rFont val="Arial"/>
      </rPr>
      <t>C14663</t>
    </r>
  </si>
  <si>
    <t>50V 100nF X7R ±10% 0603 Multilayer Ceramic Capacitors MLCC</t>
  </si>
  <si>
    <t>C14663</t>
  </si>
  <si>
    <t>CC0603KRX7R9BB104</t>
  </si>
  <si>
    <r>
      <rPr>
        <u val="single"/>
        <sz val="10"/>
        <color indexed="8"/>
        <rFont val="Arial"/>
      </rPr>
      <t>https://www.lcsc.com/datasheet/lcsc_datasheet_2211101700_YAGEO-CC0603KRX7R9BB104_C14663.pdf</t>
    </r>
  </si>
  <si>
    <r>
      <rPr>
        <sz val="10"/>
        <color indexed="8"/>
        <rFont val="Arial"/>
      </rPr>
      <t>CAP_1uF_0603</t>
    </r>
  </si>
  <si>
    <r>
      <rPr>
        <sz val="10"/>
        <color indexed="8"/>
        <rFont val="Arial"/>
      </rPr>
      <t>1uF 10% X5R 25V</t>
    </r>
  </si>
  <si>
    <r>
      <rPr>
        <sz val="10"/>
        <color indexed="8"/>
        <rFont val="Arial"/>
      </rPr>
      <t>1uF CAP 10% X5R 25V</t>
    </r>
  </si>
  <si>
    <r>
      <rPr>
        <u val="single"/>
        <sz val="10"/>
        <color indexed="8"/>
        <rFont val="Arial"/>
      </rPr>
      <t>C2169859</t>
    </r>
  </si>
  <si>
    <t>35V 1uF X5R ±10% 0603 Multilayer Ceramic Capacitors MLCC</t>
  </si>
  <si>
    <t>1uF</t>
  </si>
  <si>
    <t>C2169859</t>
  </si>
  <si>
    <t>Taiyo Yuden</t>
  </si>
  <si>
    <t>GMK107BJ105KAHT</t>
  </si>
  <si>
    <r>
      <rPr>
        <u val="single"/>
        <sz val="10"/>
        <color indexed="8"/>
        <rFont val="Arial"/>
      </rPr>
      <t>https://wmsc.lcsc.com/wmsc/upload/file/pdf/v2/lcsc/2309051403_Taiyo-Yuden-GMK107BJ105KAHT_C2169859.pdf</t>
    </r>
  </si>
  <si>
    <r>
      <rPr>
        <sz val="10"/>
        <color indexed="8"/>
        <rFont val="Arial"/>
      </rPr>
      <t>1uF 10% X5R 50V</t>
    </r>
  </si>
  <si>
    <r>
      <rPr>
        <sz val="10"/>
        <color indexed="8"/>
        <rFont val="Arial"/>
      </rPr>
      <t>1uF CAP 10% X5R 50V</t>
    </r>
  </si>
  <si>
    <r>
      <rPr>
        <u val="single"/>
        <sz val="10"/>
        <color indexed="8"/>
        <rFont val="Arial"/>
      </rPr>
      <t>C15849</t>
    </r>
  </si>
  <si>
    <t>50V 1uF X5R ±10% 0603 Multilayer Ceramic Capacitors MLCC</t>
  </si>
  <si>
    <t>C15849</t>
  </si>
  <si>
    <t>Samsung</t>
  </si>
  <si>
    <t>CL10A105KB8NNNC</t>
  </si>
  <si>
    <r>
      <rPr>
        <u val="single"/>
        <sz val="10"/>
        <color indexed="8"/>
        <rFont val="Arial"/>
      </rPr>
      <t>https://www.lcsc.com/datasheet/lcsc_datasheet_2304140030_Samsung-Electro-Mechanics-CL10A105KB8NNNC_C15849.pdf</t>
    </r>
  </si>
  <si>
    <r>
      <rPr>
        <sz val="10"/>
        <color indexed="8"/>
        <rFont val="Arial"/>
      </rPr>
      <t>CAP_10uF_1206</t>
    </r>
  </si>
  <si>
    <r>
      <rPr>
        <sz val="10"/>
        <color indexed="8"/>
        <rFont val="Arial"/>
      </rPr>
      <t>10uF 10% X5R 50V</t>
    </r>
  </si>
  <si>
    <r>
      <rPr>
        <sz val="10"/>
        <color indexed="8"/>
        <rFont val="Arial"/>
      </rPr>
      <t>10uF CAP 10% X5R 50V</t>
    </r>
  </si>
  <si>
    <r>
      <rPr>
        <u val="single"/>
        <sz val="10"/>
        <color indexed="8"/>
        <rFont val="Arial"/>
      </rPr>
      <t>C13585</t>
    </r>
  </si>
  <si>
    <t>50V 10uF X5R ±10% 1206 Multilayer Ceramic Capacitors MLCC</t>
  </si>
  <si>
    <t>10uF</t>
  </si>
  <si>
    <t>1206</t>
  </si>
  <si>
    <t>C13585</t>
  </si>
  <si>
    <t>CL31A106KBHNNNE</t>
  </si>
  <si>
    <t>SPCoast:1206-CAP</t>
  </si>
  <si>
    <r>
      <rPr>
        <u val="single"/>
        <sz val="10"/>
        <color indexed="8"/>
        <rFont val="Arial"/>
      </rPr>
      <t>https://www.lcsc.com/datasheet/lcsc_datasheet_2304140030_Samsung-Electro-Mechanics-CL31A106KBHNNNE_C13585.pdf</t>
    </r>
  </si>
  <si>
    <r>
      <rPr>
        <sz val="10"/>
        <color indexed="8"/>
        <rFont val="Arial"/>
      </rPr>
      <t>CAP_220uF_D8xL10mm</t>
    </r>
  </si>
  <si>
    <r>
      <rPr>
        <sz val="10"/>
        <color indexed="8"/>
        <rFont val="Arial"/>
      </rPr>
      <t>220uF 20% Electrolytic 35V</t>
    </r>
  </si>
  <si>
    <r>
      <rPr>
        <sz val="10"/>
        <color indexed="8"/>
        <rFont val="Arial"/>
      </rPr>
      <t>220uF CAP 20% Electrolytic 35V</t>
    </r>
  </si>
  <si>
    <r>
      <rPr>
        <u val="single"/>
        <sz val="10"/>
        <color indexed="8"/>
        <rFont val="Arial"/>
      </rPr>
      <t>C136294</t>
    </r>
  </si>
  <si>
    <t>220uF 35V 300mA@120Hz ±20% SMD D8xL10mm Aluminum Electrolytic Capacitor</t>
  </si>
  <si>
    <t>220uF</t>
  </si>
  <si>
    <t>Electrolytic</t>
  </si>
  <si>
    <t>20%</t>
  </si>
  <si>
    <t>35V</t>
  </si>
  <si>
    <t>D8xL10mm</t>
  </si>
  <si>
    <t>C136294</t>
  </si>
  <si>
    <t>Nichicon</t>
  </si>
  <si>
    <t>UCD1V221MNL1GS</t>
  </si>
  <si>
    <t>Device:C_Polarized_US</t>
  </si>
  <si>
    <t>SPCoast:CP_Elec_8x10</t>
  </si>
  <si>
    <r>
      <rPr>
        <u val="single"/>
        <sz val="10"/>
        <color indexed="8"/>
        <rFont val="Arial"/>
      </rPr>
      <t>https://www.lcsc.com/datasheet/lcsc_datasheet_1808312007_Nichicon-UCD1V221MNL1GS_C136294.pdf</t>
    </r>
  </si>
  <si>
    <r>
      <rPr>
        <sz val="10"/>
        <color indexed="8"/>
        <rFont val="Arial"/>
      </rPr>
      <t>DIO_4.7V_SOD-323</t>
    </r>
  </si>
  <si>
    <r>
      <rPr>
        <sz val="10"/>
        <color indexed="8"/>
        <rFont val="Arial"/>
      </rPr>
      <t>4.7V zener 43V 5mA 200mW</t>
    </r>
  </si>
  <si>
    <r>
      <rPr>
        <sz val="10"/>
        <color indexed="8"/>
        <rFont val="Arial"/>
      </rPr>
      <t>4.7V DIO zener 43V 5mA 200mW</t>
    </r>
  </si>
  <si>
    <r>
      <rPr>
        <u val="single"/>
        <sz val="10"/>
        <color indexed="8"/>
        <rFont val="Arial"/>
      </rPr>
      <t>C353517</t>
    </r>
  </si>
  <si>
    <t>DIO</t>
  </si>
  <si>
    <t>4.7V SOD-323 Zener Diode -W7</t>
  </si>
  <si>
    <t>4.7V</t>
  </si>
  <si>
    <t>zener</t>
  </si>
  <si>
    <t>43V</t>
  </si>
  <si>
    <t>5mA</t>
  </si>
  <si>
    <t>200mW</t>
  </si>
  <si>
    <t>SOD-323</t>
  </si>
  <si>
    <t>C353517</t>
  </si>
  <si>
    <t>Shandong Jingdao</t>
  </si>
  <si>
    <t>BZT52C4V7S</t>
  </si>
  <si>
    <t>SPCoast:D_Zener_Filled</t>
  </si>
  <si>
    <t>SPCoast:SOD-323</t>
  </si>
  <si>
    <t>Need to Order</t>
  </si>
  <si>
    <r>
      <rPr>
        <u val="single"/>
        <sz val="10"/>
        <color indexed="8"/>
        <rFont val="Arial"/>
      </rPr>
      <t>https://www.lcsc.com/datasheet/lcsc_datasheet_2304140030_Shandong-Jingdao-Microelectronics-BZT52C4V7S_C353517.pdf</t>
    </r>
  </si>
  <si>
    <r>
      <rPr>
        <sz val="10"/>
        <color indexed="8"/>
        <rFont val="Arial"/>
      </rPr>
      <t>DIO_BAT54_SOT-23</t>
    </r>
  </si>
  <si>
    <r>
      <rPr>
        <sz val="10"/>
        <color indexed="8"/>
        <rFont val="Arial"/>
      </rPr>
      <t>BAT54 single Schottkey 30V</t>
    </r>
  </si>
  <si>
    <r>
      <rPr>
        <sz val="10"/>
        <color indexed="8"/>
        <rFont val="Arial"/>
      </rPr>
      <t>BAT54 DIO single Schottkey 30V</t>
    </r>
  </si>
  <si>
    <r>
      <rPr>
        <u val="single"/>
        <sz val="10"/>
        <color indexed="8"/>
        <rFont val="Arial"/>
      </rPr>
      <t>C5261070</t>
    </r>
  </si>
  <si>
    <t>BAT54  Single Schottky 30V 200mA</t>
  </si>
  <si>
    <t>BAT54</t>
  </si>
  <si>
    <t>single Schottkey</t>
  </si>
  <si>
    <t>30V</t>
  </si>
  <si>
    <t>SOT-23</t>
  </si>
  <si>
    <t>C5261070</t>
  </si>
  <si>
    <t>HXY</t>
  </si>
  <si>
    <t>Diode:BAT54</t>
  </si>
  <si>
    <t>SPCoast:SOT-23</t>
  </si>
  <si>
    <r>
      <rPr>
        <u val="single"/>
        <sz val="10"/>
        <color indexed="8"/>
        <rFont val="Arial"/>
      </rPr>
      <t>https://wmsc.lcsc.com/wmsc/upload/file/pdf/v2/lcsc/2406051353_HXY-MOSFET-BAT54_C5261070.pdf</t>
    </r>
  </si>
  <si>
    <r>
      <rPr>
        <sz val="10"/>
        <color indexed="8"/>
        <rFont val="Arial"/>
      </rPr>
      <t>DIO_BAT54A_SOT-23</t>
    </r>
  </si>
  <si>
    <r>
      <rPr>
        <sz val="10"/>
        <color indexed="8"/>
        <rFont val="Arial"/>
      </rPr>
      <t>BAT54A dual Schottkey common anode 30V</t>
    </r>
  </si>
  <si>
    <r>
      <rPr>
        <sz val="10"/>
        <color indexed="8"/>
        <rFont val="Arial"/>
      </rPr>
      <t>BAT54A DIO dual Schottkey common anode 30V</t>
    </r>
  </si>
  <si>
    <r>
      <rPr>
        <u val="single"/>
        <sz val="10"/>
        <color indexed="8"/>
        <rFont val="Arial"/>
      </rPr>
      <t>C2926172</t>
    </r>
  </si>
  <si>
    <t>BAT54A Dual Schottky 30V 200mA Common Anode</t>
  </si>
  <si>
    <t>BAT54A</t>
  </si>
  <si>
    <t>dual Schottkey common anode</t>
  </si>
  <si>
    <t>C2926172</t>
  </si>
  <si>
    <t>FOSAN</t>
  </si>
  <si>
    <t>Diode:BAT54A</t>
  </si>
  <si>
    <r>
      <rPr>
        <u val="single"/>
        <sz val="10"/>
        <color indexed="8"/>
        <rFont val="Arial"/>
      </rPr>
      <t>https://wmsc.lcsc.com/wmsc/upload/file/pdf/v2/lcsc/2112031830_FOSAN-BAT54A_C2926172.pdf</t>
    </r>
  </si>
  <si>
    <r>
      <rPr>
        <sz val="10"/>
        <color indexed="8"/>
        <rFont val="Arial"/>
      </rPr>
      <t>DIO_BAT54S_SOT-23</t>
    </r>
  </si>
  <si>
    <r>
      <rPr>
        <sz val="10"/>
        <color indexed="8"/>
        <rFont val="Arial"/>
      </rPr>
      <t>BAT54S dual Schottkey series 30V</t>
    </r>
  </si>
  <si>
    <r>
      <rPr>
        <sz val="10"/>
        <color indexed="8"/>
        <rFont val="Arial"/>
      </rPr>
      <t>BAT54S DIO dual Schottkey series 30V</t>
    </r>
  </si>
  <si>
    <r>
      <rPr>
        <u val="single"/>
        <sz val="10"/>
        <color indexed="8"/>
        <rFont val="Arial"/>
      </rPr>
      <t>C2926174</t>
    </r>
  </si>
  <si>
    <t>BAT54S Dual Schottky 30V 200mA Series</t>
  </si>
  <si>
    <t>BAT54S</t>
  </si>
  <si>
    <t>dual Schottkey series</t>
  </si>
  <si>
    <t>C2926174</t>
  </si>
  <si>
    <t>Diode:BAT54S</t>
  </si>
  <si>
    <r>
      <rPr>
        <u val="single"/>
        <sz val="10"/>
        <color indexed="8"/>
        <rFont val="Arial"/>
      </rPr>
      <t>https://wmsc.lcsc.com/wmsc/upload/file/pdf/v2/lcsc/2112031830_FOSAN-BAT54S_C2926174.pdf</t>
    </r>
  </si>
  <si>
    <r>
      <rPr>
        <sz val="10"/>
        <color indexed="8"/>
        <rFont val="Arial"/>
      </rPr>
      <t>DIO_BAT54C_SOT-23</t>
    </r>
  </si>
  <si>
    <r>
      <rPr>
        <sz val="10"/>
        <color indexed="8"/>
        <rFont val="Arial"/>
      </rPr>
      <t>BAT54C dual Schottkey common cathode 30V</t>
    </r>
  </si>
  <si>
    <r>
      <rPr>
        <sz val="10"/>
        <color indexed="8"/>
        <rFont val="Arial"/>
      </rPr>
      <t>BAT54C DIO dual Schottkey common cathode 30V</t>
    </r>
  </si>
  <si>
    <r>
      <rPr>
        <u val="single"/>
        <sz val="10"/>
        <color indexed="8"/>
        <rFont val="Arial"/>
      </rPr>
      <t>C408388</t>
    </r>
  </si>
  <si>
    <t>30V 1 pair of common cathodes 1V@100mA 200mA SOT-23 Schottky Diodes</t>
  </si>
  <si>
    <t>BAT54C</t>
  </si>
  <si>
    <t>dual Schottkey common cathode</t>
  </si>
  <si>
    <t>C408388</t>
  </si>
  <si>
    <t>Microdiode</t>
  </si>
  <si>
    <t>Diode:BAT54C</t>
  </si>
  <si>
    <r>
      <rPr>
        <u val="single"/>
        <sz val="10"/>
        <color indexed="8"/>
        <rFont val="Arial"/>
      </rPr>
      <t>https://www.lcsc.com/datasheet/lcsc_datasheet_2407101108_MDD-Microdiode-Semiconductor-BAT54C_C408388.pdf</t>
    </r>
  </si>
  <si>
    <r>
      <rPr>
        <sz val="10"/>
        <color indexed="8"/>
        <rFont val="Arial"/>
      </rPr>
      <t>IC_LM358D_SOP-8</t>
    </r>
  </si>
  <si>
    <r>
      <rPr>
        <sz val="10"/>
        <color indexed="8"/>
        <rFont val="Arial"/>
      </rPr>
      <t>LM358D dual OpAmp ±15V or +30V</t>
    </r>
  </si>
  <si>
    <r>
      <rPr>
        <sz val="10"/>
        <color indexed="8"/>
        <rFont val="Arial"/>
      </rPr>
      <t>LM358D IC dual OpAmp ±15V or +30V</t>
    </r>
  </si>
  <si>
    <r>
      <rPr>
        <u val="single"/>
        <sz val="10"/>
        <color indexed="8"/>
        <rFont val="Arial"/>
      </rPr>
      <t>C2683482</t>
    </r>
  </si>
  <si>
    <t>IC</t>
  </si>
  <si>
    <t>SOP-8 Operational Amplifier</t>
  </si>
  <si>
    <t>LM358D</t>
  </si>
  <si>
    <t>dual OpAmp</t>
  </si>
  <si>
    <t>±15V or +30V</t>
  </si>
  <si>
    <t>SOP-8</t>
  </si>
  <si>
    <t>C2683482</t>
  </si>
  <si>
    <t>IDCHIP</t>
  </si>
  <si>
    <t>SPCoast:LM358</t>
  </si>
  <si>
    <t>SPCoast:SOIC-8_3.9x4.9mm_P1.27mm;Package_SO:SOIC-8_3.9x4.9mm_P1.27mm</t>
  </si>
  <si>
    <r>
      <rPr>
        <u val="single"/>
        <sz val="10"/>
        <color indexed="8"/>
        <rFont val="Arial"/>
      </rPr>
      <t>https://www.lcsc.com/datasheet/lcsc_datasheet_2403081523_IDCHIP-LM358D_C2683482.pdf</t>
    </r>
  </si>
  <si>
    <r>
      <rPr>
        <sz val="10"/>
        <color indexed="8"/>
        <rFont val="Arial"/>
      </rPr>
      <t>IC_NE556_SOP-14</t>
    </r>
  </si>
  <si>
    <r>
      <rPr>
        <sz val="10"/>
        <color indexed="8"/>
        <rFont val="Arial"/>
      </rPr>
      <t>NE556 Dual Timer 16V 600mW</t>
    </r>
  </si>
  <si>
    <r>
      <rPr>
        <sz val="10"/>
        <color indexed="8"/>
        <rFont val="Arial"/>
      </rPr>
      <t>NE556 IC Dual Timer 16V 600mW</t>
    </r>
  </si>
  <si>
    <r>
      <rPr>
        <u val="single"/>
        <sz val="10"/>
        <color indexed="8"/>
        <rFont val="Arial"/>
      </rPr>
      <t>C5145392</t>
    </r>
  </si>
  <si>
    <t>NE556 100kHz Dual Timer</t>
  </si>
  <si>
    <t>NE556</t>
  </si>
  <si>
    <t>Dual Timer</t>
  </si>
  <si>
    <t>16V</t>
  </si>
  <si>
    <t>600mW</t>
  </si>
  <si>
    <t>SOP-14</t>
  </si>
  <si>
    <t>C5145392</t>
  </si>
  <si>
    <t>HANSCHIP</t>
  </si>
  <si>
    <t>NE556DRG</t>
  </si>
  <si>
    <t>Timer:NE556</t>
  </si>
  <si>
    <t>SPCoast:SOP_14;Package_SO:SOIC-14_3.9x8.7mm_P1.27mm</t>
  </si>
  <si>
    <r>
      <rPr>
        <u val="single"/>
        <sz val="10"/>
        <color indexed="8"/>
        <rFont val="Arial"/>
      </rPr>
      <t>https://wmsc.lcsc.com/wmsc/upload/file/pdf/v2/lcsc/2209290930_HANSCHIP-semiconductor-NE556DRG_C5145392.pdf</t>
    </r>
  </si>
  <si>
    <r>
      <rPr>
        <sz val="10"/>
        <color indexed="8"/>
        <rFont val="Arial"/>
      </rPr>
      <t>IC_MCP23017_SOIC-28-300mil</t>
    </r>
  </si>
  <si>
    <r>
      <rPr>
        <sz val="10"/>
        <color indexed="8"/>
        <rFont val="Arial"/>
      </rPr>
      <t>MCP23017 I2C 16-bit I/O Expander</t>
    </r>
  </si>
  <si>
    <r>
      <rPr>
        <sz val="10"/>
        <color indexed="8"/>
        <rFont val="Arial"/>
      </rPr>
      <t>MCP23017 IC I2C 16-bit I/O Expander</t>
    </r>
  </si>
  <si>
    <r>
      <rPr>
        <u val="single"/>
        <sz val="10"/>
        <color indexed="8"/>
        <rFont val="Arial"/>
      </rPr>
      <t>C629440</t>
    </r>
  </si>
  <si>
    <t>MCP23017 I2C 16 bit I/O Expander</t>
  </si>
  <si>
    <t>MCP23017</t>
  </si>
  <si>
    <t>I2C 16-bit I/O Expander</t>
  </si>
  <si>
    <t>SOIC-28-300mil</t>
  </si>
  <si>
    <t>C629440</t>
  </si>
  <si>
    <t>Microchip</t>
  </si>
  <si>
    <t>MCP23017T-E/SO</t>
  </si>
  <si>
    <t>SPCoast:MCP23017_SO</t>
  </si>
  <si>
    <t>SPCoast:SOIC-28W_7.5x17.9mm</t>
  </si>
  <si>
    <r>
      <rPr>
        <u val="single"/>
        <sz val="10"/>
        <color indexed="8"/>
        <rFont val="Arial"/>
      </rPr>
      <t>https://wmsc.lcsc.com/wmsc/upload/file/pdf/v2/lcsc/2203221230_Microchip-Tech-MCP23017T-E-SO_C629440.pdf</t>
    </r>
  </si>
  <si>
    <r>
      <rPr>
        <sz val="10"/>
        <color indexed="8"/>
        <rFont val="Arial"/>
      </rPr>
      <t>IC_PCA9685_TSSOP-28</t>
    </r>
  </si>
  <si>
    <r>
      <rPr>
        <sz val="10"/>
        <color indexed="8"/>
        <rFont val="Arial"/>
      </rPr>
      <t>PCA9685 I2C 16-bit PWM LED Driver</t>
    </r>
  </si>
  <si>
    <r>
      <rPr>
        <sz val="10"/>
        <color indexed="8"/>
        <rFont val="Arial"/>
      </rPr>
      <t>PCA9685 IC I2C 16-bit PWM LED Driver</t>
    </r>
  </si>
  <si>
    <r>
      <rPr>
        <u val="single"/>
        <sz val="10"/>
        <color indexed="8"/>
        <rFont val="Arial"/>
      </rPr>
      <t>C2678753</t>
    </r>
  </si>
  <si>
    <t>5.5V 100kHz~1MHz PWM 16 25mA 2.3V~5.5V TSSOP-28 LED Driver</t>
  </si>
  <si>
    <t>PCA9685</t>
  </si>
  <si>
    <t>I2C 16-bit PWM LED Driver</t>
  </si>
  <si>
    <t>TSSOP-28</t>
  </si>
  <si>
    <t>C2678753</t>
  </si>
  <si>
    <t>NXP</t>
  </si>
  <si>
    <t>PCA9685PW,118</t>
  </si>
  <si>
    <t>SPCoast:PCA9685PW</t>
  </si>
  <si>
    <t>Package_SO:TSSOP-28_4.4x9.7mm_P0.65mm</t>
  </si>
  <si>
    <r>
      <rPr>
        <u val="single"/>
        <sz val="10"/>
        <color indexed="8"/>
        <rFont val="Arial"/>
      </rPr>
      <t>https://www.lcsc.com/datasheet/lcsc_datasheet_2405281434_NXP-Semicon-PCA9685PW-118_C2678753.pdf</t>
    </r>
  </si>
  <si>
    <r>
      <rPr>
        <sz val="10"/>
        <color indexed="8"/>
        <rFont val="Arial"/>
      </rPr>
      <t>LED_Blue_0603</t>
    </r>
  </si>
  <si>
    <r>
      <rPr>
        <sz val="10"/>
        <color indexed="8"/>
        <rFont val="Arial"/>
      </rPr>
      <t>Blue LED clear 3.3V 20mA 240mcd</t>
    </r>
  </si>
  <si>
    <r>
      <rPr>
        <u val="single"/>
        <sz val="10"/>
        <color indexed="8"/>
        <rFont val="Arial"/>
      </rPr>
      <t>C965807</t>
    </r>
  </si>
  <si>
    <t>LED</t>
  </si>
  <si>
    <t>20mA 240mcd Colorless and transparent -20℃~+85℃ Positive Stick 455nm~475nm Blue 120° 70mW 3.3V 0603 LED Indication</t>
  </si>
  <si>
    <t>Blue</t>
  </si>
  <si>
    <t>clear</t>
  </si>
  <si>
    <t>3.3V</t>
  </si>
  <si>
    <t>20mA</t>
  </si>
  <si>
    <t>120°</t>
  </si>
  <si>
    <t>455nm~475nm</t>
  </si>
  <si>
    <t>240</t>
  </si>
  <si>
    <t>C965807</t>
  </si>
  <si>
    <t>XINGLIGHT</t>
  </si>
  <si>
    <t>XL-1608UBC-04</t>
  </si>
  <si>
    <t>Device:LED</t>
  </si>
  <si>
    <t>SPCoast:0603-LED</t>
  </si>
  <si>
    <r>
      <rPr>
        <u val="single"/>
        <sz val="10"/>
        <color indexed="8"/>
        <rFont val="Arial"/>
      </rPr>
      <t>https://wmsc.lcsc.com/wmsc/upload/file/pdf/v2/lcsc/2402181505_XINGLIGHT-XL-1608UBC-04_C965807.pdf</t>
    </r>
  </si>
  <si>
    <r>
      <rPr>
        <sz val="10"/>
        <color indexed="8"/>
        <rFont val="Arial"/>
      </rPr>
      <t>LED_White_0603</t>
    </r>
  </si>
  <si>
    <r>
      <rPr>
        <sz val="10"/>
        <color indexed="8"/>
        <rFont val="Arial"/>
      </rPr>
      <t>White LED warm 2.7V 20mA 130mcd</t>
    </r>
  </si>
  <si>
    <r>
      <rPr>
        <u val="single"/>
        <sz val="10"/>
        <color indexed="8"/>
        <rFont val="Arial"/>
      </rPr>
      <t>C965808</t>
    </r>
  </si>
  <si>
    <t>20mA 13700K~33000K 130mcd WarmWhite -20℃~+85℃ Positive Stick White 120° 70mW 2.7V 0603 LED Indication</t>
  </si>
  <si>
    <t>White</t>
  </si>
  <si>
    <t>warm</t>
  </si>
  <si>
    <t>2.7V</t>
  </si>
  <si>
    <t>13700 - 33000 K</t>
  </si>
  <si>
    <t>130</t>
  </si>
  <si>
    <t>C965808</t>
  </si>
  <si>
    <t>XL-1608UWC-04</t>
  </si>
  <si>
    <r>
      <rPr>
        <u val="single"/>
        <sz val="10"/>
        <color indexed="8"/>
        <rFont val="Arial"/>
      </rPr>
      <t>https://wmsc.lcsc.com/wmsc/upload/file/pdf/v2/lcsc/2402181505_XINGLIGHT-XL-1608UWC-04_C965808.pdf</t>
    </r>
  </si>
  <si>
    <r>
      <rPr>
        <sz val="10"/>
        <color indexed="8"/>
        <rFont val="Arial"/>
      </rPr>
      <t>LED_Green Emerald_0603</t>
    </r>
  </si>
  <si>
    <r>
      <rPr>
        <sz val="10"/>
        <color indexed="8"/>
        <rFont val="Arial"/>
      </rPr>
      <t>Green Emerald LED clear 3.3V 20mA 810mcd</t>
    </r>
  </si>
  <si>
    <r>
      <rPr>
        <u val="single"/>
        <sz val="10"/>
        <color indexed="8"/>
        <rFont val="Arial"/>
      </rPr>
      <t>C965804</t>
    </r>
  </si>
  <si>
    <t>20mA 810mcd Colorless transparent  515nm~535nm -20℃~+85℃ Positive Stick Emerald Green 120° 70mW 3.3V 0603 LED Indication</t>
  </si>
  <si>
    <t>Green Emerald</t>
  </si>
  <si>
    <t>515nm~535nm</t>
  </si>
  <si>
    <t>810</t>
  </si>
  <si>
    <t>C965804</t>
  </si>
  <si>
    <t>XL-1608UGC-04</t>
  </si>
  <si>
    <r>
      <rPr>
        <u val="single"/>
        <sz val="10"/>
        <color indexed="8"/>
        <rFont val="Arial"/>
      </rPr>
      <t>https://wmsc.lcsc.com/wmsc/upload/file/pdf/v2/lcsc/2402181505_XINGLIGHT-XL-1608UGC-04_C965804.pdf</t>
    </r>
  </si>
  <si>
    <r>
      <rPr>
        <sz val="10"/>
        <color indexed="8"/>
        <rFont val="Arial"/>
      </rPr>
      <t>LED_Yellow Green_0603</t>
    </r>
  </si>
  <si>
    <r>
      <rPr>
        <sz val="10"/>
        <color indexed="8"/>
        <rFont val="Arial"/>
      </rPr>
      <t>Yellow Green LED clear 2.4V 20mA 240mcd</t>
    </r>
  </si>
  <si>
    <r>
      <rPr>
        <u val="single"/>
        <sz val="10"/>
        <color indexed="8"/>
        <rFont val="Arial"/>
      </rPr>
      <t>C965806</t>
    </r>
  </si>
  <si>
    <t>20mA 240mcd Colorless transparent 565nm~575nm -20℃~+85℃ Positive Stick Yellow Green 120° 50mW 2.4V 0603 LED Indication</t>
  </si>
  <si>
    <t>Yellow Green</t>
  </si>
  <si>
    <t>2.4V</t>
  </si>
  <si>
    <t>565nm~575nm</t>
  </si>
  <si>
    <t>C965806</t>
  </si>
  <si>
    <t>XL-1608SYGC-04</t>
  </si>
  <si>
    <r>
      <rPr>
        <u val="single"/>
        <sz val="10"/>
        <color indexed="8"/>
        <rFont val="Arial"/>
      </rPr>
      <t>https://wmsc.lcsc.com/wmsc/upload/file/pdf/v2/lcsc/2402181505_XINGLIGHT-XL-1608SYGC-04_C965806.pdf</t>
    </r>
  </si>
  <si>
    <r>
      <rPr>
        <sz val="10"/>
        <color indexed="8"/>
        <rFont val="Arial"/>
      </rPr>
      <t>LED_Orange _0603</t>
    </r>
  </si>
  <si>
    <r>
      <rPr>
        <sz val="10"/>
        <color indexed="8"/>
        <rFont val="Arial"/>
      </rPr>
      <t>Orange  LED clear 2.2V 10mA 70mcd</t>
    </r>
  </si>
  <si>
    <r>
      <rPr>
        <u val="single"/>
        <sz val="10"/>
        <color indexed="8"/>
        <rFont val="Arial"/>
      </rPr>
      <t>C22371303</t>
    </r>
  </si>
  <si>
    <t>10mA Orange 0603 LED Indication</t>
  </si>
  <si>
    <t xml:space="preserve">Orange </t>
  </si>
  <si>
    <t>2.2V</t>
  </si>
  <si>
    <t>10mA</t>
  </si>
  <si>
    <t>600nm~612nm</t>
  </si>
  <si>
    <t>70</t>
  </si>
  <si>
    <t>C22371303</t>
  </si>
  <si>
    <t>HONGLITRONIC</t>
  </si>
  <si>
    <t>HL-PSC-1608S25OC-G4</t>
  </si>
  <si>
    <r>
      <rPr>
        <u val="single"/>
        <sz val="10"/>
        <color indexed="8"/>
        <rFont val="Arial"/>
      </rPr>
      <t>https://wmsc.lcsc.com/wmsc/upload/file/pdf/v2/lcsc/2403281522_HONGLITRONIC-Hongli-Zhihui--HONGLITRONIC-HL-PSC-1608S25OC-G4_C22371303.pdf</t>
    </r>
  </si>
  <si>
    <r>
      <rPr>
        <sz val="10"/>
        <color indexed="8"/>
        <rFont val="Arial"/>
      </rPr>
      <t>Orange  LED clear 2.3V 20mA 315mcd</t>
    </r>
  </si>
  <si>
    <r>
      <rPr>
        <u val="single"/>
        <sz val="10"/>
        <color indexed="8"/>
        <rFont val="Arial"/>
      </rPr>
      <t>C965800</t>
    </r>
  </si>
  <si>
    <t>20mA 315mcd Colorless transparent -20℃~+85℃ 600nm~610nm Positive Stick Orange 120° 50mW 2.3V 0603 LED Indication</t>
  </si>
  <si>
    <t>2.3V</t>
  </si>
  <si>
    <t>315</t>
  </si>
  <si>
    <t>C965800</t>
  </si>
  <si>
    <t>XL-1608UOC-06</t>
  </si>
  <si>
    <r>
      <rPr>
        <u val="single"/>
        <sz val="10"/>
        <color indexed="8"/>
        <rFont val="Arial"/>
      </rPr>
      <t>https://wmsc.lcsc.com/wmsc/upload/file/pdf/v2/lcsc/2402181505_XINGLIGHT-XL-1608UOC-06_C965800.pdf</t>
    </r>
  </si>
  <si>
    <r>
      <rPr>
        <sz val="10"/>
        <color indexed="8"/>
        <rFont val="Arial"/>
      </rPr>
      <t>LED_Orange_0603</t>
    </r>
  </si>
  <si>
    <r>
      <rPr>
        <sz val="10"/>
        <color indexed="8"/>
        <rFont val="Arial"/>
      </rPr>
      <t>Orange LED clear 2.3V 20mA 315mcd</t>
    </r>
  </si>
  <si>
    <r>
      <rPr>
        <u val="single"/>
        <sz val="10"/>
        <color indexed="8"/>
        <rFont val="Arial"/>
      </rPr>
      <t>C965801</t>
    </r>
  </si>
  <si>
    <t>Orange</t>
  </si>
  <si>
    <t>600nm~610nm</t>
  </si>
  <si>
    <t>C965801</t>
  </si>
  <si>
    <t>XL-1608UOC-04</t>
  </si>
  <si>
    <r>
      <rPr>
        <sz val="10"/>
        <color indexed="8"/>
        <rFont val="Arial"/>
      </rPr>
      <t>LED_Yellow_0603</t>
    </r>
  </si>
  <si>
    <r>
      <rPr>
        <sz val="10"/>
        <color indexed="8"/>
        <rFont val="Arial"/>
      </rPr>
      <t>Yellow LED clear 2.3V 20mA 450mcd</t>
    </r>
  </si>
  <si>
    <r>
      <rPr>
        <u val="single"/>
        <sz val="10"/>
        <color indexed="8"/>
        <rFont val="Arial"/>
      </rPr>
      <t>C965803</t>
    </r>
  </si>
  <si>
    <t>20mA 450mcd Colorless transparent -20℃~+85℃ 585nm~595nm Positive Stick Yellow 120° 50mW 2.3V 0603 LED Indication</t>
  </si>
  <si>
    <t>Yellow</t>
  </si>
  <si>
    <t>585nm~595nm</t>
  </si>
  <si>
    <t>450</t>
  </si>
  <si>
    <t>C965803</t>
  </si>
  <si>
    <t>XL-1608UYC-04</t>
  </si>
  <si>
    <r>
      <rPr>
        <u val="single"/>
        <sz val="10"/>
        <color indexed="8"/>
        <rFont val="Arial"/>
      </rPr>
      <t>https://wmsc.lcsc.com/wmsc/upload/file/pdf/v2/lcsc/2402181505_XINGLIGHT-XL-1608UOC-04_C965801.pdf</t>
    </r>
  </si>
  <si>
    <r>
      <rPr>
        <sz val="10"/>
        <color indexed="8"/>
        <rFont val="Arial"/>
      </rPr>
      <t>LED_Red _0603</t>
    </r>
  </si>
  <si>
    <r>
      <rPr>
        <sz val="10"/>
        <color indexed="8"/>
        <rFont val="Arial"/>
      </rPr>
      <t>Red  LED clear 2.2V 20mA 150mcd</t>
    </r>
  </si>
  <si>
    <r>
      <rPr>
        <u val="single"/>
        <sz val="10"/>
        <color indexed="8"/>
        <rFont val="Arial"/>
      </rPr>
      <t>C7288939</t>
    </r>
  </si>
  <si>
    <t>20mA 150mcd 622nm Red 120° 2.2V 0603 LED Indication</t>
  </si>
  <si>
    <t xml:space="preserve">Red </t>
  </si>
  <si>
    <t>150</t>
  </si>
  <si>
    <t>C7288939</t>
  </si>
  <si>
    <t>Inolux</t>
  </si>
  <si>
    <t>IN-S63ASR</t>
  </si>
  <si>
    <r>
      <rPr>
        <u val="single"/>
        <sz val="10"/>
        <color indexed="8"/>
        <rFont val="Arial"/>
      </rPr>
      <t>https://wmsc.lcsc.com/wmsc/upload/file/pdf/v2/lcsc/2404241146_Inolux-IN-S63ASR_C7288939.pdf</t>
    </r>
  </si>
  <si>
    <r>
      <rPr>
        <sz val="10"/>
        <color indexed="8"/>
        <rFont val="Arial"/>
      </rPr>
      <t>Red  LED clear 2.3V 20mA 330mcd</t>
    </r>
  </si>
  <si>
    <r>
      <rPr>
        <u val="single"/>
        <sz val="10"/>
        <color indexed="8"/>
        <rFont val="Arial"/>
      </rPr>
      <t>C965799</t>
    </r>
  </si>
  <si>
    <t>20mA 330mcd Colorless transparent -20℃~+85℃ Positive Stick 620nm~630nm Red 120° 50mW 2.3V 0603 LED Indication</t>
  </si>
  <si>
    <t>330</t>
  </si>
  <si>
    <t>C965799</t>
  </si>
  <si>
    <t>XL-1608SURC-06</t>
  </si>
  <si>
    <r>
      <rPr>
        <u val="single"/>
        <sz val="10"/>
        <color indexed="8"/>
        <rFont val="Arial"/>
      </rPr>
      <t>https://wmsc.lcsc.com/wmsc/upload/file/pdf/v2/lcsc/2402181505_XINGLIGHT-XL-1608SURC-06_C965799.pdf</t>
    </r>
  </si>
  <si>
    <r>
      <rPr>
        <sz val="10"/>
        <color indexed="8"/>
        <rFont val="Arial"/>
      </rPr>
      <t>LED_Red_0603</t>
    </r>
  </si>
  <si>
    <r>
      <rPr>
        <sz val="10"/>
        <color indexed="8"/>
        <rFont val="Arial"/>
      </rPr>
      <t>Red LED clear 2.4V 20mA 360mcd</t>
    </r>
  </si>
  <si>
    <r>
      <rPr>
        <u val="single"/>
        <sz val="10"/>
        <color indexed="8"/>
        <rFont val="Arial"/>
      </rPr>
      <t>C965798</t>
    </r>
  </si>
  <si>
    <t>20mA 360mcd Colorless transparent 615nm~625nm -20℃~+85℃ Positive Stick Red 120° 50mW 2.4V 0603 LED Indication</t>
  </si>
  <si>
    <t>Red</t>
  </si>
  <si>
    <t>615nm~625nm</t>
  </si>
  <si>
    <t>360</t>
  </si>
  <si>
    <t>C965798</t>
  </si>
  <si>
    <t xml:space="preserve">XL-1608SURC-04
</t>
  </si>
  <si>
    <r>
      <rPr>
        <u val="single"/>
        <sz val="10"/>
        <color indexed="8"/>
        <rFont val="Arial"/>
      </rPr>
      <t>https://wmsc.lcsc.com/wmsc/upload/file/pdf/v2/lcsc/2402181505_XINGLIGHT-XL-1608SURC-04_C965798.pdf</t>
    </r>
  </si>
  <si>
    <r>
      <rPr>
        <sz val="10"/>
        <color indexed="8"/>
        <rFont val="Arial"/>
      </rPr>
      <t>LED_WS2812B_SMD5050</t>
    </r>
  </si>
  <si>
    <r>
      <rPr>
        <sz val="10"/>
        <color indexed="8"/>
        <rFont val="Arial"/>
      </rPr>
      <t>WS2812B LED WS2812B-WS2812B5050 5v 12mA</t>
    </r>
  </si>
  <si>
    <r>
      <rPr>
        <u val="single"/>
        <sz val="10"/>
        <color indexed="8"/>
        <rFont val="Arial"/>
      </rPr>
      <t>C2843785</t>
    </r>
  </si>
  <si>
    <t>SMD5050 RGB LEDs(Built-in IC) NeoPixel</t>
  </si>
  <si>
    <t>WS2812B</t>
  </si>
  <si>
    <t>WS2812B-WS2812B5050</t>
  </si>
  <si>
    <t>5v</t>
  </si>
  <si>
    <t>12mA</t>
  </si>
  <si>
    <t>SMD5050</t>
  </si>
  <si>
    <t>C2843785</t>
  </si>
  <si>
    <t>XL-5050RGBC-WS2812B</t>
  </si>
  <si>
    <t>SPCoast:WS2812B</t>
  </si>
  <si>
    <r>
      <rPr>
        <u val="single"/>
        <sz val="10"/>
        <color indexed="8"/>
        <rFont val="Arial"/>
      </rPr>
      <t>https://www.lcsc.com/datasheet/lcsc_datasheet_2404120946_XINGLIGHT-XL-5050RGBC-WS2812B_C2843785.pdf</t>
    </r>
  </si>
  <si>
    <r>
      <rPr>
        <sz val="10"/>
        <color indexed="8"/>
        <rFont val="Arial"/>
      </rPr>
      <t>REG_AMS1117-ADJ_SOT-223-3</t>
    </r>
  </si>
  <si>
    <r>
      <rPr>
        <sz val="10"/>
        <color indexed="8"/>
        <rFont val="Arial"/>
      </rPr>
      <t>AMS1117-ADJ ADJ 1.25-10.5v 1A</t>
    </r>
  </si>
  <si>
    <r>
      <rPr>
        <sz val="10"/>
        <color indexed="8"/>
        <rFont val="Arial"/>
      </rPr>
      <t>AMS1117-ADJ REG ADJ 1.25-10.5v 1A</t>
    </r>
  </si>
  <si>
    <r>
      <rPr>
        <u val="single"/>
        <sz val="10"/>
        <color indexed="8"/>
        <rFont val="Arial"/>
      </rPr>
      <t>C5345985</t>
    </r>
  </si>
  <si>
    <t>REG</t>
  </si>
  <si>
    <r>
      <rPr>
        <sz val="10"/>
        <color indexed="8"/>
        <rFont val="American Typewriter"/>
      </rPr>
      <t>1A Low Dropout regulator positive adjustable output / fixed: 1.5V</t>
    </r>
    <r>
      <rPr>
        <sz val="10"/>
        <color indexed="8"/>
        <rFont val="Symbol"/>
      </rPr>
      <t>≤</t>
    </r>
    <r>
      <rPr>
        <sz val="10"/>
        <color indexed="8"/>
        <rFont val="American Typewriter"/>
      </rPr>
      <t xml:space="preserve"> (V</t>
    </r>
    <r>
      <rPr>
        <sz val="5"/>
        <color indexed="8"/>
        <rFont val="American Typewriter"/>
      </rPr>
      <t>IN</t>
    </r>
    <r>
      <rPr>
        <sz val="10"/>
        <color indexed="8"/>
        <rFont val="American Typewriter"/>
      </rPr>
      <t xml:space="preserve"> - V</t>
    </r>
    <r>
      <rPr>
        <sz val="5"/>
        <color indexed="8"/>
        <rFont val="American Typewriter"/>
      </rPr>
      <t>OUT</t>
    </r>
    <r>
      <rPr>
        <sz val="10"/>
        <color indexed="8"/>
        <rFont val="American Typewriter"/>
      </rPr>
      <t xml:space="preserve">) </t>
    </r>
    <r>
      <rPr>
        <sz val="10"/>
        <color indexed="8"/>
        <rFont val="Symbol"/>
      </rPr>
      <t>≤</t>
    </r>
    <r>
      <rPr>
        <sz val="10"/>
        <color indexed="8"/>
        <rFont val="American Typewriter"/>
      </rPr>
      <t xml:space="preserve"> 12V 1.5V 1.8V 2.5V 2.85V 3.3V and 5.0V </t>
    </r>
  </si>
  <si>
    <t>AMS1117-ADJ</t>
  </si>
  <si>
    <t>ADJ</t>
  </si>
  <si>
    <t>1.25-10.5v</t>
  </si>
  <si>
    <t>1A</t>
  </si>
  <si>
    <t>SOT-223-3</t>
  </si>
  <si>
    <t>C5345985</t>
  </si>
  <si>
    <t>HXY MOSFET</t>
  </si>
  <si>
    <t>SPCoast:AMS1117</t>
  </si>
  <si>
    <t>SPCoast:SOT-223-3_TabPin2</t>
  </si>
  <si>
    <r>
      <rPr>
        <u val="single"/>
        <sz val="10"/>
        <color indexed="8"/>
        <rFont val="Arial"/>
      </rPr>
      <t>https://wmsc.lcsc.com/wmsc/upload/file/pdf/v2/lcsc/2301120930_HXY-MOSFET-AMS1117-ADJ_C5345985.pdf</t>
    </r>
  </si>
  <si>
    <r>
      <rPr>
        <sz val="10"/>
        <color indexed="8"/>
        <rFont val="Arial"/>
      </rPr>
      <t>REG_AMS1117-3.3_SOT-223-3</t>
    </r>
  </si>
  <si>
    <r>
      <rPr>
        <sz val="10"/>
        <color indexed="8"/>
        <rFont val="Arial"/>
      </rPr>
      <t>AMS1117-3.3 3v3 3v3 1A</t>
    </r>
  </si>
  <si>
    <r>
      <rPr>
        <sz val="10"/>
        <color indexed="8"/>
        <rFont val="Arial"/>
      </rPr>
      <t>AMS1117-3.3 REG 3v3 3v3 1A</t>
    </r>
  </si>
  <si>
    <r>
      <rPr>
        <u val="single"/>
        <sz val="10"/>
        <color indexed="8"/>
        <rFont val="Arial"/>
      </rPr>
      <t>C5345982</t>
    </r>
  </si>
  <si>
    <t>1A Low Dropout regulator positive fixed 3.3V</t>
  </si>
  <si>
    <t>AMS1117-3.3</t>
  </si>
  <si>
    <t>3v3</t>
  </si>
  <si>
    <t>C5345982</t>
  </si>
  <si>
    <r>
      <rPr>
        <u val="single"/>
        <sz val="10"/>
        <color indexed="8"/>
        <rFont val="Arial"/>
      </rPr>
      <t>https://wmsc.lcsc.com/wmsc/upload/file/pdf/v2/lcsc/2301120930_HXY-MOSFET-AMS1117-3-3_C5345982.pdf</t>
    </r>
  </si>
  <si>
    <r>
      <rPr>
        <sz val="10"/>
        <color indexed="8"/>
        <rFont val="Arial"/>
      </rPr>
      <t>REG_AMS1117-5.0_SOT-223-3</t>
    </r>
  </si>
  <si>
    <r>
      <rPr>
        <sz val="10"/>
        <color indexed="8"/>
        <rFont val="Arial"/>
      </rPr>
      <t>AMS1117-5.0 5v 5v0 1A</t>
    </r>
  </si>
  <si>
    <r>
      <rPr>
        <sz val="10"/>
        <color indexed="8"/>
        <rFont val="Arial"/>
      </rPr>
      <t>AMS1117-5.0 REG 5v 5v0 1A</t>
    </r>
  </si>
  <si>
    <r>
      <rPr>
        <u val="single"/>
        <sz val="10"/>
        <color indexed="8"/>
        <rFont val="Arial"/>
      </rPr>
      <t>C5345984</t>
    </r>
  </si>
  <si>
    <t xml:space="preserve">1A Low Dropout regulator positive fixed 5.0V </t>
  </si>
  <si>
    <t>AMS1117-5.0</t>
  </si>
  <si>
    <t>5v0</t>
  </si>
  <si>
    <t>C5345984</t>
  </si>
  <si>
    <r>
      <rPr>
        <u val="single"/>
        <sz val="10"/>
        <color indexed="8"/>
        <rFont val="Arial"/>
      </rPr>
      <t>https://wmsc.lcsc.com/wmsc/upload/file/pdf/v2/lcsc/2301120930_HXY-MOSFET-AMS1117-5-0_C5345984.pdf</t>
    </r>
  </si>
  <si>
    <r>
      <rPr>
        <sz val="10"/>
        <color indexed="8"/>
        <rFont val="Arial"/>
      </rPr>
      <t>REG_78L05_TO-220</t>
    </r>
  </si>
  <si>
    <r>
      <rPr>
        <sz val="10"/>
        <color indexed="8"/>
        <rFont val="Arial"/>
      </rPr>
      <t>78L05 5v</t>
    </r>
  </si>
  <si>
    <r>
      <rPr>
        <sz val="10"/>
        <color indexed="8"/>
        <rFont val="Arial"/>
      </rPr>
      <t>78L05 REG 5v</t>
    </r>
  </si>
  <si>
    <t>5v Linear Regulator</t>
  </si>
  <si>
    <t>78L05</t>
  </si>
  <si>
    <t>TO-220</t>
  </si>
  <si>
    <r>
      <rPr>
        <sz val="10"/>
        <color indexed="8"/>
        <rFont val="Arial"/>
      </rPr>
      <t>RLY_G2RL-2_29x12.7x15.7mm</t>
    </r>
  </si>
  <si>
    <r>
      <rPr>
        <sz val="10"/>
        <color indexed="8"/>
        <rFont val="Arial"/>
      </rPr>
      <t>G2RL-2 24v DPDT 24v 8A</t>
    </r>
  </si>
  <si>
    <r>
      <rPr>
        <sz val="10"/>
        <color indexed="8"/>
        <rFont val="Arial"/>
      </rPr>
      <t>G2RL-2 RLY 24v DPDT 24v 8A</t>
    </r>
  </si>
  <si>
    <t>RLY</t>
  </si>
  <si>
    <t>DPDT Low profile power relay 15.7mmH</t>
  </si>
  <si>
    <t>G2RL-2</t>
  </si>
  <si>
    <t>24v DPDT</t>
  </si>
  <si>
    <t>24v</t>
  </si>
  <si>
    <t>8A</t>
  </si>
  <si>
    <t>29x12.7x15.7mm</t>
  </si>
  <si>
    <t>Omron</t>
  </si>
  <si>
    <t>G2RL-2 / 24v</t>
  </si>
  <si>
    <t>SPCoast:G2RL-2</t>
  </si>
  <si>
    <t>SPCoast:Relay_DPDT_Omron_G2RL-2</t>
  </si>
  <si>
    <r>
      <rPr>
        <u val="single"/>
        <sz val="10"/>
        <color indexed="8"/>
        <rFont val="Arial"/>
      </rPr>
      <t>https://omronfs.omron.com/en_US/ecb/products/pdf/en-g2rl.pdf</t>
    </r>
  </si>
  <si>
    <r>
      <rPr>
        <sz val="10"/>
        <color indexed="8"/>
        <rFont val="Arial"/>
      </rPr>
      <t>Q_NPN_600mA_SOT-23_MMBT2222LT1G</t>
    </r>
  </si>
  <si>
    <r>
      <rPr>
        <sz val="10"/>
        <color indexed="8"/>
        <rFont val="Arial"/>
      </rPr>
      <t>MMBT2222LT1G NPN 30V 600mA 300mW</t>
    </r>
  </si>
  <si>
    <r>
      <rPr>
        <sz val="10"/>
        <color indexed="8"/>
        <rFont val="Arial"/>
      </rPr>
      <t>MMBT2222LT1G Q NPN 30V 600mA 300mW</t>
    </r>
  </si>
  <si>
    <t>Q</t>
  </si>
  <si>
    <t>NPN 30 V 600 mA 250MHz 300 mW Surface Mount SOT-23-3 (TO-236)</t>
  </si>
  <si>
    <t>MMBT2222LT1G</t>
  </si>
  <si>
    <t>NPN</t>
  </si>
  <si>
    <t>600mA</t>
  </si>
  <si>
    <t>300mW</t>
  </si>
  <si>
    <t>ONSemi</t>
  </si>
  <si>
    <t>Device:Q_NPN_BEC</t>
  </si>
  <si>
    <r>
      <rPr>
        <sz val="10"/>
        <color indexed="8"/>
        <rFont val="Arial"/>
      </rPr>
      <t>Q_NPN_200mA_SOT-23_MMBT3904</t>
    </r>
  </si>
  <si>
    <r>
      <rPr>
        <sz val="10"/>
        <color indexed="8"/>
        <rFont val="Arial"/>
      </rPr>
      <t>MMBT3904 NPN 40V 200mA 200mW</t>
    </r>
  </si>
  <si>
    <r>
      <rPr>
        <sz val="10"/>
        <color indexed="8"/>
        <rFont val="Arial"/>
      </rPr>
      <t>MMBT3904 Q NPN 40V 200mA 200mW</t>
    </r>
  </si>
  <si>
    <r>
      <rPr>
        <u val="single"/>
        <sz val="10"/>
        <color indexed="8"/>
        <rFont val="Arial"/>
      </rPr>
      <t>C5184404</t>
    </r>
  </si>
  <si>
    <t>NPN 40V 200mW 100@10mA 1V 200mA NPN SOT-23</t>
  </si>
  <si>
    <t>MMBT3904</t>
  </si>
  <si>
    <t>40V</t>
  </si>
  <si>
    <t>200mA</t>
  </si>
  <si>
    <t>C5184404</t>
  </si>
  <si>
    <r>
      <rPr>
        <u val="single"/>
        <sz val="10"/>
        <color indexed="8"/>
        <rFont val="Arial"/>
      </rPr>
      <t>https://wmsc.lcsc.com/wmsc/upload/file/pdf/v2/lcsc/2407151447_HXY-MOSFET-MMBT3904_C5184404.pdf</t>
    </r>
  </si>
  <si>
    <r>
      <rPr>
        <sz val="10"/>
        <color indexed="8"/>
        <rFont val="Arial"/>
      </rPr>
      <t>Q_PNP_500mA_SOT-23_BC807</t>
    </r>
  </si>
  <si>
    <r>
      <rPr>
        <sz val="10"/>
        <color indexed="8"/>
        <rFont val="Arial"/>
      </rPr>
      <t>BC807 PNP 45V 500mA 300mW</t>
    </r>
  </si>
  <si>
    <r>
      <rPr>
        <sz val="10"/>
        <color indexed="8"/>
        <rFont val="Arial"/>
      </rPr>
      <t>BC807 Q PNP 45V 500mA 300mW</t>
    </r>
  </si>
  <si>
    <r>
      <rPr>
        <u val="single"/>
        <sz val="10"/>
        <color indexed="8"/>
        <rFont val="Arial"/>
      </rPr>
      <t>C5184433</t>
    </r>
  </si>
  <si>
    <t>PNP 45V 300mW 250@100mA 1V 500mA PNP SOT-23</t>
  </si>
  <si>
    <t>BC807</t>
  </si>
  <si>
    <t>PNP</t>
  </si>
  <si>
    <t>45V</t>
  </si>
  <si>
    <t>500mA</t>
  </si>
  <si>
    <t>C5184433</t>
  </si>
  <si>
    <t>BC807-40</t>
  </si>
  <si>
    <t>Device:Q_PNP_BEC</t>
  </si>
  <si>
    <r>
      <rPr>
        <u val="single"/>
        <sz val="10"/>
        <color indexed="8"/>
        <rFont val="Arial"/>
      </rPr>
      <t>https://wmsc.lcsc.com/wmsc/upload/file/pdf/v2/lcsc/2303091430_HXY-MOSFET-BC807-40_C5184433.pdf</t>
    </r>
  </si>
  <si>
    <r>
      <rPr>
        <sz val="10"/>
        <color indexed="8"/>
        <rFont val="Arial"/>
      </rPr>
      <t>Q_N-FET_300mA_SO-8_2N7002</t>
    </r>
  </si>
  <si>
    <r>
      <rPr>
        <sz val="10"/>
        <color indexed="8"/>
        <rFont val="Arial"/>
      </rPr>
      <t>2N7002 N-FET 60v 300mA</t>
    </r>
  </si>
  <si>
    <r>
      <rPr>
        <sz val="10"/>
        <color indexed="8"/>
        <rFont val="Arial"/>
      </rPr>
      <t>2N7002 Q N-FET 60v 300mA</t>
    </r>
  </si>
  <si>
    <r>
      <rPr>
        <u val="single"/>
        <sz val="10"/>
        <color indexed="8"/>
        <rFont val="Arial"/>
      </rPr>
      <t>C5224215</t>
    </r>
  </si>
  <si>
    <t>60V 300mA 1.5@10V 500mA 200mW 1.5V@250uA N-Channel SOT-23 MOSFETs</t>
  </si>
  <si>
    <t>2N7002</t>
  </si>
  <si>
    <t>N-FET</t>
  </si>
  <si>
    <t>60v</t>
  </si>
  <si>
    <t>300mA</t>
  </si>
  <si>
    <t>C5224215</t>
  </si>
  <si>
    <t>ElecSuper</t>
  </si>
  <si>
    <t>Device:Q_NMOS_GSD</t>
  </si>
  <si>
    <r>
      <rPr>
        <u val="single"/>
        <sz val="10"/>
        <color indexed="8"/>
        <rFont val="Arial"/>
      </rPr>
      <t>https://wmsc.lcsc.com/wmsc/upload/file/pdf/v2/lcsc/2210271630_ElecSuper-2N7002_C5224215.pdf</t>
    </r>
  </si>
  <si>
    <r>
      <rPr>
        <sz val="10"/>
        <color indexed="8"/>
        <rFont val="Arial"/>
      </rPr>
      <t>Q_N-FET_10A_SOT-23_DMN4468</t>
    </r>
  </si>
  <si>
    <r>
      <rPr>
        <sz val="10"/>
        <color indexed="8"/>
        <rFont val="Arial"/>
      </rPr>
      <t>DMN4468 N-FET 30v 10A</t>
    </r>
  </si>
  <si>
    <r>
      <rPr>
        <sz val="10"/>
        <color indexed="8"/>
        <rFont val="Arial"/>
      </rPr>
      <t>DMN4468 Q N-FET 30v 10A</t>
    </r>
  </si>
  <si>
    <r>
      <rPr>
        <u val="single"/>
        <sz val="10"/>
        <color indexed="8"/>
        <rFont val="Arial"/>
      </rPr>
      <t>C878901</t>
    </r>
  </si>
  <si>
    <t>30V 10A 14m@10V00mA N-Channel SO-8 MOSFETs</t>
  </si>
  <si>
    <t>DMN4468</t>
  </si>
  <si>
    <t>30v</t>
  </si>
  <si>
    <t>10A</t>
  </si>
  <si>
    <t>SO-8</t>
  </si>
  <si>
    <t>C878901</t>
  </si>
  <si>
    <t>Diodes</t>
  </si>
  <si>
    <t>DMN4468LSS</t>
  </si>
  <si>
    <t>SPCoast:MOSFET-N</t>
  </si>
  <si>
    <t>SPCoast:SO-8</t>
  </si>
  <si>
    <r>
      <rPr>
        <u val="single"/>
        <sz val="10"/>
        <color indexed="8"/>
        <rFont val="Arial"/>
      </rPr>
      <t>https://www.diodes.com/assets/Datasheets/ds31773.pdf</t>
    </r>
  </si>
  <si>
    <r>
      <rPr>
        <sz val="10"/>
        <color indexed="8"/>
        <rFont val="Arial"/>
      </rPr>
      <t>Q_P-FET_2.3A_0603_2301V</t>
    </r>
  </si>
  <si>
    <r>
      <rPr>
        <sz val="10"/>
        <color indexed="8"/>
        <rFont val="Arial"/>
      </rPr>
      <t>2301V P-FET 20V 2.3A</t>
    </r>
  </si>
  <si>
    <r>
      <rPr>
        <sz val="10"/>
        <color indexed="8"/>
        <rFont val="Arial"/>
      </rPr>
      <t>2301V Q P-FET 20V 2.3A</t>
    </r>
  </si>
  <si>
    <r>
      <rPr>
        <u val="single"/>
        <sz val="10"/>
        <color indexed="8"/>
        <rFont val="Arial"/>
      </rPr>
      <t>C7499856</t>
    </r>
  </si>
  <si>
    <t>20V 2.3A 95m 1V 1 Piece P-Channel SOT-23 MOSFET</t>
  </si>
  <si>
    <t>2301V</t>
  </si>
  <si>
    <t>P-FET</t>
  </si>
  <si>
    <t>20V</t>
  </si>
  <si>
    <t>2.3A</t>
  </si>
  <si>
    <t>C7499856</t>
  </si>
  <si>
    <t>HL</t>
  </si>
  <si>
    <t>Device:Q_PMOS_GSD</t>
  </si>
  <si>
    <r>
      <rPr>
        <u val="single"/>
        <sz val="10"/>
        <color indexed="8"/>
        <rFont val="Arial"/>
      </rPr>
      <t>https://wmsc.lcsc.com/wmsc/upload/file/pdf/v2/lcsc/2310251707_HL-2301V_C7499856.pdf</t>
    </r>
  </si>
  <si>
    <r>
      <rPr>
        <sz val="10"/>
        <color indexed="8"/>
        <rFont val="Arial"/>
      </rPr>
      <t>RES_5%_100mW_0603_200</t>
    </r>
  </si>
  <si>
    <r>
      <rPr>
        <sz val="10"/>
        <color indexed="8"/>
        <rFont val="Arial"/>
      </rPr>
      <t>200 5% thick film 75V 100mW</t>
    </r>
  </si>
  <si>
    <r>
      <rPr>
        <sz val="10"/>
        <color indexed="8"/>
        <rFont val="Arial"/>
      </rPr>
      <t>200 RES 5% thick film 75V 100mW</t>
    </r>
  </si>
  <si>
    <r>
      <rPr>
        <u val="single"/>
        <sz val="10"/>
        <color indexed="8"/>
        <rFont val="Arial"/>
      </rPr>
      <t>C2907123</t>
    </r>
  </si>
  <si>
    <t>RES</t>
  </si>
  <si>
    <t xml:space="preserve">200 100mW  75V ±100ppm/℃ ±5% 0603 </t>
  </si>
  <si>
    <t>200</t>
  </si>
  <si>
    <t>thick film</t>
  </si>
  <si>
    <t>5%</t>
  </si>
  <si>
    <t>75V</t>
  </si>
  <si>
    <t>100mW</t>
  </si>
  <si>
    <t>C2907123</t>
  </si>
  <si>
    <t>FOJAN</t>
  </si>
  <si>
    <t>FRC0603J201 TS</t>
  </si>
  <si>
    <t>Device:R_US</t>
  </si>
  <si>
    <t>SPCoast:0603-RES</t>
  </si>
  <si>
    <r>
      <rPr>
        <u val="single"/>
        <sz val="10"/>
        <color indexed="8"/>
        <rFont val="Arial"/>
      </rPr>
      <t>https://wmsc.lcsc.com/wmsc/upload/file/pdf/v2/lcsc/2308241947_FOJAN-FRC0603J201-TS_C2907123.pdf</t>
    </r>
  </si>
  <si>
    <r>
      <rPr>
        <sz val="10"/>
        <color indexed="8"/>
        <rFont val="Arial"/>
      </rPr>
      <t>RES_1%_100mW_0603_220</t>
    </r>
  </si>
  <si>
    <r>
      <rPr>
        <sz val="10"/>
        <color indexed="8"/>
        <rFont val="Arial"/>
      </rPr>
      <t>220 1% thick film 150V 100mW</t>
    </r>
  </si>
  <si>
    <r>
      <rPr>
        <sz val="10"/>
        <color indexed="8"/>
        <rFont val="Arial"/>
      </rPr>
      <t>220 RES 1% thick film 150V 100mW</t>
    </r>
  </si>
  <si>
    <r>
      <rPr>
        <u val="single"/>
        <sz val="10"/>
        <color indexed="8"/>
        <rFont val="Arial"/>
      </rPr>
      <t>C5842375</t>
    </r>
  </si>
  <si>
    <r>
      <rPr>
        <sz val="9"/>
        <color indexed="8"/>
        <rFont val="Arial"/>
      </rPr>
      <t>RES_1%_100mW_0603_220</t>
    </r>
  </si>
  <si>
    <t xml:space="preserve">220 100mW s 150V ±100ppm/℃ ±1% 0603 </t>
  </si>
  <si>
    <t>220</t>
  </si>
  <si>
    <t>1%</t>
  </si>
  <si>
    <t>150V</t>
  </si>
  <si>
    <t>C5842375</t>
  </si>
  <si>
    <t>RC0603FR-13220RL</t>
  </si>
  <si>
    <r>
      <rPr>
        <u val="single"/>
        <sz val="10"/>
        <color indexed="8"/>
        <rFont val="Arial"/>
      </rPr>
      <t>https://wmsc.lcsc.com/wmsc/upload/file/pdf/v2/lcsc/2312030915_YAGEO-RC0603FR-13220RL_C5842375.pdf</t>
    </r>
  </si>
  <si>
    <r>
      <rPr>
        <sz val="10"/>
        <color indexed="8"/>
        <rFont val="Arial"/>
      </rPr>
      <t>RES_5%_100mW_0603_220</t>
    </r>
  </si>
  <si>
    <r>
      <rPr>
        <sz val="10"/>
        <color indexed="8"/>
        <rFont val="Arial"/>
      </rPr>
      <t>220 5% thick film 75V 100mW</t>
    </r>
  </si>
  <si>
    <r>
      <rPr>
        <sz val="10"/>
        <color indexed="8"/>
        <rFont val="Arial"/>
      </rPr>
      <t>220 RES 5% thick film 75V 100mW</t>
    </r>
  </si>
  <si>
    <r>
      <rPr>
        <u val="single"/>
        <sz val="10"/>
        <color indexed="8"/>
        <rFont val="Arial"/>
      </rPr>
      <t>C1226</t>
    </r>
  </si>
  <si>
    <r>
      <rPr>
        <sz val="9"/>
        <color indexed="8"/>
        <rFont val="Arial"/>
      </rPr>
      <t>RES_5%_100mW_0603_220</t>
    </r>
  </si>
  <si>
    <t>220 100mW  75V ±100ppm/℃ ±5% 0603</t>
  </si>
  <si>
    <t>C1226</t>
  </si>
  <si>
    <t>UNI-ROYAL</t>
  </si>
  <si>
    <t>0603WAJ0221T5E</t>
  </si>
  <si>
    <r>
      <rPr>
        <u val="single"/>
        <sz val="10"/>
        <color indexed="8"/>
        <rFont val="Arial"/>
      </rPr>
      <t>https://www.lcsc.com/datasheet/lcsc_datasheet_2206010230_UNI-ROYAL-Uniroyal-Elec-0603WAJ0221T5E_C1226.pdf</t>
    </r>
  </si>
  <si>
    <r>
      <rPr>
        <sz val="10"/>
        <color indexed="8"/>
        <rFont val="Arial"/>
      </rPr>
      <t>RES_5%_100mW_0603_330</t>
    </r>
  </si>
  <si>
    <r>
      <rPr>
        <sz val="10"/>
        <color indexed="8"/>
        <rFont val="Arial"/>
      </rPr>
      <t>330 5% thick film 75V 100mW</t>
    </r>
  </si>
  <si>
    <r>
      <rPr>
        <sz val="10"/>
        <color indexed="8"/>
        <rFont val="Arial"/>
      </rPr>
      <t>330 RES 5% thick film 75V 100mW</t>
    </r>
  </si>
  <si>
    <r>
      <rPr>
        <u val="single"/>
        <sz val="10"/>
        <color indexed="8"/>
        <rFont val="Arial"/>
      </rPr>
      <t>C25231</t>
    </r>
  </si>
  <si>
    <r>
      <rPr>
        <sz val="9"/>
        <color indexed="8"/>
        <rFont val="Arial"/>
      </rPr>
      <t>RES_5%_100mW_0603_330</t>
    </r>
  </si>
  <si>
    <t>330 100mW  75V ±100ppm/℃ ±5% 0603</t>
  </si>
  <si>
    <t>C25231</t>
  </si>
  <si>
    <t>0603WAJ0331T5E</t>
  </si>
  <si>
    <r>
      <rPr>
        <u val="single"/>
        <sz val="10"/>
        <color indexed="8"/>
        <rFont val="Arial"/>
      </rPr>
      <t>https://www.lcsc.com/datasheet/lcsc_datasheet_2205311845_UNI-ROYAL-Uniroyal-Elec-0603WAJ0331T5E_C25231.pdf</t>
    </r>
  </si>
  <si>
    <r>
      <rPr>
        <sz val="10"/>
        <color indexed="8"/>
        <rFont val="Arial"/>
      </rPr>
      <t>RES_5%_100mW_0603_470</t>
    </r>
  </si>
  <si>
    <r>
      <rPr>
        <sz val="10"/>
        <color indexed="8"/>
        <rFont val="Arial"/>
      </rPr>
      <t>470 5% thick film 75V 100mW</t>
    </r>
  </si>
  <si>
    <r>
      <rPr>
        <sz val="10"/>
        <color indexed="8"/>
        <rFont val="Arial"/>
      </rPr>
      <t>470 RES 5% thick film 75V 100mW</t>
    </r>
  </si>
  <si>
    <r>
      <rPr>
        <u val="single"/>
        <sz val="10"/>
        <color indexed="8"/>
        <rFont val="Arial"/>
      </rPr>
      <t>C25241</t>
    </r>
  </si>
  <si>
    <r>
      <rPr>
        <sz val="9"/>
        <color indexed="8"/>
        <rFont val="Arial"/>
      </rPr>
      <t>RES_5%_100mW_0603_470</t>
    </r>
  </si>
  <si>
    <t>470 100mW  75V ±100ppm/℃ ±5% 0603</t>
  </si>
  <si>
    <t>470</t>
  </si>
  <si>
    <t>C25241</t>
  </si>
  <si>
    <t>0603WAJ0471T5E</t>
  </si>
  <si>
    <r>
      <rPr>
        <u val="single"/>
        <sz val="10"/>
        <color indexed="8"/>
        <rFont val="Arial"/>
      </rPr>
      <t>https://www.lcsc.com/datasheet/lcsc_datasheet_2205311845_UNI-ROYAL-Uniroyal-Elec-0603WAJ0471T5E_C25241.pdf</t>
    </r>
  </si>
  <si>
    <r>
      <rPr>
        <sz val="10"/>
        <color indexed="8"/>
        <rFont val="Arial"/>
      </rPr>
      <t>RES_5%_100mW_0603_1k</t>
    </r>
  </si>
  <si>
    <r>
      <rPr>
        <sz val="10"/>
        <color indexed="8"/>
        <rFont val="Arial"/>
      </rPr>
      <t>1k 5% thick film 75V 100mW</t>
    </r>
  </si>
  <si>
    <r>
      <rPr>
        <sz val="10"/>
        <color indexed="8"/>
        <rFont val="Arial"/>
      </rPr>
      <t>1k RES 5% thick film 75V 100mW</t>
    </r>
  </si>
  <si>
    <r>
      <rPr>
        <u val="single"/>
        <sz val="10"/>
        <color indexed="8"/>
        <rFont val="Arial"/>
      </rPr>
      <t>C25585</t>
    </r>
  </si>
  <si>
    <r>
      <rPr>
        <sz val="9"/>
        <color indexed="8"/>
        <rFont val="Arial"/>
      </rPr>
      <t>RES_5%_100mW_0603_1k</t>
    </r>
  </si>
  <si>
    <t xml:space="preserve">1k 100mW  75V ±100ppm/℃ ±5% 0603 </t>
  </si>
  <si>
    <t>1k</t>
  </si>
  <si>
    <t>C25585</t>
  </si>
  <si>
    <t>0603WAJ0102T5E</t>
  </si>
  <si>
    <r>
      <rPr>
        <u val="single"/>
        <sz val="10"/>
        <color indexed="8"/>
        <rFont val="Arial"/>
      </rPr>
      <t>https://www.lcsc.com/datasheet/lcsc_datasheet_2206010100_UNI-ROYAL-Uniroyal-Elec-0603WAJ0102T5E_C25585.pdf</t>
    </r>
  </si>
  <si>
    <r>
      <rPr>
        <sz val="10"/>
        <color indexed="8"/>
        <rFont val="Arial"/>
      </rPr>
      <t>RES_5%_100mW_0603_2.2k</t>
    </r>
  </si>
  <si>
    <r>
      <rPr>
        <sz val="10"/>
        <color indexed="8"/>
        <rFont val="Arial"/>
      </rPr>
      <t>2.2k 5% thick film 75V 100mW</t>
    </r>
  </si>
  <si>
    <r>
      <rPr>
        <sz val="10"/>
        <color indexed="8"/>
        <rFont val="Arial"/>
      </rPr>
      <t>2.2k RES 5% thick film 75V 100mW</t>
    </r>
  </si>
  <si>
    <r>
      <rPr>
        <u val="single"/>
        <sz val="10"/>
        <color indexed="8"/>
        <rFont val="Arial"/>
      </rPr>
      <t>C25992</t>
    </r>
  </si>
  <si>
    <r>
      <rPr>
        <sz val="9"/>
        <color indexed="8"/>
        <rFont val="Arial"/>
      </rPr>
      <t>RES_5%_100mW_0603_2.2k</t>
    </r>
  </si>
  <si>
    <t>2.2k 100mW  75V ±100ppm/℃ ±5% 0603</t>
  </si>
  <si>
    <t>2.2k</t>
  </si>
  <si>
    <t>C25992</t>
  </si>
  <si>
    <t>0603WAJ0222T5E</t>
  </si>
  <si>
    <r>
      <rPr>
        <u val="single"/>
        <sz val="10"/>
        <color indexed="8"/>
        <rFont val="Arial"/>
      </rPr>
      <t>https://www.lcsc.com/datasheet/lcsc_datasheet_2206010045_UNI-ROYAL-Uniroyal-Elec-0603WAJ0222T5E_C25992.pdf</t>
    </r>
  </si>
  <si>
    <r>
      <rPr>
        <sz val="10"/>
        <color indexed="8"/>
        <rFont val="Arial"/>
      </rPr>
      <t>RES_1%_100mW_0603_3.3k</t>
    </r>
  </si>
  <si>
    <r>
      <rPr>
        <sz val="10"/>
        <color indexed="8"/>
        <rFont val="Arial"/>
      </rPr>
      <t>3.3k 1% thick film 75V 100mW</t>
    </r>
  </si>
  <si>
    <r>
      <rPr>
        <sz val="10"/>
        <color indexed="8"/>
        <rFont val="Arial"/>
      </rPr>
      <t>3.3k RES 1% thick film 75V 100mW</t>
    </r>
  </si>
  <si>
    <r>
      <rPr>
        <u val="single"/>
        <sz val="10"/>
        <color indexed="8"/>
        <rFont val="Arial"/>
      </rPr>
      <t>C2907023</t>
    </r>
  </si>
  <si>
    <r>
      <rPr>
        <sz val="9"/>
        <color indexed="8"/>
        <rFont val="Arial"/>
      </rPr>
      <t>RES_1%_100mW_0603_3.3k</t>
    </r>
  </si>
  <si>
    <t xml:space="preserve">3.3k 100mW s 75V ±100ppm/℃ ±1% 0603 </t>
  </si>
  <si>
    <t>3.3k</t>
  </si>
  <si>
    <t>C2907023</t>
  </si>
  <si>
    <t>FRC0603F3301TS</t>
  </si>
  <si>
    <r>
      <rPr>
        <u val="single"/>
        <sz val="10"/>
        <color indexed="8"/>
        <rFont val="Arial"/>
      </rPr>
      <t>https://wmsc.lcsc.com/wmsc/upload/file/pdf/v2/lcsc/2308241947_FOJAN-FRC0603F3301TS_C2907023.pdf</t>
    </r>
  </si>
  <si>
    <r>
      <rPr>
        <sz val="10"/>
        <color indexed="8"/>
        <rFont val="Arial"/>
      </rPr>
      <t>RES_5%_100mW_0603_3.3k</t>
    </r>
  </si>
  <si>
    <r>
      <rPr>
        <sz val="10"/>
        <color indexed="8"/>
        <rFont val="Arial"/>
      </rPr>
      <t>3.3k 5% thick film 75V 100mW</t>
    </r>
  </si>
  <si>
    <r>
      <rPr>
        <sz val="10"/>
        <color indexed="8"/>
        <rFont val="Arial"/>
      </rPr>
      <t>3.3k RES 5% thick film 75V 100mW</t>
    </r>
  </si>
  <si>
    <r>
      <rPr>
        <u val="single"/>
        <sz val="10"/>
        <color indexed="8"/>
        <rFont val="Arial"/>
      </rPr>
      <t>C25995</t>
    </r>
  </si>
  <si>
    <r>
      <rPr>
        <sz val="9"/>
        <color indexed="8"/>
        <rFont val="Arial"/>
      </rPr>
      <t>RES_5%_100mW_0603_3.3k</t>
    </r>
  </si>
  <si>
    <t>3.3k 100mW  75V ±100ppm/℃ ±5% 0603</t>
  </si>
  <si>
    <t>C25995</t>
  </si>
  <si>
    <t>0603WAJ0332T5E</t>
  </si>
  <si>
    <r>
      <rPr>
        <u val="single"/>
        <sz val="10"/>
        <color indexed="8"/>
        <rFont val="Arial"/>
      </rPr>
      <t>https://www.lcsc.com/datasheet/lcsc_datasheet_2206010045_UNI-ROYAL-Uniroyal-Elec-0603WAJ0332T5E_C25995.pdf</t>
    </r>
  </si>
  <si>
    <r>
      <rPr>
        <sz val="10"/>
        <color indexed="8"/>
        <rFont val="Arial"/>
      </rPr>
      <t>RES_5%_100mW_0603_4.7k</t>
    </r>
  </si>
  <si>
    <r>
      <rPr>
        <sz val="10"/>
        <color indexed="8"/>
        <rFont val="Arial"/>
      </rPr>
      <t>4.7k 5% thick film 75V 100mW</t>
    </r>
  </si>
  <si>
    <r>
      <rPr>
        <sz val="10"/>
        <color indexed="8"/>
        <rFont val="Arial"/>
      </rPr>
      <t>4.7k RES 5% thick film 75V 100mW</t>
    </r>
  </si>
  <si>
    <r>
      <rPr>
        <u val="single"/>
        <sz val="10"/>
        <color indexed="8"/>
        <rFont val="Arial"/>
      </rPr>
      <t>C25999</t>
    </r>
  </si>
  <si>
    <r>
      <rPr>
        <sz val="9"/>
        <color indexed="8"/>
        <rFont val="Arial"/>
      </rPr>
      <t>RES_5%_100mW_0603_4.7k</t>
    </r>
  </si>
  <si>
    <t>4.7k 100mW  75V ±100ppm/℃ ±5% 0603</t>
  </si>
  <si>
    <t>4.7k</t>
  </si>
  <si>
    <t>C25999</t>
  </si>
  <si>
    <t>0603WAJ0472T5E</t>
  </si>
  <si>
    <r>
      <rPr>
        <u val="single"/>
        <sz val="10"/>
        <color indexed="8"/>
        <rFont val="Arial"/>
      </rPr>
      <t>https://www.lcsc.com/datasheet/lcsc_datasheet_2206010045_UNI-ROYAL-Uniroyal-Elec-0603WAJ0472T5E_C25999.pdf</t>
    </r>
  </si>
  <si>
    <r>
      <rPr>
        <sz val="10"/>
        <color indexed="8"/>
        <rFont val="Arial"/>
      </rPr>
      <t>RES_5%_100mW_0603_5.6k</t>
    </r>
  </si>
  <si>
    <r>
      <rPr>
        <sz val="10"/>
        <color indexed="8"/>
        <rFont val="Arial"/>
      </rPr>
      <t>5.6k 5% thick film 75V 100mW</t>
    </r>
  </si>
  <si>
    <r>
      <rPr>
        <sz val="10"/>
        <color indexed="8"/>
        <rFont val="Arial"/>
      </rPr>
      <t>5.6k RES 5% thick film 75V 100mW</t>
    </r>
  </si>
  <si>
    <r>
      <rPr>
        <u val="single"/>
        <sz val="10"/>
        <color indexed="8"/>
        <rFont val="Arial"/>
      </rPr>
      <t>C26001</t>
    </r>
  </si>
  <si>
    <r>
      <rPr>
        <sz val="9"/>
        <color indexed="8"/>
        <rFont val="Arial"/>
      </rPr>
      <t>RES_5%_100mW_0603_5.6k</t>
    </r>
  </si>
  <si>
    <t>5.6k 100mW  75V ±100ppm/℃ ±5% 0603</t>
  </si>
  <si>
    <t>5.6k</t>
  </si>
  <si>
    <t>C26001</t>
  </si>
  <si>
    <t>0603WAJ0562T5E</t>
  </si>
  <si>
    <r>
      <rPr>
        <u val="single"/>
        <sz val="10"/>
        <color indexed="8"/>
        <rFont val="Arial"/>
      </rPr>
      <t>https://www.lcsc.com/datasheet/lcsc_datasheet_2206010045_UNI-ROYAL-Uniroyal-Elec-0603WAJ0562T5E_C26001.pdf</t>
    </r>
  </si>
  <si>
    <r>
      <rPr>
        <sz val="10"/>
        <color indexed="8"/>
        <rFont val="Arial"/>
      </rPr>
      <t>RES_5%_100mW_0603_10k</t>
    </r>
  </si>
  <si>
    <r>
      <rPr>
        <sz val="10"/>
        <color indexed="8"/>
        <rFont val="Arial"/>
      </rPr>
      <t>10k 5% thick film 150V 100mW</t>
    </r>
  </si>
  <si>
    <r>
      <rPr>
        <sz val="10"/>
        <color indexed="8"/>
        <rFont val="Arial"/>
      </rPr>
      <t>10k RES 5% thick film 150V 100mW</t>
    </r>
  </si>
  <si>
    <r>
      <rPr>
        <u val="single"/>
        <sz val="10"/>
        <color indexed="8"/>
        <rFont val="Arial"/>
      </rPr>
      <t>C4118381</t>
    </r>
  </si>
  <si>
    <r>
      <rPr>
        <sz val="9"/>
        <color indexed="8"/>
        <rFont val="Arial"/>
      </rPr>
      <t>RES_5%_100mW_0603_10k</t>
    </r>
  </si>
  <si>
    <t xml:space="preserve">10k 100mW s 150V ±100ppm/℃ ±5% 0603 </t>
  </si>
  <si>
    <t>10k</t>
  </si>
  <si>
    <t>C4118381</t>
  </si>
  <si>
    <t>RC0603JR-1310KL</t>
  </si>
  <si>
    <r>
      <rPr>
        <u val="single"/>
        <sz val="10"/>
        <color indexed="8"/>
        <rFont val="Arial"/>
      </rPr>
      <t>https://wmsc.lcsc.com/wmsc/upload/file/pdf/v2/lcsc/2404101024_YAGEO-RC0603JR-1310KL_C4118381.pdf</t>
    </r>
  </si>
  <si>
    <r>
      <rPr>
        <sz val="10"/>
        <color indexed="8"/>
        <rFont val="Arial"/>
      </rPr>
      <t>10k 5% thick film 75V 100mW</t>
    </r>
  </si>
  <si>
    <r>
      <rPr>
        <sz val="10"/>
        <color indexed="8"/>
        <rFont val="Arial"/>
      </rPr>
      <t>10k RES 5% thick film 75V 100mW</t>
    </r>
  </si>
  <si>
    <r>
      <rPr>
        <u val="single"/>
        <sz val="10"/>
        <color indexed="8"/>
        <rFont val="Arial"/>
      </rPr>
      <t>C2930027</t>
    </r>
  </si>
  <si>
    <t xml:space="preserve">10k 100mW  75V ±100ppm/℃ ±5% 0603 </t>
  </si>
  <si>
    <t>C2930027</t>
  </si>
  <si>
    <t>FRC0603J103TS</t>
  </si>
  <si>
    <r>
      <rPr>
        <u val="single"/>
        <sz val="10"/>
        <color indexed="8"/>
        <rFont val="Arial"/>
      </rPr>
      <t>https://wmsc.lcsc.com/wmsc/upload/file/pdf/v2/lcsc/2308241009_FOJAN-FRC0603J103TS_C2930027.pdf</t>
    </r>
  </si>
  <si>
    <r>
      <rPr>
        <u val="single"/>
        <sz val="10"/>
        <color indexed="8"/>
        <rFont val="Arial"/>
      </rPr>
      <t>C15401</t>
    </r>
  </si>
  <si>
    <t>10k 100mW  75V ±100ppm/℃ ±5% 0603</t>
  </si>
  <si>
    <t>C15401</t>
  </si>
  <si>
    <t>0603WAJ0103T5E</t>
  </si>
  <si>
    <r>
      <rPr>
        <sz val="10"/>
        <color indexed="8"/>
        <rFont val="Arial"/>
      </rPr>
      <t>RES_5%_100mW_0603_22k</t>
    </r>
  </si>
  <si>
    <r>
      <rPr>
        <sz val="10"/>
        <color indexed="8"/>
        <rFont val="Arial"/>
      </rPr>
      <t>22k 5% thick film 75V 100mW</t>
    </r>
  </si>
  <si>
    <r>
      <rPr>
        <sz val="10"/>
        <color indexed="8"/>
        <rFont val="Arial"/>
      </rPr>
      <t>22k RES 5% thick film 75V 100mW</t>
    </r>
  </si>
  <si>
    <r>
      <rPr>
        <u val="single"/>
        <sz val="10"/>
        <color indexed="8"/>
        <rFont val="Arial"/>
      </rPr>
      <t>C23344</t>
    </r>
  </si>
  <si>
    <r>
      <rPr>
        <sz val="9"/>
        <color indexed="8"/>
        <rFont val="Arial"/>
      </rPr>
      <t>RES_5%_100mW_0603_22k</t>
    </r>
  </si>
  <si>
    <t>22k 100mW  75V ±100ppm/℃ ±5% 0603</t>
  </si>
  <si>
    <t>22k</t>
  </si>
  <si>
    <t>C23344</t>
  </si>
  <si>
    <t>0603WAJ0223T5E</t>
  </si>
  <si>
    <r>
      <rPr>
        <u val="single"/>
        <sz val="10"/>
        <color indexed="8"/>
        <rFont val="Arial"/>
      </rPr>
      <t>https://www.lcsc.com/datasheet/lcsc_datasheet_2206010100_UNI-ROYAL-Uniroyal-Elec-0603WAJ0223T5E_C23344.pdf</t>
    </r>
  </si>
  <si>
    <r>
      <rPr>
        <sz val="10"/>
        <color indexed="8"/>
        <rFont val="Arial"/>
      </rPr>
      <t>RES_5%_100mW_0603_100k</t>
    </r>
  </si>
  <si>
    <r>
      <rPr>
        <sz val="10"/>
        <color indexed="8"/>
        <rFont val="Arial"/>
      </rPr>
      <t>100k 5% thick film 75V 100mW</t>
    </r>
  </si>
  <si>
    <r>
      <rPr>
        <sz val="10"/>
        <color indexed="8"/>
        <rFont val="Arial"/>
      </rPr>
      <t>100k RES 5% thick film 75V 100mW</t>
    </r>
  </si>
  <si>
    <r>
      <rPr>
        <u val="single"/>
        <sz val="10"/>
        <color indexed="8"/>
        <rFont val="Arial"/>
      </rPr>
      <t>C15458</t>
    </r>
  </si>
  <si>
    <r>
      <rPr>
        <sz val="9"/>
        <color indexed="8"/>
        <rFont val="Arial"/>
      </rPr>
      <t>RES_5%_100mW_0603_100k</t>
    </r>
  </si>
  <si>
    <t>100k 100mW  75V ±100ppm/℃ ±5% 0603</t>
  </si>
  <si>
    <t>100k</t>
  </si>
  <si>
    <t>C15458</t>
  </si>
  <si>
    <t>0603WAJ0104T5E</t>
  </si>
  <si>
    <r>
      <rPr>
        <u val="single"/>
        <sz val="10"/>
        <color indexed="8"/>
        <rFont val="Arial"/>
      </rPr>
      <t>https://www.lcsc.com/datasheet/lcsc_datasheet_2206010216_UNI-ROYAL-Uniroyal-Elec-0603WAJ0104T5E_C15458.pdf</t>
    </r>
  </si>
  <si>
    <r>
      <rPr>
        <sz val="10"/>
        <color indexed="8"/>
        <rFont val="Arial"/>
      </rPr>
      <t>RES_1%_100mW_0603_1M</t>
    </r>
  </si>
  <si>
    <r>
      <rPr>
        <sz val="10"/>
        <color indexed="8"/>
        <rFont val="Arial"/>
      </rPr>
      <t>1M 1% thick film 75V 100mW</t>
    </r>
  </si>
  <si>
    <r>
      <rPr>
        <sz val="10"/>
        <color indexed="8"/>
        <rFont val="Arial"/>
      </rPr>
      <t>1M RES 1% thick film 75V 100mW</t>
    </r>
  </si>
  <si>
    <r>
      <rPr>
        <u val="single"/>
        <sz val="10"/>
        <color indexed="8"/>
        <rFont val="Arial"/>
      </rPr>
      <t>C22935</t>
    </r>
  </si>
  <si>
    <r>
      <rPr>
        <sz val="9"/>
        <color indexed="8"/>
        <rFont val="Arial"/>
      </rPr>
      <t>RES_1%_100mW_0603_1M</t>
    </r>
  </si>
  <si>
    <t xml:space="preserve">1.0M 100mW  75V ±100ppm/℃ ±1% 0603 </t>
  </si>
  <si>
    <t>1M</t>
  </si>
  <si>
    <t>C22935</t>
  </si>
  <si>
    <t>0603WAF1004T5E</t>
  </si>
  <si>
    <r>
      <rPr>
        <u val="single"/>
        <sz val="10"/>
        <color indexed="8"/>
        <rFont val="Arial"/>
      </rPr>
      <t>https://www.lcsc.com/datasheet/lcsc_datasheet_2206010130_UNI-ROYAL-Uniroyal-Elec-0603WAF1004T5E_C22935.pdf</t>
    </r>
  </si>
  <si>
    <r>
      <rPr>
        <sz val="10"/>
        <color indexed="8"/>
        <rFont val="Arial"/>
      </rPr>
      <t>RES_5%_100mW_0603_1M</t>
    </r>
  </si>
  <si>
    <r>
      <rPr>
        <sz val="10"/>
        <color indexed="8"/>
        <rFont val="Arial"/>
      </rPr>
      <t>1M 5% thick film 75V 100mW</t>
    </r>
  </si>
  <si>
    <r>
      <rPr>
        <sz val="10"/>
        <color indexed="8"/>
        <rFont val="Arial"/>
      </rPr>
      <t>1M RES 5% thick film 75V 100mW</t>
    </r>
  </si>
  <si>
    <r>
      <rPr>
        <u val="single"/>
        <sz val="10"/>
        <color indexed="8"/>
        <rFont val="Arial"/>
      </rPr>
      <t>C26098</t>
    </r>
  </si>
  <si>
    <r>
      <rPr>
        <sz val="9"/>
        <color indexed="8"/>
        <rFont val="Arial"/>
      </rPr>
      <t>RES_5%_100mW_0603_1M</t>
    </r>
  </si>
  <si>
    <t xml:space="preserve">1.0M 100mW  75V ±100ppm/℃ ±5% 0603 </t>
  </si>
  <si>
    <t>C26098</t>
  </si>
  <si>
    <t>0603WAJ0105T5E</t>
  </si>
  <si>
    <r>
      <rPr>
        <u val="single"/>
        <sz val="10"/>
        <color indexed="8"/>
        <rFont val="Arial"/>
      </rPr>
      <t>https://www.lcsc.com/datasheet/lcsc_datasheet_2206010030_UNI-ROYAL-Uniroyal-Elec-0603WAJ0105T5E_C26098.pdf</t>
    </r>
  </si>
  <si>
    <r>
      <rPr>
        <sz val="10"/>
        <color indexed="8"/>
        <rFont val="Arial"/>
      </rPr>
      <t>RES_5%_100mW_0603_2.2M</t>
    </r>
  </si>
  <si>
    <r>
      <rPr>
        <sz val="10"/>
        <color indexed="8"/>
        <rFont val="Arial"/>
      </rPr>
      <t>2.2M 5% thick film 75V 100mW</t>
    </r>
  </si>
  <si>
    <r>
      <rPr>
        <sz val="10"/>
        <color indexed="8"/>
        <rFont val="Arial"/>
      </rPr>
      <t>2.2M RES 5% thick film 75V 100mW</t>
    </r>
  </si>
  <si>
    <r>
      <rPr>
        <u val="single"/>
        <sz val="10"/>
        <color indexed="8"/>
        <rFont val="Arial"/>
      </rPr>
      <t>C18679</t>
    </r>
  </si>
  <si>
    <r>
      <rPr>
        <sz val="9"/>
        <color indexed="8"/>
        <rFont val="Arial"/>
      </rPr>
      <t>RES_5%_100mW_0603_2.2M</t>
    </r>
  </si>
  <si>
    <t xml:space="preserve">2.2M 100mW  75V ±100ppm/℃ ±5% 0603 </t>
  </si>
  <si>
    <t>2.2M</t>
  </si>
  <si>
    <t>C18679</t>
  </si>
  <si>
    <t>0603WAJ0225T5E</t>
  </si>
  <si>
    <r>
      <rPr>
        <u val="single"/>
        <sz val="10"/>
        <color indexed="8"/>
        <rFont val="Arial"/>
      </rPr>
      <t>https://www.lcsc.com/datasheet/lcsc_datasheet_2206010145_UNI-ROYAL-Uniroyal-Elec-0603WAJ0225T5E_C18679.pdf</t>
    </r>
  </si>
  <si>
    <r>
      <rPr>
        <sz val="10"/>
        <color indexed="8"/>
        <rFont val="Arial"/>
      </rPr>
      <t>2.2M 5% thick film 50V 100mW</t>
    </r>
  </si>
  <si>
    <r>
      <rPr>
        <sz val="10"/>
        <color indexed="8"/>
        <rFont val="Arial"/>
      </rPr>
      <t>2.2M RES 5% thick film 50V 100mW</t>
    </r>
  </si>
  <si>
    <r>
      <rPr>
        <u val="single"/>
        <sz val="10"/>
        <color indexed="8"/>
        <rFont val="Arial"/>
      </rPr>
      <t>C403986</t>
    </r>
  </si>
  <si>
    <t xml:space="preserve">2.2M 100mW  50V ±250ppm/℃ ±5% 0603 </t>
  </si>
  <si>
    <t>C403986</t>
  </si>
  <si>
    <t>FH</t>
  </si>
  <si>
    <t>RS-03L225JJT</t>
  </si>
  <si>
    <r>
      <rPr>
        <u val="single"/>
        <sz val="10"/>
        <color indexed="8"/>
        <rFont val="Arial"/>
      </rPr>
      <t>https://wmsc.lcsc.com/wmsc/upload/file/pdf/v2/lcsc/2304140030_FH--Guangdong-Fenghua-Advanced-Tech-RS-03L225JJT_C403986.pdf</t>
    </r>
  </si>
</sst>
</file>

<file path=xl/styles.xml><?xml version="1.0" encoding="utf-8"?>
<styleSheet xmlns="http://schemas.openxmlformats.org/spreadsheetml/2006/main">
  <numFmts count="5">
    <numFmt numFmtId="0" formatCode="General"/>
    <numFmt numFmtId="59" formatCode="_-&quot;$&quot;* #,##0.0000_-;_-&quot;$&quot;* \(#,##0.0000\)_-;_-&quot;$&quot;* &quot;-&quot;??;_-@_-"/>
    <numFmt numFmtId="60" formatCode="_-&quot;$&quot;* #,##0.00_-;_-&quot;$&quot;* \(#,##0.00\)_-;_-&quot;$&quot;* &quot;-&quot;??;_-@_-"/>
    <numFmt numFmtId="61" formatCode="#,##0.0##"/>
    <numFmt numFmtId="62" formatCode="#,##0.0###"/>
  </numFmts>
  <fonts count="16">
    <font>
      <sz val="10"/>
      <color indexed="8"/>
      <name val="Helvetica Neue"/>
    </font>
    <font>
      <sz val="12"/>
      <color indexed="8"/>
      <name val="Helvetica Neue"/>
    </font>
    <font>
      <b val="1"/>
      <sz val="24"/>
      <color indexed="8"/>
      <name val="Helvetica Neue"/>
    </font>
    <font>
      <b val="1"/>
      <sz val="14"/>
      <color indexed="8"/>
      <name val="Helvetica Neue"/>
    </font>
    <font>
      <b val="1"/>
      <sz val="14"/>
      <color indexed="8"/>
      <name val="American Typewriter"/>
    </font>
    <font>
      <sz val="10"/>
      <color indexed="8"/>
      <name val="Arial"/>
    </font>
    <font>
      <sz val="10"/>
      <color indexed="8"/>
      <name val="American Typewriter"/>
    </font>
    <font>
      <u val="single"/>
      <sz val="10"/>
      <color indexed="8"/>
      <name val="Arial"/>
    </font>
    <font>
      <sz val="10"/>
      <color indexed="17"/>
      <name val="Arial"/>
    </font>
    <font>
      <sz val="14"/>
      <color indexed="18"/>
      <name val="Helvetica Neue"/>
    </font>
    <font>
      <sz val="14"/>
      <color indexed="19"/>
      <name val="Helvetica Neue"/>
    </font>
    <font>
      <sz val="10"/>
      <color indexed="8"/>
      <name val="Symbol"/>
    </font>
    <font>
      <sz val="5"/>
      <color indexed="8"/>
      <name val="American Typewriter"/>
    </font>
    <font>
      <sz val="9"/>
      <color indexed="8"/>
      <name val="Arial"/>
    </font>
    <font>
      <b val="1"/>
      <sz val="18"/>
      <color indexed="8"/>
      <name val="Helvetica Neue"/>
    </font>
    <font>
      <b val="1"/>
      <sz val="18"/>
      <color indexed="8"/>
      <name val="American Typewriter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horizontal="right" vertical="top" wrapText="1"/>
    </xf>
    <xf numFmtId="49" fontId="5" fillId="3" borderId="2" applyNumberFormat="1" applyFont="1" applyFill="1" applyBorder="1" applyAlignment="1" applyProtection="0">
      <alignment horizontal="left" vertical="center"/>
    </xf>
    <xf numFmtId="49" fontId="5" fillId="4" borderId="3" applyNumberFormat="1" applyFont="1" applyFill="1" applyBorder="1" applyAlignment="1" applyProtection="0">
      <alignment horizontal="left" vertical="center"/>
    </xf>
    <xf numFmtId="49" fontId="5" fillId="4" borderId="4" applyNumberFormat="1" applyFont="1" applyFill="1" applyBorder="1" applyAlignment="1" applyProtection="0">
      <alignment horizontal="left" vertical="center"/>
    </xf>
    <xf numFmtId="49" fontId="5" fillId="5" borderId="4" applyNumberFormat="1" applyFont="1" applyFill="1" applyBorder="1" applyAlignment="1" applyProtection="0">
      <alignment horizontal="left" vertical="center"/>
    </xf>
    <xf numFmtId="49" fontId="5" borderId="4" applyNumberFormat="1" applyFont="1" applyFill="0" applyBorder="1" applyAlignment="1" applyProtection="0">
      <alignment horizontal="left" vertical="center"/>
    </xf>
    <xf numFmtId="49" fontId="5" fillId="6" borderId="4" applyNumberFormat="1" applyFont="1" applyFill="1" applyBorder="1" applyAlignment="1" applyProtection="0">
      <alignment horizontal="left" vertical="center"/>
    </xf>
    <xf numFmtId="49" fontId="6" borderId="4" applyNumberFormat="1" applyFont="1" applyFill="0" applyBorder="1" applyAlignment="1" applyProtection="0">
      <alignment horizontal="left" vertical="center"/>
    </xf>
    <xf numFmtId="0" fontId="5" borderId="4" applyNumberFormat="0" applyFont="1" applyFill="0" applyBorder="1" applyAlignment="1" applyProtection="0">
      <alignment horizontal="left" vertical="center"/>
    </xf>
    <xf numFmtId="0" fontId="5" fillId="6" borderId="4" applyNumberFormat="0" applyFont="1" applyFill="1" applyBorder="1" applyAlignment="1" applyProtection="0">
      <alignment horizontal="left" vertical="center"/>
    </xf>
    <xf numFmtId="0" fontId="5" borderId="4" applyNumberFormat="1" applyFont="1" applyFill="0" applyBorder="1" applyAlignment="1" applyProtection="0">
      <alignment horizontal="left" vertical="center"/>
    </xf>
    <xf numFmtId="49" fontId="5" borderId="4" applyNumberFormat="1" applyFont="1" applyFill="0" applyBorder="1" applyAlignment="1" applyProtection="0">
      <alignment horizontal="left" vertical="top"/>
    </xf>
    <xf numFmtId="49" fontId="6" borderId="4" applyNumberFormat="1" applyFont="1" applyFill="0" applyBorder="1" applyAlignment="1" applyProtection="0">
      <alignment horizontal="left" vertical="top"/>
    </xf>
    <xf numFmtId="0" fontId="0" borderId="4" applyNumberFormat="1" applyFont="1" applyFill="0" applyBorder="1" applyAlignment="1" applyProtection="0">
      <alignment horizontal="center" vertical="top" wrapText="1"/>
    </xf>
    <xf numFmtId="49" fontId="5" fillId="6" borderId="4" applyNumberFormat="1" applyFont="1" applyFill="1" applyBorder="1" applyAlignment="1" applyProtection="0">
      <alignment horizontal="center" vertical="center"/>
    </xf>
    <xf numFmtId="1" fontId="5" fillId="6" borderId="4" applyNumberFormat="1" applyFont="1" applyFill="1" applyBorder="1" applyAlignment="1" applyProtection="0">
      <alignment horizontal="right" vertical="center" readingOrder="1"/>
    </xf>
    <xf numFmtId="0" fontId="5" fillId="6" borderId="4" applyNumberFormat="1" applyFont="1" applyFill="1" applyBorder="1" applyAlignment="1" applyProtection="0">
      <alignment horizontal="right" vertical="center"/>
    </xf>
    <xf numFmtId="59" fontId="5" fillId="6" borderId="4" applyNumberFormat="1" applyFont="1" applyFill="1" applyBorder="1" applyAlignment="1" applyProtection="0">
      <alignment horizontal="left" vertical="center"/>
    </xf>
    <xf numFmtId="60" fontId="5" fillId="5" borderId="4" applyNumberFormat="1" applyFont="1" applyFill="1" applyBorder="1" applyAlignment="1" applyProtection="0">
      <alignment horizontal="left" vertical="center"/>
    </xf>
    <xf numFmtId="49" fontId="5" fillId="3" borderId="5" applyNumberFormat="1" applyFont="1" applyFill="1" applyBorder="1" applyAlignment="1" applyProtection="0">
      <alignment horizontal="left" vertical="center"/>
    </xf>
    <xf numFmtId="49" fontId="5" fillId="4" borderId="6" applyNumberFormat="1" applyFont="1" applyFill="1" applyBorder="1" applyAlignment="1" applyProtection="0">
      <alignment horizontal="left" vertical="center"/>
    </xf>
    <xf numFmtId="49" fontId="5" fillId="4" borderId="7" applyNumberFormat="1" applyFont="1" applyFill="1" applyBorder="1" applyAlignment="1" applyProtection="0">
      <alignment horizontal="left" vertical="center"/>
    </xf>
    <xf numFmtId="49" fontId="5" fillId="5" borderId="7" applyNumberFormat="1" applyFont="1" applyFill="1" applyBorder="1" applyAlignment="1" applyProtection="0">
      <alignment horizontal="left" vertical="center"/>
    </xf>
    <xf numFmtId="49" fontId="5" borderId="7" applyNumberFormat="1" applyFont="1" applyFill="0" applyBorder="1" applyAlignment="1" applyProtection="0">
      <alignment horizontal="left" vertical="center"/>
    </xf>
    <xf numFmtId="49" fontId="5" fillId="6" borderId="7" applyNumberFormat="1" applyFont="1" applyFill="1" applyBorder="1" applyAlignment="1" applyProtection="0">
      <alignment horizontal="left" vertical="center"/>
    </xf>
    <xf numFmtId="49" fontId="6" borderId="7" applyNumberFormat="1" applyFont="1" applyFill="0" applyBorder="1" applyAlignment="1" applyProtection="0">
      <alignment horizontal="left" vertical="center"/>
    </xf>
    <xf numFmtId="0" fontId="5" borderId="7" applyNumberFormat="0" applyFont="1" applyFill="0" applyBorder="1" applyAlignment="1" applyProtection="0">
      <alignment horizontal="left" vertical="center"/>
    </xf>
    <xf numFmtId="0" fontId="5" fillId="6" borderId="7" applyNumberFormat="0" applyFont="1" applyFill="1" applyBorder="1" applyAlignment="1" applyProtection="0">
      <alignment horizontal="left" vertical="center"/>
    </xf>
    <xf numFmtId="0" fontId="5" borderId="7" applyNumberFormat="1" applyFont="1" applyFill="0" applyBorder="1" applyAlignment="1" applyProtection="0">
      <alignment horizontal="left" vertical="center"/>
    </xf>
    <xf numFmtId="49" fontId="5" borderId="7" applyNumberFormat="1" applyFont="1" applyFill="0" applyBorder="1" applyAlignment="1" applyProtection="0">
      <alignment horizontal="left" vertical="top"/>
    </xf>
    <xf numFmtId="49" fontId="6" borderId="7" applyNumberFormat="1" applyFont="1" applyFill="0" applyBorder="1" applyAlignment="1" applyProtection="0">
      <alignment horizontal="left" vertical="top"/>
    </xf>
    <xf numFmtId="0" fontId="0" borderId="7" applyNumberFormat="1" applyFont="1" applyFill="0" applyBorder="1" applyAlignment="1" applyProtection="0">
      <alignment horizontal="center" vertical="top" wrapText="1"/>
    </xf>
    <xf numFmtId="49" fontId="5" fillId="6" borderId="7" applyNumberFormat="1" applyFont="1" applyFill="1" applyBorder="1" applyAlignment="1" applyProtection="0">
      <alignment horizontal="center" vertical="center"/>
    </xf>
    <xf numFmtId="1" fontId="5" fillId="6" borderId="7" applyNumberFormat="1" applyFont="1" applyFill="1" applyBorder="1" applyAlignment="1" applyProtection="0">
      <alignment horizontal="right" vertical="center" readingOrder="1"/>
    </xf>
    <xf numFmtId="0" fontId="5" fillId="6" borderId="7" applyNumberFormat="1" applyFont="1" applyFill="1" applyBorder="1" applyAlignment="1" applyProtection="0">
      <alignment horizontal="right" vertical="center"/>
    </xf>
    <xf numFmtId="59" fontId="5" fillId="6" borderId="7" applyNumberFormat="1" applyFont="1" applyFill="1" applyBorder="1" applyAlignment="1" applyProtection="0">
      <alignment horizontal="left" vertical="center"/>
    </xf>
    <xf numFmtId="60" fontId="5" fillId="5" borderId="7" applyNumberFormat="1" applyFont="1" applyFill="1" applyBorder="1" applyAlignment="1" applyProtection="0">
      <alignment horizontal="left" vertical="center"/>
    </xf>
    <xf numFmtId="0" fontId="6" borderId="7" applyNumberFormat="0" applyFont="1" applyFill="0" applyBorder="1" applyAlignment="1" applyProtection="0">
      <alignment horizontal="left" vertical="center"/>
    </xf>
    <xf numFmtId="0" fontId="0" borderId="7" applyNumberFormat="1" applyFont="1" applyFill="0" applyBorder="1" applyAlignment="1" applyProtection="0">
      <alignment horizontal="right" vertical="top" wrapText="1"/>
    </xf>
    <xf numFmtId="61" fontId="5" fillId="6" borderId="7" applyNumberFormat="1" applyFont="1" applyFill="1" applyBorder="1" applyAlignment="1" applyProtection="0">
      <alignment horizontal="left" vertical="center"/>
    </xf>
    <xf numFmtId="49" fontId="6" fillId="6" borderId="7" applyNumberFormat="1" applyFont="1" applyFill="1" applyBorder="1" applyAlignment="1" applyProtection="0">
      <alignment horizontal="left" vertical="center"/>
    </xf>
    <xf numFmtId="62" fontId="5" fillId="6" borderId="7" applyNumberFormat="1" applyFont="1" applyFill="1" applyBorder="1" applyAlignment="1" applyProtection="0">
      <alignment horizontal="left" vertical="center"/>
    </xf>
    <xf numFmtId="0" fontId="5" borderId="7" applyNumberFormat="1" applyFont="1" applyFill="0" applyBorder="1" applyAlignment="1" applyProtection="0">
      <alignment horizontal="center" vertical="center"/>
    </xf>
    <xf numFmtId="49" fontId="8" fillId="6" borderId="7" applyNumberFormat="1" applyFont="1" applyFill="1" applyBorder="1" applyAlignment="1" applyProtection="0">
      <alignment horizontal="left" vertical="center"/>
    </xf>
    <xf numFmtId="60" fontId="8" fillId="5" borderId="7" applyNumberFormat="1" applyFont="1" applyFill="1" applyBorder="1" applyAlignment="1" applyProtection="0">
      <alignment horizontal="left" vertical="center"/>
    </xf>
    <xf numFmtId="49" fontId="0" borderId="7" applyNumberFormat="1" applyFont="1" applyFill="0" applyBorder="1" applyAlignment="1" applyProtection="0">
      <alignment vertical="top" wrapText="1"/>
    </xf>
    <xf numFmtId="1" fontId="5" fillId="6" borderId="7" applyNumberFormat="1" applyFont="1" applyFill="1" applyBorder="1" applyAlignment="1" applyProtection="0">
      <alignment horizontal="right" vertical="center"/>
    </xf>
    <xf numFmtId="49" fontId="6" borderId="7" applyNumberFormat="1" applyFont="1" applyFill="0" applyBorder="1" applyAlignment="1" applyProtection="0">
      <alignment horizontal="left" vertical="center" readingOrder="1"/>
    </xf>
    <xf numFmtId="49" fontId="5" borderId="7" applyNumberFormat="1" applyFont="1" applyFill="0" applyBorder="1" applyAlignment="1" applyProtection="0">
      <alignment horizontal="left" vertical="center" readingOrder="1"/>
    </xf>
    <xf numFmtId="49" fontId="5" fillId="6" borderId="7" applyNumberFormat="1" applyFont="1" applyFill="1" applyBorder="1" applyAlignment="1" applyProtection="0">
      <alignment horizontal="left" vertical="center" readingOrder="1"/>
    </xf>
    <xf numFmtId="49" fontId="6" borderId="7" applyNumberFormat="1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horizontal="left" vertical="top" wrapText="1"/>
    </xf>
    <xf numFmtId="49" fontId="6" borderId="7" applyNumberFormat="1" applyFont="1" applyFill="0" applyBorder="1" applyAlignment="1" applyProtection="0">
      <alignment horizontal="left" vertical="top" wrapText="1"/>
    </xf>
    <xf numFmtId="49" fontId="9" borderId="7" applyNumberFormat="1" applyFont="1" applyFill="0" applyBorder="1" applyAlignment="1" applyProtection="0">
      <alignment horizontal="left" vertical="center" readingOrder="1"/>
    </xf>
    <xf numFmtId="59" fontId="10" fillId="6" borderId="7" applyNumberFormat="1" applyFont="1" applyFill="1" applyBorder="1" applyAlignment="1" applyProtection="0">
      <alignment horizontal="left" vertical="center" readingOrder="1"/>
    </xf>
    <xf numFmtId="49" fontId="5" borderId="7" applyNumberFormat="1" applyFont="1" applyFill="0" applyBorder="1" applyAlignment="1" applyProtection="0">
      <alignment horizontal="left" vertical="center" wrapText="1"/>
    </xf>
    <xf numFmtId="0" fontId="6" fillId="6" borderId="7" applyNumberFormat="0" applyFont="1" applyFill="1" applyBorder="1" applyAlignment="1" applyProtection="0">
      <alignment horizontal="left" vertical="center"/>
    </xf>
    <xf numFmtId="0" fontId="6" borderId="7" applyNumberFormat="0" applyFont="1" applyFill="0" applyBorder="1" applyAlignment="1" applyProtection="0">
      <alignment horizontal="left" vertical="top"/>
    </xf>
    <xf numFmtId="0" fontId="5" borderId="7" applyNumberFormat="0" applyFont="1" applyFill="0" applyBorder="1" applyAlignment="1" applyProtection="0">
      <alignment horizontal="left" vertical="center" readingOrder="1"/>
    </xf>
    <xf numFmtId="59" fontId="5" fillId="6" borderId="7" applyNumberFormat="1" applyFont="1" applyFill="1" applyBorder="1" applyAlignment="1" applyProtection="0">
      <alignment horizontal="left" vertical="center" readingOrder="1"/>
    </xf>
    <xf numFmtId="49" fontId="13" fillId="6" borderId="7" applyNumberFormat="1" applyFont="1" applyFill="1" applyBorder="1" applyAlignment="1" applyProtection="0">
      <alignment horizontal="left" vertical="center"/>
    </xf>
    <xf numFmtId="49" fontId="5" fillId="3" borderId="8" applyNumberFormat="1" applyFont="1" applyFill="1" applyBorder="1" applyAlignment="1" applyProtection="0">
      <alignment horizontal="left" vertical="center"/>
    </xf>
    <xf numFmtId="49" fontId="5" fillId="4" borderId="9" applyNumberFormat="1" applyFont="1" applyFill="1" applyBorder="1" applyAlignment="1" applyProtection="0">
      <alignment horizontal="left" vertical="center"/>
    </xf>
    <xf numFmtId="49" fontId="5" fillId="4" borderId="1" applyNumberFormat="1" applyFont="1" applyFill="1" applyBorder="1" applyAlignment="1" applyProtection="0">
      <alignment horizontal="left" vertical="center"/>
    </xf>
    <xf numFmtId="49" fontId="5" fillId="5" borderId="1" applyNumberFormat="1" applyFont="1" applyFill="1" applyBorder="1" applyAlignment="1" applyProtection="0">
      <alignment horizontal="left" vertical="center"/>
    </xf>
    <xf numFmtId="49" fontId="5" borderId="1" applyNumberFormat="1" applyFont="1" applyFill="0" applyBorder="1" applyAlignment="1" applyProtection="0">
      <alignment horizontal="left" vertical="center"/>
    </xf>
    <xf numFmtId="49" fontId="13" fillId="6" borderId="1" applyNumberFormat="1" applyFont="1" applyFill="1" applyBorder="1" applyAlignment="1" applyProtection="0">
      <alignment horizontal="left" vertical="center"/>
    </xf>
    <xf numFmtId="49" fontId="6" borderId="1" applyNumberFormat="1" applyFont="1" applyFill="0" applyBorder="1" applyAlignment="1" applyProtection="0">
      <alignment horizontal="left" vertical="center"/>
    </xf>
    <xf numFmtId="49" fontId="5" fillId="6" borderId="1" applyNumberFormat="1" applyFont="1" applyFill="1" applyBorder="1" applyAlignment="1" applyProtection="0">
      <alignment horizontal="left" vertical="center"/>
    </xf>
    <xf numFmtId="0" fontId="5" borderId="1" applyNumberFormat="1" applyFont="1" applyFill="0" applyBorder="1" applyAlignment="1" applyProtection="0">
      <alignment horizontal="left" vertical="center"/>
    </xf>
    <xf numFmtId="49" fontId="5" borderId="1" applyNumberFormat="1" applyFont="1" applyFill="0" applyBorder="1" applyAlignment="1" applyProtection="0">
      <alignment horizontal="left" vertical="top" wrapText="1"/>
    </xf>
    <xf numFmtId="49" fontId="6" borderId="1" applyNumberFormat="1" applyFont="1" applyFill="0" applyBorder="1" applyAlignment="1" applyProtection="0">
      <alignment horizontal="left" vertical="top"/>
    </xf>
    <xf numFmtId="0" fontId="5" borderId="1" applyNumberFormat="1" applyFont="1" applyFill="0" applyBorder="1" applyAlignment="1" applyProtection="0">
      <alignment horizontal="center" vertical="center"/>
    </xf>
    <xf numFmtId="49" fontId="5" fillId="6" borderId="1" applyNumberFormat="1" applyFont="1" applyFill="1" applyBorder="1" applyAlignment="1" applyProtection="0">
      <alignment horizontal="center" vertical="center"/>
    </xf>
    <xf numFmtId="49" fontId="8" fillId="6" borderId="1" applyNumberFormat="1" applyFont="1" applyFill="1" applyBorder="1" applyAlignment="1" applyProtection="0">
      <alignment horizontal="left" vertical="center"/>
    </xf>
    <xf numFmtId="1" fontId="5" fillId="6" borderId="1" applyNumberFormat="1" applyFont="1" applyFill="1" applyBorder="1" applyAlignment="1" applyProtection="0">
      <alignment horizontal="right" vertical="center" readingOrder="1"/>
    </xf>
    <xf numFmtId="0" fontId="5" fillId="6" borderId="1" applyNumberFormat="1" applyFont="1" applyFill="1" applyBorder="1" applyAlignment="1" applyProtection="0">
      <alignment horizontal="right" vertical="center"/>
    </xf>
    <xf numFmtId="59" fontId="5" fillId="6" borderId="1" applyNumberFormat="1" applyFont="1" applyFill="1" applyBorder="1" applyAlignment="1" applyProtection="0">
      <alignment horizontal="left" vertical="center"/>
    </xf>
    <xf numFmtId="60" fontId="8" fillId="5" borderId="1" applyNumberFormat="1" applyFont="1" applyFill="1" applyBorder="1" applyAlignment="1" applyProtection="0">
      <alignment horizontal="left" vertical="center"/>
    </xf>
    <xf numFmtId="49" fontId="14" borderId="4" applyNumberFormat="1" applyFont="1" applyFill="0" applyBorder="1" applyAlignment="1" applyProtection="0">
      <alignment vertical="top"/>
    </xf>
    <xf numFmtId="0" fontId="14" borderId="4" applyNumberFormat="0" applyFont="1" applyFill="0" applyBorder="1" applyAlignment="1" applyProtection="0">
      <alignment vertical="top"/>
    </xf>
    <xf numFmtId="0" fontId="15" borderId="4" applyNumberFormat="0" applyFont="1" applyFill="0" applyBorder="1" applyAlignment="1" applyProtection="0">
      <alignment vertical="top"/>
    </xf>
    <xf numFmtId="49" fontId="14" borderId="4" applyNumberFormat="1" applyFont="1" applyFill="0" applyBorder="1" applyAlignment="1" applyProtection="0">
      <alignment horizontal="center" vertical="top"/>
    </xf>
    <xf numFmtId="1" fontId="14" borderId="4" applyNumberFormat="1" applyFont="1" applyFill="0" applyBorder="1" applyAlignment="1" applyProtection="0">
      <alignment horizontal="right" vertical="top"/>
    </xf>
    <xf numFmtId="0" fontId="14" borderId="4" applyNumberFormat="1" applyFont="1" applyFill="0" applyBorder="1" applyAlignment="1" applyProtection="0">
      <alignment horizontal="right" vertical="top"/>
    </xf>
    <xf numFmtId="60" fontId="14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1">
    <dxf>
      <font>
        <color rgb="ffe324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e5fee2"/>
      <rgbColor rgb="ffdfffdf"/>
      <rgbColor rgb="ffe6f7e2"/>
      <rgbColor rgb="ffffffff"/>
      <rgbColor rgb="ffe32400"/>
      <rgbColor rgb="fff27100"/>
      <rgbColor rgb="ff212121"/>
      <rgbColor rgb="ff2b8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0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merican Typewriter"/>
            <a:ea typeface="American Typewriter"/>
            <a:cs typeface="American Typewriter"/>
            <a:sym typeface="American Typewrite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lcpcb.com/partdetail/C840579" TargetMode="External"/><Relationship Id="rId2" Type="http://schemas.openxmlformats.org/officeDocument/2006/relationships/hyperlink" Target="https://wmsc.lcsc.com/wmsc/upload/file/pdf/v2/lcsc/2311231642_ECE-EDG104S33_C840579.pdf" TargetMode="External"/><Relationship Id="rId3" Type="http://schemas.openxmlformats.org/officeDocument/2006/relationships/hyperlink" Target="https://jlcpcb.com/partdetail/C5340138" TargetMode="External"/><Relationship Id="rId4" Type="http://schemas.openxmlformats.org/officeDocument/2006/relationships/hyperlink" Target="https://wmsc.lcsc.com/wmsc/upload/file/pdf/v2/lcsc/2212291730_hanxia-HX-TS666CJ-250gf-009_C5340138.pdf" TargetMode="External"/><Relationship Id="rId5" Type="http://schemas.openxmlformats.org/officeDocument/2006/relationships/hyperlink" Target="https://jlcpcb.com/partdetail/C5340123" TargetMode="External"/><Relationship Id="rId6" Type="http://schemas.openxmlformats.org/officeDocument/2006/relationships/hyperlink" Target="https://wmsc.lcsc.com/wmsc/upload/file/pdf/v2/lcsc/2212271430_hanxia-HX-TS666TP-250gf-009_C5340123.pdf" TargetMode="External"/><Relationship Id="rId7" Type="http://schemas.openxmlformats.org/officeDocument/2006/relationships/hyperlink" Target="https://www.amazon.com/DWEII-WT32-ETH01-Bluetooth-Development-Converter/dp/B0B1V2RSLY/ref=sr_1_6?crid=314KW0BPPVKW8&amp;dib=eyJ2IjoiMSJ9.G-jwgG2jf14TIyjtM6gPyYH3hjQUHKrQfu5_H3L9tC5jQFWRvQDq9e6MLIQJ2c_4zpV9VRvg39dGowOt8Ju3zdg0lPeXEKqTTXnLnach_267rAAC7T58mNYeH4anDT2My3U9K8OfvWwLEeqER44Jda4kDCnkxc14_Mbmi_gna2cnePF20jCunUNQWGwMVCvjp-UtBf86MK56FFjlFtjp1z2Aq4rvOP806BaqqU8Oo38.ev-u-C0T1GFgjLgimXKb_ZAMLnonoSzJ6AzhzPd1w-4&amp;dib_tag=se&amp;keywords=WT32-eth01&amp;qid=1736014651&amp;sprefix=wt32-eth01,aps,160&amp;sr=8-6&amp;th=1" TargetMode="External"/><Relationship Id="rId8" Type="http://schemas.openxmlformats.org/officeDocument/2006/relationships/hyperlink" Target="https://mischianti.org/wp-content/uploads/2020/11/ESP32-DOIT-DEV-KIT-v1-pinout-mischianti.png" TargetMode="External"/><Relationship Id="rId9" Type="http://schemas.openxmlformats.org/officeDocument/2006/relationships/hyperlink" Target="https://jlcpcb.com/partdetail/C1852832" TargetMode="External"/><Relationship Id="rId10" Type="http://schemas.openxmlformats.org/officeDocument/2006/relationships/hyperlink" Target="https://wmsc.lcsc.com/wmsc/upload/file/pdf/v2/lcsc/2201271000_YAGEO-CC0603KPX7R8BB103_C1852832.pdf" TargetMode="External"/><Relationship Id="rId11" Type="http://schemas.openxmlformats.org/officeDocument/2006/relationships/hyperlink" Target="https://jlcpcb.com/partdetail/C3910010" TargetMode="External"/><Relationship Id="rId12" Type="http://schemas.openxmlformats.org/officeDocument/2006/relationships/hyperlink" Target="https://jlcpcb.com/partdetail/C100042" TargetMode="External"/><Relationship Id="rId13" Type="http://schemas.openxmlformats.org/officeDocument/2006/relationships/hyperlink" Target="https://www.lcsc.com/datasheet/lcsc_datasheet_2304140030_YAGEO-CC0603KRX7R9BB103_C100042.pdf" TargetMode="External"/><Relationship Id="rId14" Type="http://schemas.openxmlformats.org/officeDocument/2006/relationships/hyperlink" Target="https://jlcpcb.com/partdetail/C3853265" TargetMode="External"/><Relationship Id="rId15" Type="http://schemas.openxmlformats.org/officeDocument/2006/relationships/hyperlink" Target="https://jlcpcb.com/partdetail/C14663" TargetMode="External"/><Relationship Id="rId16" Type="http://schemas.openxmlformats.org/officeDocument/2006/relationships/hyperlink" Target="https://www.lcsc.com/datasheet/lcsc_datasheet_2211101700_YAGEO-CC0603KRX7R9BB104_C14663.pdf" TargetMode="External"/><Relationship Id="rId17" Type="http://schemas.openxmlformats.org/officeDocument/2006/relationships/hyperlink" Target="https://jlcpcb.com/partdetail/C2169859" TargetMode="External"/><Relationship Id="rId18" Type="http://schemas.openxmlformats.org/officeDocument/2006/relationships/hyperlink" Target="https://wmsc.lcsc.com/wmsc/upload/file/pdf/v2/lcsc/2309051403_Taiyo-Yuden-GMK107BJ105KAHT_C2169859.pdf" TargetMode="External"/><Relationship Id="rId19" Type="http://schemas.openxmlformats.org/officeDocument/2006/relationships/hyperlink" Target="https://jlcpcb.com/partdetail/C15849" TargetMode="External"/><Relationship Id="rId20" Type="http://schemas.openxmlformats.org/officeDocument/2006/relationships/hyperlink" Target="https://www.lcsc.com/datasheet/lcsc_datasheet_2304140030_Samsung-Electro-Mechanics-CL10A105KB8NNNC_C15849.pdf" TargetMode="External"/><Relationship Id="rId21" Type="http://schemas.openxmlformats.org/officeDocument/2006/relationships/hyperlink" Target="https://jlcpcb.com/partdetail/C13585" TargetMode="External"/><Relationship Id="rId22" Type="http://schemas.openxmlformats.org/officeDocument/2006/relationships/hyperlink" Target="https://www.lcsc.com/datasheet/lcsc_datasheet_2304140030_Samsung-Electro-Mechanics-CL31A106KBHNNNE_C13585.pdf" TargetMode="External"/><Relationship Id="rId23" Type="http://schemas.openxmlformats.org/officeDocument/2006/relationships/hyperlink" Target="https://jlcpcb.com/partdetail/C136294" TargetMode="External"/><Relationship Id="rId24" Type="http://schemas.openxmlformats.org/officeDocument/2006/relationships/hyperlink" Target="https://www.lcsc.com/datasheet/lcsc_datasheet_1808312007_Nichicon-UCD1V221MNL1GS_C136294.pdf" TargetMode="External"/><Relationship Id="rId25" Type="http://schemas.openxmlformats.org/officeDocument/2006/relationships/hyperlink" Target="https://jlcpcb.com/partdetail/C353517" TargetMode="External"/><Relationship Id="rId26" Type="http://schemas.openxmlformats.org/officeDocument/2006/relationships/hyperlink" Target="https://www.lcsc.com/datasheet/lcsc_datasheet_2304140030_Shandong-Jingdao-Microelectronics-BZT52C4V7S_C353517.pdf" TargetMode="External"/><Relationship Id="rId27" Type="http://schemas.openxmlformats.org/officeDocument/2006/relationships/hyperlink" Target="https://jlcpcb.com/partdetail/C5261070" TargetMode="External"/><Relationship Id="rId28" Type="http://schemas.openxmlformats.org/officeDocument/2006/relationships/hyperlink" Target="https://wmsc.lcsc.com/wmsc/upload/file/pdf/v2/lcsc/2406051353_HXY-MOSFET-BAT54_C5261070.pdf" TargetMode="External"/><Relationship Id="rId29" Type="http://schemas.openxmlformats.org/officeDocument/2006/relationships/hyperlink" Target="https://jlcpcb.com/partdetail/C2926172" TargetMode="External"/><Relationship Id="rId30" Type="http://schemas.openxmlformats.org/officeDocument/2006/relationships/hyperlink" Target="https://wmsc.lcsc.com/wmsc/upload/file/pdf/v2/lcsc/2112031830_FOSAN-BAT54A_C2926172.pdf" TargetMode="External"/><Relationship Id="rId31" Type="http://schemas.openxmlformats.org/officeDocument/2006/relationships/hyperlink" Target="https://jlcpcb.com/partdetail/C2926174" TargetMode="External"/><Relationship Id="rId32" Type="http://schemas.openxmlformats.org/officeDocument/2006/relationships/hyperlink" Target="https://wmsc.lcsc.com/wmsc/upload/file/pdf/v2/lcsc/2112031830_FOSAN-BAT54S_C2926174.pdf" TargetMode="External"/><Relationship Id="rId33" Type="http://schemas.openxmlformats.org/officeDocument/2006/relationships/hyperlink" Target="https://jlcpcb.com/partdetail/C408388" TargetMode="External"/><Relationship Id="rId34" Type="http://schemas.openxmlformats.org/officeDocument/2006/relationships/hyperlink" Target="https://www.lcsc.com/datasheet/lcsc_datasheet_2407101108_MDD-Microdiode-Semiconductor-BAT54C_C408388.pdf" TargetMode="External"/><Relationship Id="rId35" Type="http://schemas.openxmlformats.org/officeDocument/2006/relationships/hyperlink" Target="https://jlcpcb.com/partdetail/C2683482" TargetMode="External"/><Relationship Id="rId36" Type="http://schemas.openxmlformats.org/officeDocument/2006/relationships/hyperlink" Target="https://www.lcsc.com/datasheet/lcsc_datasheet_2403081523_IDCHIP-LM358D_C2683482.pdf" TargetMode="External"/><Relationship Id="rId37" Type="http://schemas.openxmlformats.org/officeDocument/2006/relationships/hyperlink" Target="https://jlcpcb.com/partdetail/C5145392" TargetMode="External"/><Relationship Id="rId38" Type="http://schemas.openxmlformats.org/officeDocument/2006/relationships/hyperlink" Target="https://wmsc.lcsc.com/wmsc/upload/file/pdf/v2/lcsc/2209290930_HANSCHIP-semiconductor-NE556DRG_C5145392.pdf" TargetMode="External"/><Relationship Id="rId39" Type="http://schemas.openxmlformats.org/officeDocument/2006/relationships/hyperlink" Target="https://jlcpcb.com/partdetail/C629440" TargetMode="External"/><Relationship Id="rId40" Type="http://schemas.openxmlformats.org/officeDocument/2006/relationships/hyperlink" Target="https://wmsc.lcsc.com/wmsc/upload/file/pdf/v2/lcsc/2203221230_Microchip-Tech-MCP23017T-E-SO_C629440.pdf" TargetMode="External"/><Relationship Id="rId41" Type="http://schemas.openxmlformats.org/officeDocument/2006/relationships/hyperlink" Target="https://jlcpcb.com/partdetail/C2678753" TargetMode="External"/><Relationship Id="rId42" Type="http://schemas.openxmlformats.org/officeDocument/2006/relationships/hyperlink" Target="https://www.lcsc.com/datasheet/lcsc_datasheet_2405281434_NXP-Semicon-PCA9685PW-118_C2678753.pdf" TargetMode="External"/><Relationship Id="rId43" Type="http://schemas.openxmlformats.org/officeDocument/2006/relationships/hyperlink" Target="https://jlcpcb.com/partdetail/C965807" TargetMode="External"/><Relationship Id="rId44" Type="http://schemas.openxmlformats.org/officeDocument/2006/relationships/hyperlink" Target="https://wmsc.lcsc.com/wmsc/upload/file/pdf/v2/lcsc/2402181505_XINGLIGHT-XL-1608UBC-04_C965807.pdf" TargetMode="External"/><Relationship Id="rId45" Type="http://schemas.openxmlformats.org/officeDocument/2006/relationships/hyperlink" Target="https://jlcpcb.com/partdetail/C965808" TargetMode="External"/><Relationship Id="rId46" Type="http://schemas.openxmlformats.org/officeDocument/2006/relationships/hyperlink" Target="https://wmsc.lcsc.com/wmsc/upload/file/pdf/v2/lcsc/2402181505_XINGLIGHT-XL-1608UWC-04_C965808.pdf" TargetMode="External"/><Relationship Id="rId47" Type="http://schemas.openxmlformats.org/officeDocument/2006/relationships/hyperlink" Target="https://jlcpcb.com/partdetail/C965804" TargetMode="External"/><Relationship Id="rId48" Type="http://schemas.openxmlformats.org/officeDocument/2006/relationships/hyperlink" Target="https://wmsc.lcsc.com/wmsc/upload/file/pdf/v2/lcsc/2402181505_XINGLIGHT-XL-1608UGC-04_C965804.pdf" TargetMode="External"/><Relationship Id="rId49" Type="http://schemas.openxmlformats.org/officeDocument/2006/relationships/hyperlink" Target="https://jlcpcb.com/partdetail/C965806" TargetMode="External"/><Relationship Id="rId50" Type="http://schemas.openxmlformats.org/officeDocument/2006/relationships/hyperlink" Target="https://wmsc.lcsc.com/wmsc/upload/file/pdf/v2/lcsc/2402181505_XINGLIGHT-XL-1608SYGC-04_C965806.pdf" TargetMode="External"/><Relationship Id="rId51" Type="http://schemas.openxmlformats.org/officeDocument/2006/relationships/hyperlink" Target="https://jlcpcb.com/partdetail/C22371303" TargetMode="External"/><Relationship Id="rId52" Type="http://schemas.openxmlformats.org/officeDocument/2006/relationships/hyperlink" Target="https://wmsc.lcsc.com/wmsc/upload/file/pdf/v2/lcsc/2403281522_HONGLITRONIC-Hongli-Zhihui--HONGLITRONIC-HL-PSC-1608S25OC-G4_C22371303.pdf" TargetMode="External"/><Relationship Id="rId53" Type="http://schemas.openxmlformats.org/officeDocument/2006/relationships/hyperlink" Target="https://jlcpcb.com/partdetail/C965800" TargetMode="External"/><Relationship Id="rId54" Type="http://schemas.openxmlformats.org/officeDocument/2006/relationships/hyperlink" Target="https://wmsc.lcsc.com/wmsc/upload/file/pdf/v2/lcsc/2402181505_XINGLIGHT-XL-1608UOC-06_C965800.pdf" TargetMode="External"/><Relationship Id="rId55" Type="http://schemas.openxmlformats.org/officeDocument/2006/relationships/hyperlink" Target="https://jlcpcb.com/partdetail/C965801" TargetMode="External"/><Relationship Id="rId56" Type="http://schemas.openxmlformats.org/officeDocument/2006/relationships/hyperlink" Target="https://wmsc.lcsc.com/wmsc/upload/file/pdf/v2/lcsc/2402181505_XINGLIGHT-XL-1608UOC-06_C965800.pdf" TargetMode="External"/><Relationship Id="rId57" Type="http://schemas.openxmlformats.org/officeDocument/2006/relationships/hyperlink" Target="https://jlcpcb.com/partdetail/C965803" TargetMode="External"/><Relationship Id="rId58" Type="http://schemas.openxmlformats.org/officeDocument/2006/relationships/hyperlink" Target="https://wmsc.lcsc.com/wmsc/upload/file/pdf/v2/lcsc/2402181505_XINGLIGHT-XL-1608UOC-04_C965801.pdf" TargetMode="External"/><Relationship Id="rId59" Type="http://schemas.openxmlformats.org/officeDocument/2006/relationships/hyperlink" Target="https://jlcpcb.com/partdetail/C7288939" TargetMode="External"/><Relationship Id="rId60" Type="http://schemas.openxmlformats.org/officeDocument/2006/relationships/hyperlink" Target="https://wmsc.lcsc.com/wmsc/upload/file/pdf/v2/lcsc/2404241146_Inolux-IN-S63ASR_C7288939.pdf" TargetMode="External"/><Relationship Id="rId61" Type="http://schemas.openxmlformats.org/officeDocument/2006/relationships/hyperlink" Target="https://jlcpcb.com/partdetail/C965799" TargetMode="External"/><Relationship Id="rId62" Type="http://schemas.openxmlformats.org/officeDocument/2006/relationships/hyperlink" Target="https://wmsc.lcsc.com/wmsc/upload/file/pdf/v2/lcsc/2402181505_XINGLIGHT-XL-1608SURC-06_C965799.pdf" TargetMode="External"/><Relationship Id="rId63" Type="http://schemas.openxmlformats.org/officeDocument/2006/relationships/hyperlink" Target="https://jlcpcb.com/partdetail/C965798" TargetMode="External"/><Relationship Id="rId64" Type="http://schemas.openxmlformats.org/officeDocument/2006/relationships/hyperlink" Target="https://wmsc.lcsc.com/wmsc/upload/file/pdf/v2/lcsc/2402181505_XINGLIGHT-XL-1608SURC-04_C965798.pdf" TargetMode="External"/><Relationship Id="rId65" Type="http://schemas.openxmlformats.org/officeDocument/2006/relationships/hyperlink" Target="https://jlcpcb.com/partdetail/C2843785" TargetMode="External"/><Relationship Id="rId66" Type="http://schemas.openxmlformats.org/officeDocument/2006/relationships/hyperlink" Target="https://www.lcsc.com/datasheet/lcsc_datasheet_2404120946_XINGLIGHT-XL-5050RGBC-WS2812B_C2843785.pdf" TargetMode="External"/><Relationship Id="rId67" Type="http://schemas.openxmlformats.org/officeDocument/2006/relationships/hyperlink" Target="https://jlcpcb.com/partdetail/C5345985" TargetMode="External"/><Relationship Id="rId68" Type="http://schemas.openxmlformats.org/officeDocument/2006/relationships/hyperlink" Target="https://wmsc.lcsc.com/wmsc/upload/file/pdf/v2/lcsc/2301120930_HXY-MOSFET-AMS1117-ADJ_C5345985.pdf" TargetMode="External"/><Relationship Id="rId69" Type="http://schemas.openxmlformats.org/officeDocument/2006/relationships/hyperlink" Target="https://jlcpcb.com/partdetail/C5345982" TargetMode="External"/><Relationship Id="rId70" Type="http://schemas.openxmlformats.org/officeDocument/2006/relationships/hyperlink" Target="https://wmsc.lcsc.com/wmsc/upload/file/pdf/v2/lcsc/2301120930_HXY-MOSFET-AMS1117-3-3_C5345982.pdf" TargetMode="External"/><Relationship Id="rId71" Type="http://schemas.openxmlformats.org/officeDocument/2006/relationships/hyperlink" Target="https://jlcpcb.com/partdetail/C5345984" TargetMode="External"/><Relationship Id="rId72" Type="http://schemas.openxmlformats.org/officeDocument/2006/relationships/hyperlink" Target="https://wmsc.lcsc.com/wmsc/upload/file/pdf/v2/lcsc/2301120930_HXY-MOSFET-AMS1117-5-0_C5345984.pdf" TargetMode="External"/><Relationship Id="rId73" Type="http://schemas.openxmlformats.org/officeDocument/2006/relationships/hyperlink" Target="https://omronfs.omron.com/en_US/ecb/products/pdf/en-g2rl.pdf" TargetMode="External"/><Relationship Id="rId74" Type="http://schemas.openxmlformats.org/officeDocument/2006/relationships/hyperlink" Target="https://jlcpcb.com/partdetail/C5184404" TargetMode="External"/><Relationship Id="rId75" Type="http://schemas.openxmlformats.org/officeDocument/2006/relationships/hyperlink" Target="https://wmsc.lcsc.com/wmsc/upload/file/pdf/v2/lcsc/2407151447_HXY-MOSFET-MMBT3904_C5184404.pdf" TargetMode="External"/><Relationship Id="rId76" Type="http://schemas.openxmlformats.org/officeDocument/2006/relationships/hyperlink" Target="https://jlcpcb.com/partdetail/C5184433" TargetMode="External"/><Relationship Id="rId77" Type="http://schemas.openxmlformats.org/officeDocument/2006/relationships/hyperlink" Target="https://wmsc.lcsc.com/wmsc/upload/file/pdf/v2/lcsc/2303091430_HXY-MOSFET-BC807-40_C5184433.pdf" TargetMode="External"/><Relationship Id="rId78" Type="http://schemas.openxmlformats.org/officeDocument/2006/relationships/hyperlink" Target="https://jlcpcb.com/partdetail/C5224215" TargetMode="External"/><Relationship Id="rId79" Type="http://schemas.openxmlformats.org/officeDocument/2006/relationships/hyperlink" Target="https://wmsc.lcsc.com/wmsc/upload/file/pdf/v2/lcsc/2210271630_ElecSuper-2N7002_C5224215.pdf" TargetMode="External"/><Relationship Id="rId80" Type="http://schemas.openxmlformats.org/officeDocument/2006/relationships/hyperlink" Target="https://jlcpcb.com/partdetail/C878901" TargetMode="External"/><Relationship Id="rId81" Type="http://schemas.openxmlformats.org/officeDocument/2006/relationships/hyperlink" Target="https://www.diodes.com/assets/Datasheets/ds31773.pdf" TargetMode="External"/><Relationship Id="rId82" Type="http://schemas.openxmlformats.org/officeDocument/2006/relationships/hyperlink" Target="https://jlcpcb.com/partdetail/C7499856" TargetMode="External"/><Relationship Id="rId83" Type="http://schemas.openxmlformats.org/officeDocument/2006/relationships/hyperlink" Target="https://wmsc.lcsc.com/wmsc/upload/file/pdf/v2/lcsc/2310251707_HL-2301V_C7499856.pdf" TargetMode="External"/><Relationship Id="rId84" Type="http://schemas.openxmlformats.org/officeDocument/2006/relationships/hyperlink" Target="https://jlcpcb.com/partdetail/C2907123" TargetMode="External"/><Relationship Id="rId85" Type="http://schemas.openxmlformats.org/officeDocument/2006/relationships/hyperlink" Target="https://wmsc.lcsc.com/wmsc/upload/file/pdf/v2/lcsc/2308241947_FOJAN-FRC0603J201-TS_C2907123.pdf" TargetMode="External"/><Relationship Id="rId86" Type="http://schemas.openxmlformats.org/officeDocument/2006/relationships/hyperlink" Target="https://jlcpcb.com/partdetail/C5842375" TargetMode="External"/><Relationship Id="rId87" Type="http://schemas.openxmlformats.org/officeDocument/2006/relationships/hyperlink" Target="https://wmsc.lcsc.com/wmsc/upload/file/pdf/v2/lcsc/2312030915_YAGEO-RC0603FR-13220RL_C5842375.pdf" TargetMode="External"/><Relationship Id="rId88" Type="http://schemas.openxmlformats.org/officeDocument/2006/relationships/hyperlink" Target="https://jlcpcb.com/partdetail/C1226" TargetMode="External"/><Relationship Id="rId89" Type="http://schemas.openxmlformats.org/officeDocument/2006/relationships/hyperlink" Target="https://www.lcsc.com/datasheet/lcsc_datasheet_2206010230_UNI-ROYAL-Uniroyal-Elec-0603WAJ0221T5E_C1226.pdf" TargetMode="External"/><Relationship Id="rId90" Type="http://schemas.openxmlformats.org/officeDocument/2006/relationships/hyperlink" Target="https://jlcpcb.com/partdetail/C25231" TargetMode="External"/><Relationship Id="rId91" Type="http://schemas.openxmlformats.org/officeDocument/2006/relationships/hyperlink" Target="https://www.lcsc.com/datasheet/lcsc_datasheet_2205311845_UNI-ROYAL-Uniroyal-Elec-0603WAJ0331T5E_C25231.pdf" TargetMode="External"/><Relationship Id="rId92" Type="http://schemas.openxmlformats.org/officeDocument/2006/relationships/hyperlink" Target="https://jlcpcb.com/partdetail/C25241" TargetMode="External"/><Relationship Id="rId93" Type="http://schemas.openxmlformats.org/officeDocument/2006/relationships/hyperlink" Target="https://www.lcsc.com/datasheet/lcsc_datasheet_2205311845_UNI-ROYAL-Uniroyal-Elec-0603WAJ0471T5E_C25241.pdf" TargetMode="External"/><Relationship Id="rId94" Type="http://schemas.openxmlformats.org/officeDocument/2006/relationships/hyperlink" Target="https://jlcpcb.com/partdetail/C25585" TargetMode="External"/><Relationship Id="rId95" Type="http://schemas.openxmlformats.org/officeDocument/2006/relationships/hyperlink" Target="https://www.lcsc.com/datasheet/lcsc_datasheet_2206010100_UNI-ROYAL-Uniroyal-Elec-0603WAJ0102T5E_C25585.pdf" TargetMode="External"/><Relationship Id="rId96" Type="http://schemas.openxmlformats.org/officeDocument/2006/relationships/hyperlink" Target="https://jlcpcb.com/partdetail/C25992" TargetMode="External"/><Relationship Id="rId97" Type="http://schemas.openxmlformats.org/officeDocument/2006/relationships/hyperlink" Target="https://www.lcsc.com/datasheet/lcsc_datasheet_2206010045_UNI-ROYAL-Uniroyal-Elec-0603WAJ0222T5E_C25992.pdf" TargetMode="External"/><Relationship Id="rId98" Type="http://schemas.openxmlformats.org/officeDocument/2006/relationships/hyperlink" Target="https://jlcpcb.com/partdetail/C2907023" TargetMode="External"/><Relationship Id="rId99" Type="http://schemas.openxmlformats.org/officeDocument/2006/relationships/hyperlink" Target="https://wmsc.lcsc.com/wmsc/upload/file/pdf/v2/lcsc/2308241947_FOJAN-FRC0603F3301TS_C2907023.pdf" TargetMode="External"/><Relationship Id="rId100" Type="http://schemas.openxmlformats.org/officeDocument/2006/relationships/hyperlink" Target="https://jlcpcb.com/partdetail/C25995" TargetMode="External"/><Relationship Id="rId101" Type="http://schemas.openxmlformats.org/officeDocument/2006/relationships/hyperlink" Target="https://www.lcsc.com/datasheet/lcsc_datasheet_2206010045_UNI-ROYAL-Uniroyal-Elec-0603WAJ0332T5E_C25995.pdf" TargetMode="External"/><Relationship Id="rId102" Type="http://schemas.openxmlformats.org/officeDocument/2006/relationships/hyperlink" Target="https://jlcpcb.com/partdetail/C25999" TargetMode="External"/><Relationship Id="rId103" Type="http://schemas.openxmlformats.org/officeDocument/2006/relationships/hyperlink" Target="https://www.lcsc.com/datasheet/lcsc_datasheet_2206010045_UNI-ROYAL-Uniroyal-Elec-0603WAJ0472T5E_C25999.pdf" TargetMode="External"/><Relationship Id="rId104" Type="http://schemas.openxmlformats.org/officeDocument/2006/relationships/hyperlink" Target="https://jlcpcb.com/partdetail/C26001" TargetMode="External"/><Relationship Id="rId105" Type="http://schemas.openxmlformats.org/officeDocument/2006/relationships/hyperlink" Target="https://www.lcsc.com/datasheet/lcsc_datasheet_2206010045_UNI-ROYAL-Uniroyal-Elec-0603WAJ0562T5E_C26001.pdf" TargetMode="External"/><Relationship Id="rId106" Type="http://schemas.openxmlformats.org/officeDocument/2006/relationships/hyperlink" Target="https://jlcpcb.com/partdetail/C4118381" TargetMode="External"/><Relationship Id="rId107" Type="http://schemas.openxmlformats.org/officeDocument/2006/relationships/hyperlink" Target="https://wmsc.lcsc.com/wmsc/upload/file/pdf/v2/lcsc/2404101024_YAGEO-RC0603JR-1310KL_C4118381.pdf" TargetMode="External"/><Relationship Id="rId108" Type="http://schemas.openxmlformats.org/officeDocument/2006/relationships/hyperlink" Target="https://jlcpcb.com/partdetail/C2930027" TargetMode="External"/><Relationship Id="rId109" Type="http://schemas.openxmlformats.org/officeDocument/2006/relationships/hyperlink" Target="https://wmsc.lcsc.com/wmsc/upload/file/pdf/v2/lcsc/2308241009_FOJAN-FRC0603J103TS_C2930027.pdf" TargetMode="External"/><Relationship Id="rId110" Type="http://schemas.openxmlformats.org/officeDocument/2006/relationships/hyperlink" Target="https://jlcpcb.com/partdetail/C15401" TargetMode="External"/><Relationship Id="rId111" Type="http://schemas.openxmlformats.org/officeDocument/2006/relationships/hyperlink" Target="https://wmsc.lcsc.com/wmsc/upload/file/pdf/v2/lcsc/2308241009_FOJAN-FRC0603J103TS_C2930027.pdf" TargetMode="External"/><Relationship Id="rId112" Type="http://schemas.openxmlformats.org/officeDocument/2006/relationships/hyperlink" Target="https://jlcpcb.com/partdetail/C23344" TargetMode="External"/><Relationship Id="rId113" Type="http://schemas.openxmlformats.org/officeDocument/2006/relationships/hyperlink" Target="https://www.lcsc.com/datasheet/lcsc_datasheet_2206010100_UNI-ROYAL-Uniroyal-Elec-0603WAJ0223T5E_C23344.pdf" TargetMode="External"/><Relationship Id="rId114" Type="http://schemas.openxmlformats.org/officeDocument/2006/relationships/hyperlink" Target="https://jlcpcb.com/partdetail/C15458" TargetMode="External"/><Relationship Id="rId115" Type="http://schemas.openxmlformats.org/officeDocument/2006/relationships/hyperlink" Target="https://www.lcsc.com/datasheet/lcsc_datasheet_2206010216_UNI-ROYAL-Uniroyal-Elec-0603WAJ0104T5E_C15458.pdf" TargetMode="External"/><Relationship Id="rId116" Type="http://schemas.openxmlformats.org/officeDocument/2006/relationships/hyperlink" Target="https://jlcpcb.com/partdetail/C22935" TargetMode="External"/><Relationship Id="rId117" Type="http://schemas.openxmlformats.org/officeDocument/2006/relationships/hyperlink" Target="https://www.lcsc.com/datasheet/lcsc_datasheet_2206010130_UNI-ROYAL-Uniroyal-Elec-0603WAF1004T5E_C22935.pdf" TargetMode="External"/><Relationship Id="rId118" Type="http://schemas.openxmlformats.org/officeDocument/2006/relationships/hyperlink" Target="https://jlcpcb.com/partdetail/C26098" TargetMode="External"/><Relationship Id="rId119" Type="http://schemas.openxmlformats.org/officeDocument/2006/relationships/hyperlink" Target="https://www.lcsc.com/datasheet/lcsc_datasheet_2206010030_UNI-ROYAL-Uniroyal-Elec-0603WAJ0105T5E_C26098.pdf" TargetMode="External"/><Relationship Id="rId120" Type="http://schemas.openxmlformats.org/officeDocument/2006/relationships/hyperlink" Target="https://jlcpcb.com/partdetail/C18679" TargetMode="External"/><Relationship Id="rId121" Type="http://schemas.openxmlformats.org/officeDocument/2006/relationships/hyperlink" Target="https://www.lcsc.com/datasheet/lcsc_datasheet_2206010145_UNI-ROYAL-Uniroyal-Elec-0603WAJ0225T5E_C18679.pdf" TargetMode="External"/><Relationship Id="rId122" Type="http://schemas.openxmlformats.org/officeDocument/2006/relationships/hyperlink" Target="https://jlcpcb.com/partdetail/C403986" TargetMode="External"/><Relationship Id="rId123" Type="http://schemas.openxmlformats.org/officeDocument/2006/relationships/hyperlink" Target="https://wmsc.lcsc.com/wmsc/upload/file/pdf/v2/lcsc/2304140030_FH--Guangdong-Fenghua-Advanced-Tech-RS-03L225JJT_C403986.pdf" TargetMode="External"/><Relationship Id="rId124" Type="http://schemas.openxmlformats.org/officeDocument/2006/relationships/hyperlink" Target="https://jlcpcb.com/partdetail/C18679" TargetMode="External"/><Relationship Id="rId125" Type="http://schemas.openxmlformats.org/officeDocument/2006/relationships/hyperlink" Target="https://www.lcsc.com/datasheet/lcsc_datasheet_2206010145_UNI-ROYAL-Uniroyal-Elec-0603WAJ0225T5E_C18679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B3:AP100"/>
  <sheetViews>
    <sheetView workbookViewId="0" showGridLines="0" defaultGridColor="1">
      <pane topLeftCell="C4" xSplit="2" ySplit="3" activePane="bottomRight" state="frozen"/>
    </sheetView>
  </sheetViews>
  <sheetFormatPr defaultColWidth="16.6667" defaultRowHeight="19.9" customHeight="1" outlineLevelRow="0" outlineLevelCol="0"/>
  <cols>
    <col min="1" max="1" width="13.0625" style="1" customWidth="1"/>
    <col min="2" max="2" width="33.7812" style="1" customWidth="1"/>
    <col min="3" max="3" width="41.3906" style="1" customWidth="1"/>
    <col min="4" max="4" hidden="1" width="16.6667" style="1" customWidth="1"/>
    <col min="5" max="5" width="13.9453" style="1" customWidth="1"/>
    <col min="6" max="6" width="11.9766" style="1" customWidth="1"/>
    <col min="7" max="7" width="36.4141" style="1" customWidth="1"/>
    <col min="8" max="8" width="62.4844" style="1" customWidth="1"/>
    <col min="9" max="10" width="17.1328" style="1" customWidth="1"/>
    <col min="11" max="11" width="26.6797" style="1" customWidth="1"/>
    <col min="12" max="12" width="12.4062" style="1" customWidth="1"/>
    <col min="13" max="13" width="7.70312" style="1" customWidth="1"/>
    <col min="14" max="14" width="9.64844" style="1" customWidth="1"/>
    <col min="15" max="16" width="9.82812" style="1" customWidth="1"/>
    <col min="17" max="17" width="10.6953" style="1" customWidth="1"/>
    <col min="18" max="18" width="8.54688" style="1" customWidth="1"/>
    <col min="19" max="21" width="16.6875" style="1" customWidth="1"/>
    <col min="22" max="22" width="12.1797" style="1" customWidth="1"/>
    <col min="23" max="23" width="10.0703" style="1" customWidth="1"/>
    <col min="24" max="24" width="7.70312" style="1" customWidth="1"/>
    <col min="25" max="25" width="10.3672" style="1" customWidth="1"/>
    <col min="26" max="26" width="14.0781" style="1" customWidth="1"/>
    <col min="27" max="27" width="16.6719" style="1" customWidth="1"/>
    <col min="28" max="28" width="24.6953" style="1" customWidth="1"/>
    <col min="29" max="29" width="34.6484" style="1" customWidth="1"/>
    <col min="30" max="31" width="15.0781" style="1" customWidth="1"/>
    <col min="32" max="32" width="24.6172" style="1" customWidth="1"/>
    <col min="33" max="33" width="39.5312" style="1" customWidth="1"/>
    <col min="34" max="34" width="13.9453" style="1" customWidth="1"/>
    <col min="35" max="35" width="10.75" style="1" customWidth="1"/>
    <col min="36" max="36" width="15.0625" style="1" customWidth="1"/>
    <col min="37" max="37" width="12.2422" style="1" customWidth="1"/>
    <col min="38" max="38" width="18.5078" style="1" customWidth="1"/>
    <col min="39" max="39" width="14.4297" style="1" customWidth="1"/>
    <col min="40" max="41" width="15.0859" style="1" customWidth="1"/>
    <col min="42" max="42" width="118.641" style="1" customWidth="1"/>
    <col min="43" max="16384" width="16.6719" style="1" customWidth="1"/>
  </cols>
  <sheetData>
    <row r="1" ht="53.75" customHeight="1"/>
    <row r="2" ht="48.3" customHeight="1">
      <c r="B2" t="s" s="2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ht="42.1" customHeight="1">
      <c r="B3" t="s" s="3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6</v>
      </c>
      <c r="H3" t="s" s="4">
        <v>7</v>
      </c>
      <c r="I3" t="s" s="3">
        <v>8</v>
      </c>
      <c r="J3" t="s" s="3">
        <v>9</v>
      </c>
      <c r="K3" t="s" s="3">
        <v>10</v>
      </c>
      <c r="L3" t="s" s="3">
        <v>11</v>
      </c>
      <c r="M3" t="s" s="3">
        <v>12</v>
      </c>
      <c r="N3" t="s" s="3">
        <v>13</v>
      </c>
      <c r="O3" t="s" s="3">
        <v>14</v>
      </c>
      <c r="P3" t="s" s="3">
        <v>15</v>
      </c>
      <c r="Q3" t="s" s="3">
        <v>16</v>
      </c>
      <c r="R3" t="s" s="3">
        <v>17</v>
      </c>
      <c r="S3" t="s" s="3">
        <v>18</v>
      </c>
      <c r="T3" t="s" s="3">
        <v>19</v>
      </c>
      <c r="U3" t="s" s="3">
        <v>20</v>
      </c>
      <c r="V3" t="s" s="3">
        <v>21</v>
      </c>
      <c r="W3" t="s" s="3">
        <v>22</v>
      </c>
      <c r="X3" t="s" s="3">
        <v>23</v>
      </c>
      <c r="Y3" t="s" s="3">
        <v>24</v>
      </c>
      <c r="Z3" t="s" s="3">
        <v>25</v>
      </c>
      <c r="AA3" t="s" s="3">
        <v>26</v>
      </c>
      <c r="AB3" t="s" s="3">
        <v>27</v>
      </c>
      <c r="AC3" t="s" s="3">
        <v>28</v>
      </c>
      <c r="AD3" t="s" s="3">
        <v>29</v>
      </c>
      <c r="AE3" t="s" s="3">
        <v>30</v>
      </c>
      <c r="AF3" t="s" s="5">
        <v>31</v>
      </c>
      <c r="AG3" t="s" s="5">
        <v>32</v>
      </c>
      <c r="AH3" t="s" s="3">
        <v>33</v>
      </c>
      <c r="AI3" t="s" s="6">
        <v>34</v>
      </c>
      <c r="AJ3" t="s" s="3">
        <v>35</v>
      </c>
      <c r="AK3" t="s" s="3">
        <v>36</v>
      </c>
      <c r="AL3" t="s" s="7">
        <v>37</v>
      </c>
      <c r="AM3" t="s" s="7">
        <v>38</v>
      </c>
      <c r="AN3" t="s" s="3">
        <v>39</v>
      </c>
      <c r="AO3" t="s" s="3">
        <v>40</v>
      </c>
      <c r="AP3" t="s" s="3">
        <v>41</v>
      </c>
    </row>
    <row r="4" ht="18.9" customHeight="1">
      <c r="B4" t="s" s="8">
        <f>IF(OR(AI4="ACTIVE",AI4="AVAILABLE",AI4="reserve",AI4="DNP"),G4,"")</f>
        <v>42</v>
      </c>
      <c r="C4" t="s" s="9">
        <f>$J4&amp;IF($F4="LED"," LED","")&amp;IF($L4="",""," ")&amp;$L4&amp;IF($K4="",""," ")&amp;$K4&amp;IF($M4="",""," ")&amp;$M4&amp;IF($N4="",""," ")&amp;$N4&amp;IF($O4="",""," ")&amp;$O4&amp;IF($R4="",""," ")&amp;$R4&amp;IF($R4="","","mcd")</f>
        <v>43</v>
      </c>
      <c r="D4" t="s" s="10">
        <f>G4&amp;" "&amp;$J4&amp;" "&amp;F4&amp;IF($L4="",""," ")&amp;$L4&amp;IF($K4="",""," ")&amp;$K4&amp;IF($M4="",""," ")&amp;$M4&amp;IF($N4="",""," ")&amp;$N4&amp;IF($O4="",""," ")&amp;$O4&amp;IF($R4="",""," ")&amp;$R4&amp;IF($R4="","","mcd")</f>
        <v>44</v>
      </c>
      <c r="E4" t="s" s="11">
        <f>IF(ISBLANK(AA4),"",HYPERLINK("https://jlcpcb.com/partdetail/"&amp;$AA4,$AA4))</f>
      </c>
      <c r="F4" t="s" s="12">
        <v>45</v>
      </c>
      <c r="G4" t="s" s="13">
        <f>F4&amp;"_"&amp;J4</f>
        <v>42</v>
      </c>
      <c r="H4" t="s" s="14">
        <v>46</v>
      </c>
      <c r="I4" s="15"/>
      <c r="J4" t="s" s="12">
        <v>47</v>
      </c>
      <c r="K4" t="s" s="12">
        <v>48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5"/>
      <c r="AB4" s="16"/>
      <c r="AC4" s="15"/>
      <c r="AD4" t="b" s="17">
        <v>0</v>
      </c>
      <c r="AE4" t="b" s="17">
        <v>0</v>
      </c>
      <c r="AF4" t="s" s="18">
        <v>49</v>
      </c>
      <c r="AG4" t="s" s="19">
        <v>50</v>
      </c>
      <c r="AH4" s="20">
        <v>10</v>
      </c>
      <c r="AI4" t="s" s="21">
        <v>51</v>
      </c>
      <c r="AJ4" t="s" s="13">
        <v>52</v>
      </c>
      <c r="AK4" t="s" s="13">
        <v>53</v>
      </c>
      <c r="AL4" s="22"/>
      <c r="AM4" s="23"/>
      <c r="AN4" s="24"/>
      <c r="AO4" s="25">
        <f>AM4*AN4</f>
        <v>0</v>
      </c>
      <c r="AP4" s="15"/>
    </row>
    <row r="5" ht="18.9" customHeight="1">
      <c r="B5" t="s" s="26">
        <f>IF(OR(AI5="ACTIVE",AI5="AVAILABLE",AI5="reserve",AI5="DNP"),G5,"")</f>
        <v>54</v>
      </c>
      <c r="C5" t="s" s="27">
        <f>$J5&amp;IF($F5="LED"," LED","")&amp;IF($L5="",""," ")&amp;$L5&amp;IF($K5="",""," ")&amp;$K5&amp;IF($M5="",""," ")&amp;$M5&amp;IF($N5="",""," ")&amp;$N5&amp;IF($O5="",""," ")&amp;$O5&amp;IF($R5="",""," ")&amp;$R5&amp;IF($R5="","","mcd")</f>
        <v>55</v>
      </c>
      <c r="D5" t="s" s="28">
        <f>$J5&amp;" "&amp;F5&amp;IF($L5="",""," ")&amp;$L5&amp;IF($K5="",""," ")&amp;$K5&amp;IF($M5="",""," ")&amp;$M5&amp;IF($N5="",""," ")&amp;$N5&amp;IF($O5="",""," ")&amp;$O5&amp;IF($R5="",""," ")&amp;$R5&amp;IF($R5="","","mcd")</f>
        <v>56</v>
      </c>
      <c r="E5" t="s" s="29">
        <f>IF(ISBLANK(AA5),"",HYPERLINK("https://jlcpcb.com/partdetail/"&amp;$AA5,$AA5))</f>
      </c>
      <c r="F5" t="s" s="30">
        <v>45</v>
      </c>
      <c r="G5" t="s" s="31">
        <f>F5&amp;"_"&amp;J5</f>
        <v>54</v>
      </c>
      <c r="H5" t="s" s="32">
        <v>57</v>
      </c>
      <c r="I5" s="33"/>
      <c r="J5" t="s" s="30">
        <v>58</v>
      </c>
      <c r="K5" t="s" s="30">
        <v>48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3"/>
      <c r="AB5" s="34"/>
      <c r="AC5" s="33"/>
      <c r="AD5" t="b" s="35">
        <v>0</v>
      </c>
      <c r="AE5" t="b" s="35">
        <v>0</v>
      </c>
      <c r="AF5" t="s" s="36">
        <v>49</v>
      </c>
      <c r="AG5" t="s" s="37">
        <v>59</v>
      </c>
      <c r="AH5" s="38">
        <v>10</v>
      </c>
      <c r="AI5" t="s" s="39">
        <v>51</v>
      </c>
      <c r="AJ5" t="s" s="31">
        <v>52</v>
      </c>
      <c r="AK5" t="s" s="31">
        <v>53</v>
      </c>
      <c r="AL5" s="40"/>
      <c r="AM5" s="41"/>
      <c r="AN5" s="42"/>
      <c r="AO5" s="43">
        <f>AM5*AN5</f>
        <v>0</v>
      </c>
      <c r="AP5" s="33"/>
    </row>
    <row r="6" ht="18.9" customHeight="1">
      <c r="B6" t="s" s="26">
        <f>IF(OR(AI6="ACTIVE",AI6="AVAILABLE",AI6="reserve",AI6="DNP"),G6,"")</f>
        <v>60</v>
      </c>
      <c r="C6" t="s" s="27">
        <f>$J6&amp;IF($F6="LED"," LED","")&amp;IF($L6="",""," ")&amp;$L6&amp;IF($K6="",""," ")&amp;$K6&amp;IF($M6="",""," ")&amp;$M6&amp;IF($N6="",""," ")&amp;$N6&amp;IF($O6="",""," ")&amp;$O6&amp;IF($R6="",""," ")&amp;$R6&amp;IF($R6="","","mcd")</f>
        <v>61</v>
      </c>
      <c r="D6" t="s" s="28">
        <f>$J6&amp;" "&amp;F6&amp;IF($L6="",""," ")&amp;$L6&amp;IF($K6="",""," ")&amp;$K6&amp;IF($M6="",""," ")&amp;$M6&amp;IF($N6="",""," ")&amp;$N6&amp;IF($O6="",""," ")&amp;$O6&amp;IF($R6="",""," ")&amp;$R6&amp;IF($R6="","","mcd")</f>
        <v>62</v>
      </c>
      <c r="E6" t="s" s="29">
        <f>IF(ISBLANK(AA6),"",HYPERLINK("https://jlcpcb.com/partdetail/"&amp;$AA6,$AA6))</f>
      </c>
      <c r="F6" t="s" s="30">
        <v>45</v>
      </c>
      <c r="G6" t="s" s="31">
        <f>F6&amp;"_"&amp;J6</f>
        <v>60</v>
      </c>
      <c r="H6" t="s" s="32">
        <v>57</v>
      </c>
      <c r="I6" s="33"/>
      <c r="J6" t="s" s="30">
        <v>63</v>
      </c>
      <c r="K6" t="s" s="30">
        <v>48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3"/>
      <c r="AB6" s="34"/>
      <c r="AC6" s="33"/>
      <c r="AD6" t="b" s="35">
        <v>0</v>
      </c>
      <c r="AE6" t="b" s="35">
        <v>0</v>
      </c>
      <c r="AF6" t="s" s="36">
        <v>49</v>
      </c>
      <c r="AG6" t="s" s="37">
        <v>64</v>
      </c>
      <c r="AH6" s="38">
        <v>10</v>
      </c>
      <c r="AI6" t="s" s="39">
        <v>51</v>
      </c>
      <c r="AJ6" t="s" s="31">
        <v>52</v>
      </c>
      <c r="AK6" t="s" s="31">
        <v>53</v>
      </c>
      <c r="AL6" s="40"/>
      <c r="AM6" s="41"/>
      <c r="AN6" s="42"/>
      <c r="AO6" s="43">
        <f>AM6*AN6</f>
        <v>0</v>
      </c>
      <c r="AP6" s="33"/>
    </row>
    <row r="7" ht="18.9" customHeight="1">
      <c r="B7" t="s" s="26">
        <f>IF(OR(AI7="ACTIVE",AI7="AVAILABLE",AI7="reserve",AI7="DNP"),G7,"")</f>
        <v>65</v>
      </c>
      <c r="C7" t="s" s="27">
        <f>$J7&amp;IF($F7="LED"," LED","")&amp;IF($L7="",""," ")&amp;$L7&amp;IF($K7="",""," ")&amp;$K7&amp;IF($M7="",""," ")&amp;$M7&amp;IF($N7="",""," ")&amp;$N7&amp;IF($O7="",""," ")&amp;$O7&amp;IF($R7="",""," ")&amp;$R7&amp;IF($R7="","","mcd")</f>
        <v>66</v>
      </c>
      <c r="D7" t="s" s="28">
        <f>$J7&amp;" "&amp;F7&amp;IF($L7="",""," ")&amp;$L7&amp;IF($K7="",""," ")&amp;$K7&amp;IF($M7="",""," ")&amp;$M7&amp;IF($N7="",""," ")&amp;$N7&amp;IF($O7="",""," ")&amp;$O7&amp;IF($R7="",""," ")&amp;$R7&amp;IF($R7="","","mcd")</f>
        <v>67</v>
      </c>
      <c r="E7" t="s" s="29">
        <f>IF(ISBLANK(AA7),"",HYPERLINK("https://jlcpcb.com/partdetail/"&amp;$AA7,$AA7))</f>
      </c>
      <c r="F7" t="s" s="30">
        <v>45</v>
      </c>
      <c r="G7" t="s" s="31">
        <f>F7&amp;"_"&amp;J7</f>
        <v>65</v>
      </c>
      <c r="H7" t="s" s="32">
        <v>57</v>
      </c>
      <c r="I7" s="33"/>
      <c r="J7" t="s" s="30">
        <v>68</v>
      </c>
      <c r="K7" t="s" s="30">
        <v>48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3"/>
      <c r="AB7" s="34"/>
      <c r="AC7" s="33"/>
      <c r="AD7" t="b" s="35">
        <v>0</v>
      </c>
      <c r="AE7" t="b" s="35">
        <v>0</v>
      </c>
      <c r="AF7" t="s" s="36">
        <v>49</v>
      </c>
      <c r="AG7" t="s" s="37">
        <v>69</v>
      </c>
      <c r="AH7" s="38">
        <v>10</v>
      </c>
      <c r="AI7" t="s" s="39">
        <v>51</v>
      </c>
      <c r="AJ7" t="s" s="31">
        <v>52</v>
      </c>
      <c r="AK7" t="s" s="31">
        <v>53</v>
      </c>
      <c r="AL7" s="40"/>
      <c r="AM7" s="41"/>
      <c r="AN7" s="42"/>
      <c r="AO7" s="43">
        <f>AM7*AN7</f>
        <v>0</v>
      </c>
      <c r="AP7" s="33"/>
    </row>
    <row r="8" ht="18.9" customHeight="1">
      <c r="B8" t="s" s="26">
        <f>IF(OR(AI8="ACTIVE",AI8="AVAILABLE",AI8="reserve",AI8="DNP"),G8,"")</f>
        <v>65</v>
      </c>
      <c r="C8" t="s" s="27">
        <f>$J8&amp;IF($F8="LED"," LED","")&amp;IF($L8="",""," ")&amp;$L8&amp;IF($K8="",""," ")&amp;$K8&amp;IF($M8="",""," ")&amp;$M8&amp;IF($N8="",""," ")&amp;$N8&amp;IF($O8="",""," ")&amp;$O8&amp;IF($R8="",""," ")&amp;$R8&amp;IF($R8="","","mcd")</f>
        <v>66</v>
      </c>
      <c r="D8" t="s" s="28">
        <f>$J8&amp;" "&amp;F8&amp;IF($L8="",""," ")&amp;$L8&amp;IF($K8="",""," ")&amp;$K8&amp;IF($M8="",""," ")&amp;$M8&amp;IF($N8="",""," ")&amp;$N8&amp;IF($O8="",""," ")&amp;$O8&amp;IF($R8="",""," ")&amp;$R8&amp;IF($R8="","","mcd")</f>
        <v>67</v>
      </c>
      <c r="E8" t="s" s="29">
        <f>IF(ISBLANK(AA8),"",HYPERLINK("https://jlcpcb.com/partdetail/"&amp;$AA8,$AA8))</f>
      </c>
      <c r="F8" t="s" s="30">
        <v>45</v>
      </c>
      <c r="G8" t="s" s="31">
        <f>F8&amp;"_"&amp;J8</f>
        <v>65</v>
      </c>
      <c r="H8" t="s" s="32">
        <v>70</v>
      </c>
      <c r="I8" s="33"/>
      <c r="J8" t="s" s="30">
        <v>68</v>
      </c>
      <c r="K8" t="s" s="30">
        <v>48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3"/>
      <c r="AB8" s="34"/>
      <c r="AC8" s="33"/>
      <c r="AD8" t="b" s="35">
        <v>0</v>
      </c>
      <c r="AE8" t="b" s="35">
        <v>0</v>
      </c>
      <c r="AF8" t="s" s="36">
        <v>49</v>
      </c>
      <c r="AG8" t="s" s="37">
        <v>71</v>
      </c>
      <c r="AH8" s="38">
        <v>10</v>
      </c>
      <c r="AI8" t="s" s="39">
        <v>51</v>
      </c>
      <c r="AJ8" t="s" s="31">
        <v>52</v>
      </c>
      <c r="AK8" t="s" s="31">
        <v>53</v>
      </c>
      <c r="AL8" s="40"/>
      <c r="AM8" s="41"/>
      <c r="AN8" s="42"/>
      <c r="AO8" s="43">
        <f>AM8*AN8</f>
        <v>0</v>
      </c>
      <c r="AP8" s="33"/>
    </row>
    <row r="9" ht="18.9" customHeight="1">
      <c r="B9" t="s" s="26">
        <f>IF(OR(AI9="ACTIVE",AI9="AVAILABLE",AI9="reserve",AI9="DNP"),G9,"")</f>
        <v>72</v>
      </c>
      <c r="C9" t="s" s="27">
        <f>$J9&amp;IF($F9="LED"," LED","")&amp;IF($L9="",""," ")&amp;$L9&amp;IF($K9="",""," ")&amp;$K9&amp;IF($M9="",""," ")&amp;$M9&amp;IF($N9="",""," ")&amp;$N9&amp;IF($O9="",""," ")&amp;$O9&amp;IF($R9="",""," ")&amp;$R9&amp;IF($R9="","","mcd")</f>
        <v>73</v>
      </c>
      <c r="D9" t="s" s="28">
        <f>$J9&amp;" "&amp;F9&amp;IF($L9="",""," ")&amp;$L9&amp;IF($K9="",""," ")&amp;$K9&amp;IF($M9="",""," ")&amp;$M9&amp;IF($N9="",""," ")&amp;$N9&amp;IF($O9="",""," ")&amp;$O9&amp;IF($R9="",""," ")&amp;$R9&amp;IF($R9="","","mcd")</f>
        <v>74</v>
      </c>
      <c r="E9" t="s" s="29">
        <f>IF(ISBLANK(AA9),"",HYPERLINK("https://jlcpcb.com/partdetail/"&amp;$AA9,$AA9))</f>
      </c>
      <c r="F9" t="s" s="30">
        <v>45</v>
      </c>
      <c r="G9" t="s" s="31">
        <f>F9&amp;"_"&amp;J9</f>
        <v>72</v>
      </c>
      <c r="H9" t="s" s="32">
        <v>57</v>
      </c>
      <c r="I9" s="33"/>
      <c r="J9" t="s" s="30">
        <v>75</v>
      </c>
      <c r="K9" t="s" s="30">
        <v>48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3"/>
      <c r="AB9" s="34"/>
      <c r="AC9" s="33"/>
      <c r="AD9" t="b" s="35">
        <v>0</v>
      </c>
      <c r="AE9" t="b" s="35">
        <v>0</v>
      </c>
      <c r="AF9" t="s" s="36">
        <v>49</v>
      </c>
      <c r="AG9" t="s" s="37">
        <v>76</v>
      </c>
      <c r="AH9" s="38">
        <v>10</v>
      </c>
      <c r="AI9" t="s" s="39">
        <v>51</v>
      </c>
      <c r="AJ9" t="s" s="31">
        <v>52</v>
      </c>
      <c r="AK9" t="s" s="31">
        <v>53</v>
      </c>
      <c r="AL9" s="40"/>
      <c r="AM9" s="41"/>
      <c r="AN9" s="42"/>
      <c r="AO9" s="43">
        <f>AM9*AN9</f>
        <v>0</v>
      </c>
      <c r="AP9" s="33"/>
    </row>
    <row r="10" ht="18.9" customHeight="1">
      <c r="B10" t="s" s="26">
        <f>IF(OR(AI10="ACTIVE",AI10="AVAILABLE",AI10="reserve",AI10="DNP"),G10,"")</f>
        <v>77</v>
      </c>
      <c r="C10" t="s" s="27">
        <f>$J10&amp;IF($F10="LED"," LED","")&amp;IF($L10="",""," ")&amp;$L10&amp;IF($K10="",""," ")&amp;$K10&amp;IF($M10="",""," ")&amp;$M10&amp;IF($N10="",""," ")&amp;$N10&amp;IF($O10="",""," ")&amp;$O10&amp;IF($R10="",""," ")&amp;$R10&amp;IF($R10="","","mcd")</f>
        <v>78</v>
      </c>
      <c r="D10" t="s" s="28">
        <f>$J10&amp;" "&amp;F10&amp;IF($L10="",""," ")&amp;$L10&amp;IF($K10="",""," ")&amp;$K10&amp;IF($M10="",""," ")&amp;$M10&amp;IF($N10="",""," ")&amp;$N10&amp;IF($O10="",""," ")&amp;$O10&amp;IF($R10="",""," ")&amp;$R10&amp;IF($R10="","","mcd")</f>
        <v>79</v>
      </c>
      <c r="E10" t="s" s="29">
        <f>IF(ISBLANK(AA10),"",HYPERLINK("https://jlcpcb.com/partdetail/"&amp;$AA10,$AA10))</f>
      </c>
      <c r="F10" t="s" s="30">
        <v>45</v>
      </c>
      <c r="G10" t="s" s="31">
        <f>F10&amp;"_"&amp;J10</f>
        <v>77</v>
      </c>
      <c r="H10" t="s" s="32">
        <v>57</v>
      </c>
      <c r="I10" s="33"/>
      <c r="J10" t="s" s="30">
        <v>80</v>
      </c>
      <c r="K10" t="s" s="30">
        <v>48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3"/>
      <c r="AB10" s="34"/>
      <c r="AC10" s="33"/>
      <c r="AD10" t="b" s="35">
        <v>0</v>
      </c>
      <c r="AE10" t="b" s="35">
        <v>0</v>
      </c>
      <c r="AF10" t="s" s="36">
        <v>49</v>
      </c>
      <c r="AG10" t="s" s="37">
        <v>81</v>
      </c>
      <c r="AH10" s="38">
        <v>10</v>
      </c>
      <c r="AI10" t="s" s="39">
        <v>51</v>
      </c>
      <c r="AJ10" t="s" s="31">
        <v>52</v>
      </c>
      <c r="AK10" t="s" s="31">
        <v>53</v>
      </c>
      <c r="AL10" s="40"/>
      <c r="AM10" s="41"/>
      <c r="AN10" s="42"/>
      <c r="AO10" s="43">
        <f>AM10*AN10</f>
        <v>0</v>
      </c>
      <c r="AP10" s="33"/>
    </row>
    <row r="11" ht="18.9" customHeight="1">
      <c r="B11" t="s" s="26">
        <f>IF(OR(AI11="ACTIVE",AI11="AVAILABLE",AI11="reserve",AI11="DNP"),G11,"")</f>
        <v>82</v>
      </c>
      <c r="C11" t="s" s="27">
        <f>$J11&amp;IF($F11="LED"," LED","")&amp;IF($L11="",""," ")&amp;$L11&amp;IF($K11="",""," ")&amp;$K11&amp;IF($M11="",""," ")&amp;$M11&amp;IF($N11="",""," ")&amp;$N11&amp;IF($O11="",""," ")&amp;$O11&amp;IF($R11="",""," ")&amp;$R11&amp;IF($R11="","","mcd")</f>
        <v>83</v>
      </c>
      <c r="D11" t="s" s="28">
        <f>$J11&amp;" "&amp;F11&amp;IF($L11="",""," ")&amp;$L11&amp;IF($K11="",""," ")&amp;$K11&amp;IF($M11="",""," ")&amp;$M11&amp;IF($N11="",""," ")&amp;$N11&amp;IF($O11="",""," ")&amp;$O11&amp;IF($R11="",""," ")&amp;$R11&amp;IF($R11="","","mcd")</f>
        <v>84</v>
      </c>
      <c r="E11" t="s" s="29">
        <f>IF(ISBLANK(AA11),"",HYPERLINK("https://jlcpcb.com/partdetail/"&amp;$AA11,$AA11))</f>
      </c>
      <c r="F11" t="s" s="30">
        <v>45</v>
      </c>
      <c r="G11" t="s" s="31">
        <f>F11&amp;"_"&amp;J11</f>
        <v>82</v>
      </c>
      <c r="H11" t="s" s="32">
        <v>57</v>
      </c>
      <c r="I11" s="33"/>
      <c r="J11" t="s" s="30">
        <v>85</v>
      </c>
      <c r="K11" t="s" s="30">
        <v>48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3"/>
      <c r="AB11" s="34"/>
      <c r="AC11" s="33"/>
      <c r="AD11" t="b" s="35">
        <v>0</v>
      </c>
      <c r="AE11" t="b" s="35">
        <v>0</v>
      </c>
      <c r="AF11" t="s" s="36">
        <v>49</v>
      </c>
      <c r="AG11" t="s" s="37">
        <v>86</v>
      </c>
      <c r="AH11" s="38">
        <v>10</v>
      </c>
      <c r="AI11" t="s" s="39">
        <v>51</v>
      </c>
      <c r="AJ11" t="s" s="31">
        <v>52</v>
      </c>
      <c r="AK11" t="s" s="31">
        <v>53</v>
      </c>
      <c r="AL11" s="40"/>
      <c r="AM11" s="41"/>
      <c r="AN11" s="42"/>
      <c r="AO11" s="43">
        <f>AM11*AN11</f>
        <v>0</v>
      </c>
      <c r="AP11" s="33"/>
    </row>
    <row r="12" ht="18.9" customHeight="1">
      <c r="B12" t="s" s="26">
        <f>IF(OR(AI12="ACTIVE",AI12="AVAILABLE",AI12="reserve",AI12="DNP"),G12,"")</f>
        <v>87</v>
      </c>
      <c r="C12" t="s" s="27">
        <f>$J12&amp;IF($F12="LED"," LED","")&amp;IF($L12="",""," ")&amp;$L12&amp;IF($K12="",""," ")&amp;$K12&amp;IF($M12="",""," ")&amp;$M12&amp;IF($N12="",""," ")&amp;$N12&amp;IF($O12="",""," ")&amp;$O12&amp;IF($R12="",""," ")&amp;$R12&amp;IF($R12="","","mcd")</f>
        <v>88</v>
      </c>
      <c r="D12" t="s" s="28">
        <f>$J12&amp;" "&amp;F12&amp;IF($L12="",""," ")&amp;$L12&amp;IF($K12="",""," ")&amp;$K12&amp;IF($M12="",""," ")&amp;$M12&amp;IF($N12="",""," ")&amp;$N12&amp;IF($O12="",""," ")&amp;$O12&amp;IF($R12="",""," ")&amp;$R12&amp;IF($R12="","","mcd")</f>
        <v>89</v>
      </c>
      <c r="E12" t="s" s="29">
        <f>IF(ISBLANK(AA12),"",HYPERLINK("https://jlcpcb.com/partdetail/"&amp;$AA12,$AA12))</f>
      </c>
      <c r="F12" t="s" s="30">
        <v>45</v>
      </c>
      <c r="G12" t="s" s="31">
        <f>F12&amp;"_"&amp;J12</f>
        <v>87</v>
      </c>
      <c r="H12" t="s" s="32">
        <v>90</v>
      </c>
      <c r="I12" s="33"/>
      <c r="J12" t="s" s="30">
        <v>91</v>
      </c>
      <c r="K12" t="s" s="30">
        <v>92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3"/>
      <c r="AB12" s="34"/>
      <c r="AC12" s="33"/>
      <c r="AD12" t="b" s="35">
        <v>0</v>
      </c>
      <c r="AE12" t="b" s="35">
        <v>0</v>
      </c>
      <c r="AF12" t="s" s="36">
        <v>93</v>
      </c>
      <c r="AG12" t="s" s="37">
        <v>94</v>
      </c>
      <c r="AH12" s="38">
        <v>10</v>
      </c>
      <c r="AI12" t="s" s="39">
        <v>51</v>
      </c>
      <c r="AJ12" t="s" s="31">
        <v>52</v>
      </c>
      <c r="AK12" t="s" s="31">
        <v>53</v>
      </c>
      <c r="AL12" s="40"/>
      <c r="AM12" s="41"/>
      <c r="AN12" s="42"/>
      <c r="AO12" s="43">
        <f>AM12*AN12</f>
        <v>0</v>
      </c>
      <c r="AP12" s="33"/>
    </row>
    <row r="13" ht="18.9" customHeight="1">
      <c r="B13" t="s" s="26">
        <f>IF(OR(AI13="ACTIVE",AI13="AVAILABLE",AI13="reserve",AI13="DNP"),G13,"")</f>
        <v>95</v>
      </c>
      <c r="C13" t="s" s="27">
        <f>$J13&amp;IF($F13="LED"," LED","")&amp;IF($L13="",""," ")&amp;$L13&amp;IF($K13="",""," ")&amp;$K13&amp;IF($M13="",""," ")&amp;$M13&amp;IF($N13="",""," ")&amp;$N13&amp;IF($O13="",""," ")&amp;$O13&amp;IF($R13="",""," ")&amp;$R13&amp;IF($R13="","","mcd")</f>
        <v>96</v>
      </c>
      <c r="D13" t="s" s="28">
        <f>$J13&amp;" "&amp;F13&amp;IF($L13="",""," ")&amp;$L13&amp;IF($K13="",""," ")&amp;$K13&amp;IF($M13="",""," ")&amp;$M13&amp;IF($N13="",""," ")&amp;$N13&amp;IF($O13="",""," ")&amp;$O13&amp;IF($R13="",""," ")&amp;$R13&amp;IF($R13="","","mcd")</f>
        <v>97</v>
      </c>
      <c r="E13" t="s" s="29">
        <f>IF(ISBLANK(AA13),"",HYPERLINK("https://jlcpcb.com/partdetail/"&amp;$AA13,$AA13))</f>
      </c>
      <c r="F13" t="s" s="30">
        <v>45</v>
      </c>
      <c r="G13" t="s" s="31">
        <f>F13&amp;"_"&amp;J13</f>
        <v>95</v>
      </c>
      <c r="H13" t="s" s="32">
        <v>90</v>
      </c>
      <c r="I13" s="33"/>
      <c r="J13" t="s" s="30">
        <v>98</v>
      </c>
      <c r="K13" t="s" s="30">
        <v>92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3"/>
      <c r="AB13" s="34"/>
      <c r="AC13" s="33"/>
      <c r="AD13" t="b" s="35">
        <v>0</v>
      </c>
      <c r="AE13" t="b" s="35">
        <v>0</v>
      </c>
      <c r="AF13" t="s" s="36">
        <v>99</v>
      </c>
      <c r="AG13" t="s" s="37">
        <v>100</v>
      </c>
      <c r="AH13" s="38">
        <v>10</v>
      </c>
      <c r="AI13" t="s" s="39">
        <v>51</v>
      </c>
      <c r="AJ13" t="s" s="31">
        <v>52</v>
      </c>
      <c r="AK13" t="s" s="31">
        <v>53</v>
      </c>
      <c r="AL13" s="40"/>
      <c r="AM13" s="41"/>
      <c r="AN13" s="42"/>
      <c r="AO13" s="43">
        <f>AM13*AN13</f>
        <v>0</v>
      </c>
      <c r="AP13" s="33"/>
    </row>
    <row r="14" ht="18.9" customHeight="1">
      <c r="B14" t="s" s="26">
        <f>IF(OR(AI14="ACTIVE",AI14="AVAILABLE",AI14="reserve",AI14="DNP"),G14,"")</f>
        <v>101</v>
      </c>
      <c r="C14" t="s" s="27">
        <f>$J14&amp;IF($F14="LED"," LED","")&amp;IF($L14="",""," ")&amp;$L14&amp;IF($K14="",""," ")&amp;$K14&amp;IF($M14="",""," ")&amp;$M14&amp;IF($N14="",""," ")&amp;$N14&amp;IF($O14="",""," ")&amp;$O14&amp;IF($R14="",""," ")&amp;$R14&amp;IF($R14="","","mcd")</f>
        <v>102</v>
      </c>
      <c r="D14" t="s" s="28">
        <f>$J14&amp;" "&amp;F14&amp;IF($L14="",""," ")&amp;$L14&amp;IF($K14="",""," ")&amp;$K14&amp;IF($M14="",""," ")&amp;$M14&amp;IF($N14="",""," ")&amp;$N14&amp;IF($O14="",""," ")&amp;$O14&amp;IF($R14="",""," ")&amp;$R14&amp;IF($R14="","","mcd")</f>
        <v>103</v>
      </c>
      <c r="E14" t="s" s="29">
        <f>IF(ISBLANK(AA14),"",HYPERLINK("https://jlcpcb.com/partdetail/"&amp;$AA14,$AA14))</f>
      </c>
      <c r="F14" t="s" s="30">
        <v>45</v>
      </c>
      <c r="G14" t="s" s="31">
        <f>F14&amp;"_"&amp;J14</f>
        <v>101</v>
      </c>
      <c r="H14" t="s" s="32">
        <v>104</v>
      </c>
      <c r="I14" s="33"/>
      <c r="J14" t="s" s="30">
        <v>105</v>
      </c>
      <c r="K14" t="s" s="30">
        <v>92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3"/>
      <c r="AB14" s="34"/>
      <c r="AC14" s="33"/>
      <c r="AD14" t="b" s="35">
        <v>0</v>
      </c>
      <c r="AE14" t="b" s="35">
        <v>0</v>
      </c>
      <c r="AF14" t="s" s="36">
        <v>106</v>
      </c>
      <c r="AG14" t="s" s="37">
        <v>107</v>
      </c>
      <c r="AH14" s="38">
        <v>10</v>
      </c>
      <c r="AI14" t="s" s="39">
        <v>51</v>
      </c>
      <c r="AJ14" t="s" s="31">
        <v>52</v>
      </c>
      <c r="AK14" t="s" s="31">
        <v>53</v>
      </c>
      <c r="AL14" s="40"/>
      <c r="AM14" s="41"/>
      <c r="AN14" s="42"/>
      <c r="AO14" s="43">
        <f>AM14*AN14</f>
        <v>0</v>
      </c>
      <c r="AP14" s="33"/>
    </row>
    <row r="15" ht="18.9" customHeight="1">
      <c r="B15" t="s" s="26">
        <f>IF(OR(AI15="ACTIVE",AI15="AVAILABLE",AI15="reserve",AI15="DNP"),G15,"")</f>
        <v>108</v>
      </c>
      <c r="C15" t="s" s="27">
        <f>$J15&amp;IF($F15="LED"," LED","")&amp;IF($L15="",""," ")&amp;$L15&amp;IF($K15="",""," ")&amp;$K15&amp;IF($M15="",""," ")&amp;$M15&amp;IF($N15="",""," ")&amp;$N15&amp;IF($O15="",""," ")&amp;$O15&amp;IF($R15="",""," ")&amp;$R15&amp;IF($R15="","","mcd")</f>
        <v>109</v>
      </c>
      <c r="D15" t="s" s="28">
        <f>$J15&amp;" "&amp;F15&amp;IF($L15="",""," ")&amp;$L15&amp;IF($K15="",""," ")&amp;$K15&amp;IF($M15="",""," ")&amp;$M15&amp;IF($N15="",""," ")&amp;$N15&amp;IF($O15="",""," ")&amp;$O15&amp;IF($R15="",""," ")&amp;$R15&amp;IF($R15="","","mcd")</f>
        <v>110</v>
      </c>
      <c r="E15" t="s" s="29">
        <f>IF(ISBLANK(AA15),"",HYPERLINK("https://jlcpcb.com/partdetail/"&amp;$AA15,$AA15))</f>
      </c>
      <c r="F15" t="s" s="30">
        <v>45</v>
      </c>
      <c r="G15" t="s" s="31">
        <f>F15&amp;"_"&amp;J15</f>
        <v>108</v>
      </c>
      <c r="H15" t="s" s="32">
        <v>111</v>
      </c>
      <c r="I15" s="33"/>
      <c r="J15" t="s" s="30">
        <v>112</v>
      </c>
      <c r="K15" t="s" s="30">
        <v>92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3"/>
      <c r="AB15" s="34"/>
      <c r="AC15" s="33"/>
      <c r="AD15" t="b" s="35">
        <v>0</v>
      </c>
      <c r="AE15" t="b" s="35">
        <v>0</v>
      </c>
      <c r="AF15" t="s" s="36">
        <v>113</v>
      </c>
      <c r="AG15" t="s" s="37">
        <v>114</v>
      </c>
      <c r="AH15" s="38">
        <v>10</v>
      </c>
      <c r="AI15" t="s" s="39">
        <v>51</v>
      </c>
      <c r="AJ15" t="s" s="31">
        <v>52</v>
      </c>
      <c r="AK15" t="s" s="31">
        <v>53</v>
      </c>
      <c r="AL15" s="40"/>
      <c r="AM15" s="41"/>
      <c r="AN15" s="42"/>
      <c r="AO15" s="43">
        <f>AM15*AN15</f>
        <v>0</v>
      </c>
      <c r="AP15" s="33"/>
    </row>
    <row r="16" ht="18.9" customHeight="1">
      <c r="B16" t="s" s="26">
        <f>IF(OR(AI16="ACTIVE",AI16="AVAILABLE",AI16="reserve",AI16="DNP"),G16,"")</f>
        <v>115</v>
      </c>
      <c r="C16" t="s" s="27">
        <f>$J16&amp;IF($F16="LED"," LED","")&amp;IF($L16="",""," ")&amp;$L16&amp;IF($K16="",""," ")&amp;$K16&amp;IF($M16="",""," ")&amp;$M16&amp;IF($N16="",""," ")&amp;$N16&amp;IF($O16="",""," ")&amp;$O16&amp;IF($R16="",""," ")&amp;$R16&amp;IF($R16="","","mcd")</f>
        <v>116</v>
      </c>
      <c r="D16" t="s" s="28">
        <f>$J16&amp;" "&amp;F16&amp;IF($L16="",""," ")&amp;$L16&amp;IF($K16="",""," ")&amp;$K16&amp;IF($M16="",""," ")&amp;$M16&amp;IF($N16="",""," ")&amp;$N16&amp;IF($O16="",""," ")&amp;$O16&amp;IF($R16="",""," ")&amp;$R16&amp;IF($R16="","","mcd")</f>
        <v>117</v>
      </c>
      <c r="E16" t="s" s="29">
        <f>IF(ISBLANK(AA16),"",HYPERLINK("https://jlcpcb.com/partdetail/"&amp;$AA16,$AA16))</f>
      </c>
      <c r="F16" t="s" s="30">
        <v>45</v>
      </c>
      <c r="G16" t="s" s="31">
        <f>F16&amp;"_"&amp;J16</f>
        <v>115</v>
      </c>
      <c r="H16" t="s" s="32">
        <v>118</v>
      </c>
      <c r="I16" s="33"/>
      <c r="J16" t="s" s="30">
        <v>119</v>
      </c>
      <c r="K16" t="s" s="30">
        <v>92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3"/>
      <c r="AB16" s="34"/>
      <c r="AC16" s="33"/>
      <c r="AD16" t="b" s="35">
        <v>0</v>
      </c>
      <c r="AE16" t="b" s="35">
        <v>0</v>
      </c>
      <c r="AF16" t="s" s="36">
        <v>120</v>
      </c>
      <c r="AG16" t="s" s="37">
        <v>121</v>
      </c>
      <c r="AH16" s="38">
        <v>10</v>
      </c>
      <c r="AI16" t="s" s="39">
        <v>51</v>
      </c>
      <c r="AJ16" t="s" s="31">
        <v>52</v>
      </c>
      <c r="AK16" t="s" s="31">
        <v>53</v>
      </c>
      <c r="AL16" s="40"/>
      <c r="AM16" s="41"/>
      <c r="AN16" s="42"/>
      <c r="AO16" s="43">
        <f>AM16*AN16</f>
        <v>0</v>
      </c>
      <c r="AP16" s="33"/>
    </row>
    <row r="17" ht="18.9" customHeight="1">
      <c r="B17" t="s" s="26">
        <f>IF(OR(AI17="ACTIVE",AI17="AVAILABLE",AI17="reserve",AI17="DNP"),G17,"")</f>
        <v>122</v>
      </c>
      <c r="C17" t="s" s="27">
        <f>$J17&amp;IF($F17="LED"," LED","")&amp;IF($L17="",""," ")&amp;$L17&amp;IF($K17="",""," ")&amp;$K17&amp;IF($M17="",""," ")&amp;$M17&amp;IF($N17="",""," ")&amp;$N17&amp;IF($O17="",""," ")&amp;$O17&amp;IF($R17="",""," ")&amp;$R17&amp;IF($R17="","","mcd")</f>
        <v>123</v>
      </c>
      <c r="D17" t="s" s="28">
        <f>$J17&amp;" "&amp;F17&amp;IF($L17="",""," ")&amp;$L17&amp;IF($K17="",""," ")&amp;$K17&amp;IF($M17="",""," ")&amp;$M17&amp;IF($N17="",""," ")&amp;$N17&amp;IF($O17="",""," ")&amp;$O17&amp;IF($R17="",""," ")&amp;$R17&amp;IF($R17="","","mcd")</f>
        <v>124</v>
      </c>
      <c r="E17" t="s" s="29">
        <f>IF(ISBLANK(AA17),"",HYPERLINK("https://jlcpcb.com/partdetail/"&amp;$AA17,$AA17))</f>
      </c>
      <c r="F17" t="s" s="30">
        <v>45</v>
      </c>
      <c r="G17" t="s" s="31">
        <f>F17&amp;"_"&amp;J17</f>
        <v>122</v>
      </c>
      <c r="H17" t="s" s="32">
        <v>125</v>
      </c>
      <c r="I17" s="33"/>
      <c r="J17" t="s" s="30">
        <v>126</v>
      </c>
      <c r="K17" t="s" s="30">
        <v>92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3"/>
      <c r="AB17" s="34"/>
      <c r="AC17" s="33"/>
      <c r="AD17" t="b" s="35">
        <v>0</v>
      </c>
      <c r="AE17" t="b" s="35">
        <v>0</v>
      </c>
      <c r="AF17" t="s" s="36">
        <v>127</v>
      </c>
      <c r="AG17" t="s" s="37">
        <v>128</v>
      </c>
      <c r="AH17" s="38">
        <v>10</v>
      </c>
      <c r="AI17" t="s" s="39">
        <v>51</v>
      </c>
      <c r="AJ17" t="s" s="31">
        <v>52</v>
      </c>
      <c r="AK17" t="s" s="31">
        <v>53</v>
      </c>
      <c r="AL17" s="40"/>
      <c r="AM17" s="41"/>
      <c r="AN17" s="42"/>
      <c r="AO17" s="43">
        <f>AM17*AN17</f>
        <v>0</v>
      </c>
      <c r="AP17" s="33"/>
    </row>
    <row r="18" ht="18.9" customHeight="1">
      <c r="B18" t="s" s="26">
        <f>IF(OR(AI18="ACTIVE",AI18="AVAILABLE",AI18="reserve",AI18="DNP"),G18,"")</f>
        <v>129</v>
      </c>
      <c r="C18" t="s" s="27">
        <f>$J18&amp;IF($F18="LED"," LED","")&amp;IF($L18="",""," ")&amp;$L18&amp;IF($K18="",""," ")&amp;$K18&amp;IF($M18="",""," ")&amp;$M18&amp;IF($N18="",""," ")&amp;$N18&amp;IF($O18="",""," ")&amp;$O18&amp;IF($R18="",""," ")&amp;$R18&amp;IF($R18="","","mcd")</f>
        <v>130</v>
      </c>
      <c r="D18" t="s" s="28">
        <f>$J18&amp;" "&amp;F18&amp;IF($L18="",""," ")&amp;$L18&amp;IF($K18="",""," ")&amp;$K18&amp;IF($M18="",""," ")&amp;$M18&amp;IF($N18="",""," ")&amp;$N18&amp;IF($O18="",""," ")&amp;$O18&amp;IF($R18="",""," ")&amp;$R18&amp;IF($R18="","","mcd")</f>
        <v>131</v>
      </c>
      <c r="E18" t="s" s="29">
        <f>IF(ISBLANK(AA18),"",HYPERLINK("https://jlcpcb.com/partdetail/"&amp;$AA18,$AA18))</f>
      </c>
      <c r="F18" t="s" s="30">
        <v>45</v>
      </c>
      <c r="G18" t="s" s="31">
        <f>F18&amp;"_"&amp;J18</f>
        <v>129</v>
      </c>
      <c r="H18" t="s" s="32">
        <v>132</v>
      </c>
      <c r="I18" s="33"/>
      <c r="J18" t="s" s="30">
        <v>133</v>
      </c>
      <c r="K18" t="s" s="30">
        <v>92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44"/>
      <c r="AB18" s="34"/>
      <c r="AC18" s="33"/>
      <c r="AD18" t="b" s="35">
        <v>0</v>
      </c>
      <c r="AE18" t="b" s="35">
        <v>0</v>
      </c>
      <c r="AF18" t="s" s="36">
        <v>134</v>
      </c>
      <c r="AG18" t="s" s="37">
        <v>135</v>
      </c>
      <c r="AH18" s="38">
        <v>10</v>
      </c>
      <c r="AI18" t="s" s="39">
        <v>51</v>
      </c>
      <c r="AJ18" t="s" s="31">
        <v>52</v>
      </c>
      <c r="AK18" t="s" s="31">
        <v>53</v>
      </c>
      <c r="AL18" s="40"/>
      <c r="AM18" s="41"/>
      <c r="AN18" s="42"/>
      <c r="AO18" s="43">
        <f>AM18*AN18</f>
        <v>0</v>
      </c>
      <c r="AP18" s="33"/>
    </row>
    <row r="19" ht="18.9" customHeight="1">
      <c r="B19" t="s" s="26">
        <f>IF(OR(AI19="ACTIVE",AI19="AVAILABLE",AI19="reserve",AI19="DNP"),G19,"")</f>
        <v>136</v>
      </c>
      <c r="C19" t="s" s="27">
        <f>$J19&amp;IF($F19="LED"," LED","")&amp;IF($L19="",""," ")&amp;$L19&amp;IF($K19="",""," ")&amp;$K19&amp;IF($M19="",""," ")&amp;$M19&amp;IF($N19="",""," ")&amp;$N19&amp;IF($O19="",""," ")&amp;$O19&amp;IF($R19="",""," ")&amp;$R19&amp;IF($R19="","","mcd")</f>
        <v>137</v>
      </c>
      <c r="D19" t="s" s="28">
        <f>$J19&amp;" "&amp;F19&amp;IF($L19="",""," ")&amp;$L19&amp;IF($K19="",""," ")&amp;$K19&amp;IF($M19="",""," ")&amp;$M19&amp;IF($N19="",""," ")&amp;$N19&amp;IF($O19="",""," ")&amp;$O19&amp;IF($R19="",""," ")&amp;$R19&amp;IF($R19="","","mcd")</f>
        <v>138</v>
      </c>
      <c r="E19" t="s" s="29">
        <f>IF(ISBLANK(AA19),"",HYPERLINK("https://jlcpcb.com/partdetail/"&amp;$AA19,$AA19))</f>
      </c>
      <c r="F19" t="s" s="30">
        <v>45</v>
      </c>
      <c r="G19" t="s" s="31">
        <f>F19&amp;"_"&amp;J19</f>
        <v>136</v>
      </c>
      <c r="H19" t="s" s="32">
        <v>139</v>
      </c>
      <c r="I19" s="33"/>
      <c r="J19" t="s" s="30">
        <v>140</v>
      </c>
      <c r="K19" t="s" s="30">
        <v>92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44"/>
      <c r="AB19" s="34"/>
      <c r="AC19" s="33"/>
      <c r="AD19" t="b" s="35">
        <v>0</v>
      </c>
      <c r="AE19" t="b" s="35">
        <v>0</v>
      </c>
      <c r="AF19" t="s" s="36">
        <v>141</v>
      </c>
      <c r="AG19" t="s" s="37">
        <v>142</v>
      </c>
      <c r="AH19" s="38">
        <v>10</v>
      </c>
      <c r="AI19" t="s" s="39">
        <v>51</v>
      </c>
      <c r="AJ19" t="s" s="31">
        <v>52</v>
      </c>
      <c r="AK19" t="s" s="31">
        <v>53</v>
      </c>
      <c r="AL19" s="40"/>
      <c r="AM19" s="41"/>
      <c r="AN19" s="42"/>
      <c r="AO19" s="43">
        <f>AM19*AN19</f>
        <v>0</v>
      </c>
      <c r="AP19" s="33"/>
    </row>
    <row r="20" ht="18.9" customHeight="1">
      <c r="B20" t="s" s="26">
        <f>IF(OR(AI20="ACTIVE",AI20="AVAILABLE",AI20="reserve",AI20="DNP"),G20,"")</f>
        <v>143</v>
      </c>
      <c r="C20" t="s" s="27">
        <f>$J20&amp;IF($F20="LED"," LED","")&amp;IF($L20="",""," ")&amp;$L20&amp;IF($K20="",""," ")&amp;$K20&amp;IF($M20="",""," ")&amp;$M20&amp;IF($N20="",""," ")&amp;$N20&amp;IF($O20="",""," ")&amp;$O20&amp;IF($R20="",""," ")&amp;$R20&amp;IF($R20="","","mcd")</f>
        <v>144</v>
      </c>
      <c r="D20" t="s" s="28">
        <f>$J20&amp;" "&amp;F20&amp;IF($L20="",""," ")&amp;$L20&amp;IF($K20="",""," ")&amp;$K20&amp;IF($M20="",""," ")&amp;$M20&amp;IF($N20="",""," ")&amp;$N20&amp;IF($O20="",""," ")&amp;$O20&amp;IF($R20="",""," ")&amp;$R20&amp;IF($R20="","","mcd")</f>
        <v>145</v>
      </c>
      <c r="E20" t="s" s="29">
        <f>IF(ISBLANK(AA20),"",HYPERLINK("https://jlcpcb.com/partdetail/"&amp;$AA20,$AA20))</f>
        <v>146</v>
      </c>
      <c r="F20" t="s" s="30">
        <v>147</v>
      </c>
      <c r="G20" t="s" s="31">
        <f>F20&amp;"_"&amp;J20</f>
        <v>143</v>
      </c>
      <c r="H20" t="s" s="32">
        <v>148</v>
      </c>
      <c r="I20" t="s" s="32">
        <v>149</v>
      </c>
      <c r="J20" t="s" s="30">
        <v>150</v>
      </c>
      <c r="K20" t="s" s="30">
        <v>151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t="s" s="30">
        <v>152</v>
      </c>
      <c r="X20" t="s" s="30">
        <v>153</v>
      </c>
      <c r="Y20" t="s" s="30">
        <v>154</v>
      </c>
      <c r="Z20" t="s" s="30">
        <v>155</v>
      </c>
      <c r="AA20" t="s" s="32">
        <v>156</v>
      </c>
      <c r="AB20" t="s" s="31">
        <v>157</v>
      </c>
      <c r="AC20" t="s" s="30">
        <v>158</v>
      </c>
      <c r="AD20" s="33"/>
      <c r="AE20" s="33"/>
      <c r="AF20" t="s" s="36">
        <v>159</v>
      </c>
      <c r="AG20" t="s" s="37">
        <v>159</v>
      </c>
      <c r="AH20" s="38">
        <v>10</v>
      </c>
      <c r="AI20" t="s" s="39">
        <v>51</v>
      </c>
      <c r="AJ20" t="s" s="31">
        <v>160</v>
      </c>
      <c r="AK20" t="s" s="31">
        <v>53</v>
      </c>
      <c r="AL20" s="40">
        <v>100</v>
      </c>
      <c r="AM20" s="45">
        <v>100</v>
      </c>
      <c r="AN20" s="46">
        <v>0.228</v>
      </c>
      <c r="AO20" s="43">
        <f>AM20*AN20</f>
        <v>22.8</v>
      </c>
      <c r="AP20" t="s" s="30">
        <v>161</v>
      </c>
    </row>
    <row r="21" ht="18.9" customHeight="1">
      <c r="B21" t="s" s="26">
        <f>IF(OR(AI21="ACTIVE",AI21="AVAILABLE",AI21="reserve",AI21="DNP"),G21,"")</f>
        <v>162</v>
      </c>
      <c r="C21" t="s" s="27">
        <f>$J21&amp;IF($F21="LED"," LED","")&amp;IF($L21="",""," ")&amp;$L21&amp;IF($K21="",""," ")&amp;$K21&amp;IF($M21="",""," ")&amp;$M21&amp;IF($N21="",""," ")&amp;$N21&amp;IF($O21="",""," ")&amp;$O21&amp;IF($R21="",""," ")&amp;$R21&amp;IF($R21="","","mcd")</f>
        <v>163</v>
      </c>
      <c r="D21" t="s" s="28">
        <f>$J21&amp;" "&amp;F21&amp;IF($L21="",""," ")&amp;$L21&amp;IF($K21="",""," ")&amp;$K21&amp;IF($M21="",""," ")&amp;$M21&amp;IF($N21="",""," ")&amp;$N21&amp;IF($O21="",""," ")&amp;$O21&amp;IF($R21="",""," ")&amp;$R21&amp;IF($R21="","","mcd")</f>
        <v>164</v>
      </c>
      <c r="E21" t="s" s="29">
        <f>IF(ISBLANK(AA21),"",HYPERLINK("https://jlcpcb.com/partdetail/"&amp;$AA21,$AA21))</f>
        <v>165</v>
      </c>
      <c r="F21" t="s" s="30">
        <v>147</v>
      </c>
      <c r="G21" t="s" s="31">
        <f>F21&amp;"_"&amp;J21</f>
        <v>162</v>
      </c>
      <c r="H21" t="s" s="32">
        <v>166</v>
      </c>
      <c r="I21" t="s" s="32">
        <v>149</v>
      </c>
      <c r="J21" t="s" s="32">
        <v>167</v>
      </c>
      <c r="K21" t="s" s="30">
        <v>168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t="s" s="30">
        <v>149</v>
      </c>
      <c r="X21" t="s" s="30">
        <v>169</v>
      </c>
      <c r="Y21" s="30"/>
      <c r="Z21" t="s" s="30">
        <v>170</v>
      </c>
      <c r="AA21" t="s" s="32">
        <v>171</v>
      </c>
      <c r="AB21" t="s" s="47">
        <v>172</v>
      </c>
      <c r="AC21" t="s" s="32">
        <v>173</v>
      </c>
      <c r="AD21" s="33"/>
      <c r="AE21" s="33"/>
      <c r="AF21" t="s" s="36">
        <v>174</v>
      </c>
      <c r="AG21" t="s" s="37">
        <v>175</v>
      </c>
      <c r="AH21" s="38">
        <v>10</v>
      </c>
      <c r="AI21" t="s" s="39">
        <v>160</v>
      </c>
      <c r="AJ21" t="s" s="31">
        <v>52</v>
      </c>
      <c r="AK21" t="s" s="31">
        <v>176</v>
      </c>
      <c r="AL21" s="40">
        <v>100</v>
      </c>
      <c r="AM21" s="45">
        <v>1000</v>
      </c>
      <c r="AN21" s="46">
        <v>0.006</v>
      </c>
      <c r="AO21" s="43">
        <f>AM21*AN21</f>
        <v>6</v>
      </c>
      <c r="AP21" t="s" s="30">
        <v>177</v>
      </c>
    </row>
    <row r="22" ht="18.9" customHeight="1">
      <c r="B22" t="s" s="26">
        <f>IF(OR(AI22="ACTIVE",AI22="AVAILABLE",AI22="reserve",AI22="DNP"),G22,"")</f>
        <v>178</v>
      </c>
      <c r="C22" t="s" s="27">
        <f>$J22&amp;IF($F22="LED"," LED","")&amp;IF($L22="",""," ")&amp;$L22&amp;IF($K22="",""," ")&amp;$K22&amp;IF($M22="",""," ")&amp;$M22&amp;IF($N22="",""," ")&amp;$N22&amp;IF($O22="",""," ")&amp;$O22&amp;IF($R22="",""," ")&amp;$R22&amp;IF($R22="","","mcd")</f>
        <v>179</v>
      </c>
      <c r="D22" t="s" s="28">
        <f>$J22&amp;" "&amp;F22&amp;IF($L22="",""," ")&amp;$L22&amp;IF($K22="",""," ")&amp;$K22&amp;IF($M22="",""," ")&amp;$M22&amp;IF($N22="",""," ")&amp;$N22&amp;IF($O22="",""," ")&amp;$O22&amp;IF($R22="",""," ")&amp;$R22&amp;IF($R22="","","mcd")</f>
        <v>180</v>
      </c>
      <c r="E22" t="s" s="29">
        <f>IF(ISBLANK(AA22),"",HYPERLINK("https://jlcpcb.com/partdetail/"&amp;$AA22,$AA22))</f>
        <v>181</v>
      </c>
      <c r="F22" t="s" s="30">
        <v>147</v>
      </c>
      <c r="G22" t="s" s="31">
        <f>F22&amp;"_"&amp;J22</f>
        <v>178</v>
      </c>
      <c r="H22" t="s" s="32">
        <v>182</v>
      </c>
      <c r="I22" t="s" s="30">
        <v>8</v>
      </c>
      <c r="J22" t="s" s="32">
        <v>183</v>
      </c>
      <c r="K22" t="s" s="30">
        <v>168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t="s" s="30">
        <v>8</v>
      </c>
      <c r="X22" t="s" s="30">
        <v>169</v>
      </c>
      <c r="Y22" s="30"/>
      <c r="Z22" t="s" s="30">
        <v>170</v>
      </c>
      <c r="AA22" t="s" s="32">
        <v>184</v>
      </c>
      <c r="AB22" t="s" s="47">
        <v>172</v>
      </c>
      <c r="AC22" t="s" s="32">
        <v>185</v>
      </c>
      <c r="AD22" s="33"/>
      <c r="AE22" s="33"/>
      <c r="AF22" t="s" s="36">
        <v>174</v>
      </c>
      <c r="AG22" t="s" s="37">
        <v>186</v>
      </c>
      <c r="AH22" s="38">
        <v>10</v>
      </c>
      <c r="AI22" t="s" s="39">
        <v>160</v>
      </c>
      <c r="AJ22" t="s" s="31">
        <v>52</v>
      </c>
      <c r="AK22" t="s" s="31">
        <v>176</v>
      </c>
      <c r="AL22" s="40">
        <v>0</v>
      </c>
      <c r="AM22" s="45">
        <v>1000</v>
      </c>
      <c r="AN22" s="48">
        <v>0.0073</v>
      </c>
      <c r="AO22" s="43">
        <f>AM22*AN22</f>
        <v>7.3</v>
      </c>
      <c r="AP22" t="s" s="30">
        <v>187</v>
      </c>
    </row>
    <row r="23" ht="18.9" customHeight="1">
      <c r="B23" t="s" s="26">
        <f>IF(OR(AI23="ACTIVE",AI23="AVAILABLE",AI23="reserve",AI23="DNP"),G23,"")</f>
        <v>188</v>
      </c>
      <c r="C23" t="s" s="27">
        <f>$J23&amp;IF($F23="LED"," LED","")&amp;IF($L23="",""," ")&amp;$L23&amp;IF($K23="",""," ")&amp;$K23&amp;IF($M23="",""," ")&amp;$M23&amp;IF($N23="",""," ")&amp;$N23&amp;IF($O23="",""," ")&amp;$O23&amp;IF($R23="",""," ")&amp;$R23&amp;IF($R23="","","mcd")</f>
        <v>189</v>
      </c>
      <c r="D23" t="s" s="28">
        <f>$J23&amp;" "&amp;F23&amp;IF($L23="",""," ")&amp;$L23&amp;IF($K23="",""," ")&amp;$K23&amp;IF($M23="",""," ")&amp;$M23&amp;IF($N23="",""," ")&amp;$N23&amp;IF($O23="",""," ")&amp;$O23&amp;IF($R23="",""," ")&amp;$R23&amp;IF($R23="","","mcd")</f>
        <v>190</v>
      </c>
      <c r="E23" t="s" s="29">
        <f>IF(ISBLANK(AA23),"",HYPERLINK("https://jlcpcb.com/partdetail/"&amp;$AA23,$AA23))</f>
      </c>
      <c r="F23" t="s" s="30">
        <v>191</v>
      </c>
      <c r="G23" t="s" s="31">
        <f>F23&amp;"_"&amp;J23</f>
        <v>188</v>
      </c>
      <c r="H23" t="s" s="32">
        <v>192</v>
      </c>
      <c r="I23" s="33"/>
      <c r="J23" t="s" s="30">
        <v>193</v>
      </c>
      <c r="K23" t="s" s="30">
        <v>194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t="s" s="30">
        <v>195</v>
      </c>
      <c r="X23" t="s" s="30">
        <v>196</v>
      </c>
      <c r="Y23" t="s" s="30">
        <v>154</v>
      </c>
      <c r="Z23" s="30"/>
      <c r="AA23" s="33"/>
      <c r="AB23" t="s" s="31">
        <v>197</v>
      </c>
      <c r="AC23" t="s" s="30">
        <v>193</v>
      </c>
      <c r="AD23" t="b" s="35">
        <v>0</v>
      </c>
      <c r="AE23" t="b" s="35">
        <v>0</v>
      </c>
      <c r="AF23" t="s" s="36">
        <v>198</v>
      </c>
      <c r="AG23" t="s" s="37">
        <v>199</v>
      </c>
      <c r="AH23" s="38">
        <v>10</v>
      </c>
      <c r="AI23" t="s" s="39">
        <v>51</v>
      </c>
      <c r="AJ23" t="s" s="31">
        <v>52</v>
      </c>
      <c r="AK23" t="s" s="31">
        <v>53</v>
      </c>
      <c r="AL23" s="40">
        <v>0</v>
      </c>
      <c r="AM23" s="41"/>
      <c r="AN23" s="42"/>
      <c r="AO23" s="43">
        <f>AM23*AN23</f>
        <v>0</v>
      </c>
      <c r="AP23" s="33"/>
    </row>
    <row r="24" ht="18.9" customHeight="1">
      <c r="B24" t="s" s="26">
        <f>IF(OR(AI24="ACTIVE",AI24="AVAILABLE",AI24="reserve",AI24="DNP"),G24,"")</f>
        <v>200</v>
      </c>
      <c r="C24" t="s" s="27">
        <f>$J24&amp;IF($F24="LED"," LED","")&amp;IF($L24="",""," ")&amp;$L24&amp;IF($K24="",""," ")&amp;$K24&amp;IF($M24="",""," ")&amp;$M24&amp;IF($N24="",""," ")&amp;$N24&amp;IF($O24="",""," ")&amp;$O24&amp;IF($R24="",""," ")&amp;$R24&amp;IF($R24="","","mcd")</f>
        <v>201</v>
      </c>
      <c r="D24" t="s" s="28">
        <f>$J24&amp;" "&amp;F24&amp;IF($L24="",""," ")&amp;$L24&amp;IF($K24="",""," ")&amp;$K24&amp;IF($M24="",""," ")&amp;$M24&amp;IF($N24="",""," ")&amp;$N24&amp;IF($O24="",""," ")&amp;$O24&amp;IF($R24="",""," ")&amp;$R24&amp;IF($R24="","","mcd")</f>
        <v>202</v>
      </c>
      <c r="E24" t="s" s="29">
        <f>IF(ISBLANK(AA24),"",HYPERLINK("https://jlcpcb.com/partdetail/"&amp;$AA24,$AA24))</f>
      </c>
      <c r="F24" t="s" s="30">
        <v>191</v>
      </c>
      <c r="G24" t="s" s="31">
        <f>F24&amp;"_"&amp;J24</f>
        <v>200</v>
      </c>
      <c r="H24" t="s" s="32">
        <v>203</v>
      </c>
      <c r="I24" s="33"/>
      <c r="J24" t="s" s="30">
        <v>204</v>
      </c>
      <c r="K24" t="s" s="30">
        <v>194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t="s" s="30">
        <v>205</v>
      </c>
      <c r="X24" t="s" s="30">
        <v>196</v>
      </c>
      <c r="Y24" t="s" s="30">
        <v>154</v>
      </c>
      <c r="Z24" s="30"/>
      <c r="AA24" s="33"/>
      <c r="AB24" t="s" s="31">
        <v>197</v>
      </c>
      <c r="AC24" t="s" s="30">
        <v>204</v>
      </c>
      <c r="AD24" t="b" s="35">
        <v>0</v>
      </c>
      <c r="AE24" t="b" s="35">
        <v>0</v>
      </c>
      <c r="AF24" t="s" s="36">
        <v>198</v>
      </c>
      <c r="AG24" t="s" s="37">
        <v>206</v>
      </c>
      <c r="AH24" s="38">
        <v>10</v>
      </c>
      <c r="AI24" t="s" s="39">
        <v>51</v>
      </c>
      <c r="AJ24" t="s" s="31">
        <v>52</v>
      </c>
      <c r="AK24" t="s" s="31">
        <v>53</v>
      </c>
      <c r="AL24" s="40">
        <v>0</v>
      </c>
      <c r="AM24" s="41"/>
      <c r="AN24" s="42"/>
      <c r="AO24" s="43">
        <f>AM24*AN24</f>
        <v>0</v>
      </c>
      <c r="AP24" s="33"/>
    </row>
    <row r="25" ht="18.9" customHeight="1">
      <c r="B25" t="s" s="26">
        <f>IF(OR(AI25="ACTIVE",AI25="AVAILABLE",AI25="reserve",AI25="DNP"),G25,"")</f>
        <v>207</v>
      </c>
      <c r="C25" t="s" s="27">
        <f>$J25&amp;IF($F25="LED"," LED","")&amp;IF($L25="",""," ")&amp;$L25&amp;IF($K25="",""," ")&amp;$K25&amp;IF($M25="",""," ")&amp;$M25&amp;IF($N25="",""," ")&amp;$N25&amp;IF($O25="",""," ")&amp;$O25&amp;IF($R25="",""," ")&amp;$R25&amp;IF($R25="","","mcd")</f>
        <v>208</v>
      </c>
      <c r="D25" t="s" s="28">
        <f>$J25&amp;" "&amp;F25&amp;IF($L25="",""," ")&amp;$L25&amp;IF($K25="",""," ")&amp;$K25&amp;IF($M25="",""," ")&amp;$M25&amp;IF($N25="",""," ")&amp;$N25&amp;IF($O25="",""," ")&amp;$O25&amp;IF($R25="",""," ")&amp;$R25&amp;IF($R25="","","mcd")</f>
        <v>209</v>
      </c>
      <c r="E25" t="s" s="29">
        <f>IF(ISBLANK(AA25),"",HYPERLINK("https://jlcpcb.com/partdetail/"&amp;$AA25,$AA25))</f>
      </c>
      <c r="F25" t="s" s="30">
        <v>191</v>
      </c>
      <c r="G25" t="s" s="31">
        <f>F25&amp;"_"&amp;J25</f>
        <v>207</v>
      </c>
      <c r="H25" t="s" s="32">
        <v>210</v>
      </c>
      <c r="I25" s="33"/>
      <c r="J25" t="s" s="30">
        <v>211</v>
      </c>
      <c r="K25" t="s" s="30">
        <v>194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t="s" s="30">
        <v>195</v>
      </c>
      <c r="X25" t="s" s="30">
        <v>212</v>
      </c>
      <c r="Y25" t="s" s="30">
        <v>154</v>
      </c>
      <c r="Z25" s="30"/>
      <c r="AA25" s="33"/>
      <c r="AB25" t="s" s="31">
        <v>197</v>
      </c>
      <c r="AC25" t="s" s="30">
        <v>211</v>
      </c>
      <c r="AD25" t="b" s="35">
        <v>0</v>
      </c>
      <c r="AE25" t="b" s="35">
        <v>0</v>
      </c>
      <c r="AF25" t="s" s="36">
        <v>213</v>
      </c>
      <c r="AG25" t="s" s="37">
        <v>214</v>
      </c>
      <c r="AH25" s="38">
        <v>10</v>
      </c>
      <c r="AI25" t="s" s="39">
        <v>51</v>
      </c>
      <c r="AJ25" t="s" s="31">
        <v>52</v>
      </c>
      <c r="AK25" t="s" s="31">
        <v>53</v>
      </c>
      <c r="AL25" s="40">
        <v>0</v>
      </c>
      <c r="AM25" s="41"/>
      <c r="AN25" s="42"/>
      <c r="AO25" s="43">
        <f>AM25*AN25</f>
        <v>0</v>
      </c>
      <c r="AP25" s="33"/>
    </row>
    <row r="26" ht="18.9" customHeight="1">
      <c r="B26" t="s" s="26">
        <f>IF(OR(AI26="ACTIVE",AI26="AVAILABLE",AI26="reserve",AI26="DNP"),G26,"")</f>
        <v>215</v>
      </c>
      <c r="C26" t="s" s="27">
        <f>$J26&amp;IF($F26="LED"," LED","")&amp;IF($L26="",""," ")&amp;$L26&amp;IF($K26="",""," ")&amp;$K26&amp;IF($M26="",""," ")&amp;$M26&amp;IF($N26="",""," ")&amp;$N26&amp;IF($O26="",""," ")&amp;$O26&amp;IF($R26="",""," ")&amp;$R26&amp;IF($R26="","","mcd")</f>
        <v>216</v>
      </c>
      <c r="D26" t="s" s="28">
        <f>$J26&amp;" "&amp;F26&amp;IF($L26="",""," ")&amp;$L26&amp;IF($K26="",""," ")&amp;$K26&amp;IF($M26="",""," ")&amp;$M26&amp;IF($N26="",""," ")&amp;$N26&amp;IF($O26="",""," ")&amp;$O26&amp;IF($R26="",""," ")&amp;$R26&amp;IF($R26="","","mcd")</f>
        <v>217</v>
      </c>
      <c r="E26" t="s" s="29">
        <f>IF(ISBLANK(AA26),"",HYPERLINK("https://jlcpcb.com/partdetail/"&amp;$AA26,$AA26))</f>
      </c>
      <c r="F26" t="s" s="30">
        <v>191</v>
      </c>
      <c r="G26" t="s" s="31">
        <f>F26&amp;"_"&amp;J26</f>
        <v>215</v>
      </c>
      <c r="H26" t="s" s="32">
        <v>218</v>
      </c>
      <c r="I26" s="33"/>
      <c r="J26" t="s" s="30">
        <v>219</v>
      </c>
      <c r="K26" t="s" s="30">
        <v>194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t="s" s="30">
        <v>205</v>
      </c>
      <c r="X26" t="s" s="30">
        <v>212</v>
      </c>
      <c r="Y26" t="s" s="30">
        <v>154</v>
      </c>
      <c r="Z26" s="30"/>
      <c r="AA26" s="33"/>
      <c r="AB26" t="s" s="31">
        <v>197</v>
      </c>
      <c r="AC26" t="s" s="30">
        <v>219</v>
      </c>
      <c r="AD26" t="b" s="35">
        <v>0</v>
      </c>
      <c r="AE26" t="b" s="35">
        <v>0</v>
      </c>
      <c r="AF26" t="s" s="36">
        <v>213</v>
      </c>
      <c r="AG26" t="s" s="37">
        <v>220</v>
      </c>
      <c r="AH26" s="38">
        <v>10</v>
      </c>
      <c r="AI26" t="s" s="39">
        <v>51</v>
      </c>
      <c r="AJ26" t="s" s="31">
        <v>52</v>
      </c>
      <c r="AK26" t="s" s="31">
        <v>53</v>
      </c>
      <c r="AL26" s="40">
        <v>0</v>
      </c>
      <c r="AM26" s="41"/>
      <c r="AN26" s="42"/>
      <c r="AO26" s="43">
        <f>AM26*AN26</f>
        <v>0</v>
      </c>
      <c r="AP26" s="33"/>
    </row>
    <row r="27" ht="18.9" customHeight="1">
      <c r="B27" t="s" s="26">
        <f>IF(OR(AI27="ACTIVE",AI27="AVAILABLE",AI27="reserve",AI27="DNP"),G27,"")</f>
        <v>221</v>
      </c>
      <c r="C27" t="s" s="27">
        <f>$J27&amp;IF($F27="LED"," LED","")&amp;IF($L27="",""," ")&amp;$L27&amp;IF($K27="",""," ")&amp;$K27&amp;IF($M27="",""," ")&amp;$M27&amp;IF($N27="",""," ")&amp;$N27&amp;IF($O27="",""," ")&amp;$O27&amp;IF($R27="",""," ")&amp;$R27&amp;IF($R27="","","mcd")</f>
        <v>222</v>
      </c>
      <c r="D27" t="s" s="28">
        <f>$J27&amp;" "&amp;F27&amp;IF($L27="",""," ")&amp;$L27&amp;IF($K27="",""," ")&amp;$K27&amp;IF($M27="",""," ")&amp;$M27&amp;IF($N27="",""," ")&amp;$N27&amp;IF($O27="",""," ")&amp;$O27&amp;IF($R27="",""," ")&amp;$R27&amp;IF($R27="","","mcd")</f>
        <v>223</v>
      </c>
      <c r="E27" t="s" s="29">
        <f>IF(ISBLANK(AA27),"",HYPERLINK("https://jlcpcb.com/partdetail/"&amp;$AA27,$AA27))</f>
      </c>
      <c r="F27" t="s" s="30">
        <v>191</v>
      </c>
      <c r="G27" t="s" s="31">
        <f>F27&amp;"_"&amp;J27</f>
        <v>221</v>
      </c>
      <c r="H27" t="s" s="32">
        <v>224</v>
      </c>
      <c r="I27" s="33"/>
      <c r="J27" t="s" s="30">
        <v>225</v>
      </c>
      <c r="K27" t="s" s="30">
        <v>194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t="s" s="30">
        <v>205</v>
      </c>
      <c r="X27" t="s" s="30">
        <v>226</v>
      </c>
      <c r="Y27" t="s" s="30">
        <v>154</v>
      </c>
      <c r="Z27" s="30"/>
      <c r="AA27" s="33"/>
      <c r="AB27" t="s" s="31">
        <v>197</v>
      </c>
      <c r="AC27" t="s" s="30">
        <v>225</v>
      </c>
      <c r="AD27" t="b" s="35">
        <v>0</v>
      </c>
      <c r="AE27" t="b" s="35">
        <v>0</v>
      </c>
      <c r="AF27" t="s" s="36">
        <v>227</v>
      </c>
      <c r="AG27" t="s" s="37">
        <v>228</v>
      </c>
      <c r="AH27" s="38">
        <v>10</v>
      </c>
      <c r="AI27" t="s" s="39">
        <v>51</v>
      </c>
      <c r="AJ27" t="s" s="31">
        <v>52</v>
      </c>
      <c r="AK27" t="s" s="31">
        <v>53</v>
      </c>
      <c r="AL27" s="40">
        <v>0</v>
      </c>
      <c r="AM27" s="41"/>
      <c r="AN27" s="42"/>
      <c r="AO27" s="43">
        <f>AM27*AN27</f>
        <v>0</v>
      </c>
      <c r="AP27" s="33"/>
    </row>
    <row r="28" ht="18.9" customHeight="1">
      <c r="B28" t="s" s="26">
        <f>IF(OR(AI28="ACTIVE",AI28="AVAILABLE",AI28="reserve",AI28="DNP"),G28,"")</f>
        <v>229</v>
      </c>
      <c r="C28" t="s" s="27">
        <f>$J28&amp;IF($F28="LED"," LED","")&amp;IF($L28="",""," ")&amp;$L28&amp;IF($K28="",""," ")&amp;$K28&amp;IF($M28="",""," ")&amp;$M28&amp;IF($N28="",""," ")&amp;$N28&amp;IF($O28="",""," ")&amp;$O28&amp;IF($R28="",""," ")&amp;$R28&amp;IF($R28="","","mcd")</f>
        <v>230</v>
      </c>
      <c r="D28" t="s" s="28">
        <f>$J28&amp;" "&amp;F28&amp;IF($L28="",""," ")&amp;$L28&amp;IF($K28="",""," ")&amp;$K28&amp;IF($M28="",""," ")&amp;$M28&amp;IF($N28="",""," ")&amp;$N28&amp;IF($O28="",""," ")&amp;$O28&amp;IF($R28="",""," ")&amp;$R28&amp;IF($R28="","","mcd")</f>
        <v>231</v>
      </c>
      <c r="E28" t="s" s="29">
        <f>IF(ISBLANK(AA28),"",HYPERLINK("https://jlcpcb.com/partdetail/"&amp;$AA28,$AA28))</f>
      </c>
      <c r="F28" t="s" s="30">
        <v>191</v>
      </c>
      <c r="G28" t="s" s="31">
        <f>F28&amp;"_"&amp;J28</f>
        <v>229</v>
      </c>
      <c r="H28" t="s" s="32">
        <v>232</v>
      </c>
      <c r="I28" t="s" s="32">
        <v>149</v>
      </c>
      <c r="J28" t="s" s="30">
        <v>233</v>
      </c>
      <c r="K28" t="s" s="30">
        <v>234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t="s" s="30">
        <v>235</v>
      </c>
      <c r="Y28" s="30"/>
      <c r="Z28" s="30"/>
      <c r="AA28" s="33"/>
      <c r="AB28" s="34"/>
      <c r="AC28" t="s" s="30">
        <v>233</v>
      </c>
      <c r="AD28" t="b" s="35">
        <v>0</v>
      </c>
      <c r="AE28" t="b" s="35">
        <v>0</v>
      </c>
      <c r="AF28" t="s" s="36">
        <v>236</v>
      </c>
      <c r="AG28" t="s" s="37">
        <v>237</v>
      </c>
      <c r="AH28" s="38">
        <v>10</v>
      </c>
      <c r="AI28" t="s" s="39">
        <v>51</v>
      </c>
      <c r="AJ28" t="s" s="31">
        <v>52</v>
      </c>
      <c r="AK28" t="s" s="31">
        <v>53</v>
      </c>
      <c r="AL28" s="40">
        <v>100</v>
      </c>
      <c r="AM28" s="41"/>
      <c r="AN28" s="42"/>
      <c r="AO28" s="43">
        <f>AM28*AN28</f>
        <v>0</v>
      </c>
      <c r="AP28" s="33"/>
    </row>
    <row r="29" ht="18.9" customHeight="1">
      <c r="B29" t="s" s="26">
        <f>IF(OR(AI29="ACTIVE",AI29="AVAILABLE",AI29="reserve",AI29="DNP"),G29,"")</f>
        <v>238</v>
      </c>
      <c r="C29" t="s" s="27">
        <f>$J29&amp;IF($F29="LED"," LED","")&amp;IF($L29="",""," ")&amp;$L29&amp;IF($K29="",""," ")&amp;$K29&amp;IF($M29="",""," ")&amp;$M29&amp;IF($N29="",""," ")&amp;$N29&amp;IF($O29="",""," ")&amp;$O29&amp;IF($R29="",""," ")&amp;$R29&amp;IF($R29="","","mcd")</f>
        <v>239</v>
      </c>
      <c r="D29" t="s" s="28">
        <f>$J29&amp;" "&amp;F29&amp;IF($L29="",""," ")&amp;$L29&amp;IF($K29="",""," ")&amp;$K29&amp;IF($M29="",""," ")&amp;$M29&amp;IF($N29="",""," ")&amp;$N29&amp;IF($O29="",""," ")&amp;$O29&amp;IF($R29="",""," ")&amp;$R29&amp;IF($R29="","","mcd")</f>
        <v>240</v>
      </c>
      <c r="E29" t="s" s="29">
        <f>IF(ISBLANK(AA29),"",HYPERLINK("https://jlcpcb.com/partdetail/"&amp;$AA29,$AA29))</f>
      </c>
      <c r="F29" t="s" s="30">
        <v>191</v>
      </c>
      <c r="G29" t="s" s="31">
        <f>F29&amp;"_"&amp;J29</f>
        <v>238</v>
      </c>
      <c r="H29" t="s" s="32">
        <v>241</v>
      </c>
      <c r="I29" t="s" s="32">
        <v>149</v>
      </c>
      <c r="J29" t="s" s="30">
        <v>242</v>
      </c>
      <c r="K29" t="s" s="30">
        <v>243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t="s" s="30">
        <v>244</v>
      </c>
      <c r="Y29" t="s" s="30">
        <v>245</v>
      </c>
      <c r="Z29" s="30"/>
      <c r="AA29" s="33"/>
      <c r="AB29" s="34"/>
      <c r="AC29" s="33"/>
      <c r="AD29" s="33"/>
      <c r="AE29" s="33"/>
      <c r="AF29" t="s" s="36">
        <v>246</v>
      </c>
      <c r="AG29" t="s" s="37">
        <v>247</v>
      </c>
      <c r="AH29" s="38">
        <v>10</v>
      </c>
      <c r="AI29" t="s" s="39">
        <v>51</v>
      </c>
      <c r="AJ29" t="s" s="31">
        <v>52</v>
      </c>
      <c r="AK29" t="s" s="31">
        <v>53</v>
      </c>
      <c r="AL29" s="40">
        <v>100</v>
      </c>
      <c r="AM29" s="41"/>
      <c r="AN29" s="42"/>
      <c r="AO29" s="43">
        <f>AM29*AN29</f>
        <v>0</v>
      </c>
      <c r="AP29" s="33"/>
    </row>
    <row r="30" ht="18.9" customHeight="1">
      <c r="B30" t="s" s="26">
        <f>IF(OR(AI30="ACTIVE",AI30="AVAILABLE",AI30="reserve",AI30="DNP"),G30,"")</f>
        <v>248</v>
      </c>
      <c r="C30" t="s" s="27">
        <f>$J30&amp;IF($F30="LED"," LED","")&amp;IF($L30="",""," ")&amp;$L30&amp;IF($K30="",""," ")&amp;$K30&amp;IF($M30="",""," ")&amp;$M30&amp;IF($N30="",""," ")&amp;$N30&amp;IF($O30="",""," ")&amp;$O30&amp;IF($R30="",""," ")&amp;$R30&amp;IF($R30="","","mcd")</f>
        <v>249</v>
      </c>
      <c r="D30" t="s" s="28">
        <f>$J30&amp;" "&amp;F30&amp;IF($L30="",""," ")&amp;$L30&amp;IF($K30="",""," ")&amp;$K30&amp;IF($M30="",""," ")&amp;$M30&amp;IF($N30="",""," ")&amp;$N30&amp;IF($O30="",""," ")&amp;$O30&amp;IF($R30="",""," ")&amp;$R30&amp;IF($R30="","","mcd")</f>
        <v>250</v>
      </c>
      <c r="E30" t="s" s="29">
        <f>IF(ISBLANK(AA30),"",HYPERLINK("https://jlcpcb.com/partdetail/"&amp;$AA30,$AA30))</f>
      </c>
      <c r="F30" t="s" s="30">
        <v>191</v>
      </c>
      <c r="G30" t="s" s="31">
        <f>F30&amp;"_"&amp;J30</f>
        <v>248</v>
      </c>
      <c r="H30" t="s" s="32">
        <v>251</v>
      </c>
      <c r="I30" t="s" s="32">
        <v>149</v>
      </c>
      <c r="J30" t="s" s="30">
        <v>252</v>
      </c>
      <c r="K30" t="s" s="30">
        <v>243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t="s" s="30">
        <v>253</v>
      </c>
      <c r="Y30" t="s" s="30">
        <v>245</v>
      </c>
      <c r="Z30" s="30"/>
      <c r="AA30" s="33"/>
      <c r="AB30" s="34"/>
      <c r="AC30" s="33"/>
      <c r="AD30" t="b" s="35">
        <v>0</v>
      </c>
      <c r="AE30" t="b" s="35">
        <v>0</v>
      </c>
      <c r="AF30" t="s" s="36">
        <v>254</v>
      </c>
      <c r="AG30" t="s" s="37">
        <v>255</v>
      </c>
      <c r="AH30" s="38">
        <v>10</v>
      </c>
      <c r="AI30" t="s" s="39">
        <v>51</v>
      </c>
      <c r="AJ30" t="s" s="31">
        <v>52</v>
      </c>
      <c r="AK30" t="s" s="31">
        <v>53</v>
      </c>
      <c r="AL30" s="40">
        <v>100</v>
      </c>
      <c r="AM30" s="41"/>
      <c r="AN30" s="42"/>
      <c r="AO30" s="43">
        <f>AM30*AN30</f>
        <v>0</v>
      </c>
      <c r="AP30" s="33"/>
    </row>
    <row r="31" ht="18.9" customHeight="1">
      <c r="B31" t="s" s="26">
        <f>IF(OR(AI31="ACTIVE",AI31="AVAILABLE",AI31="reserve",AI31="DNP"),G31,"")</f>
        <v>256</v>
      </c>
      <c r="C31" t="s" s="27">
        <f>$J31&amp;IF($F31="LED"," LED","")&amp;IF($L31="",""," ")&amp;$L31&amp;IF($K31="",""," ")&amp;$K31&amp;IF($M31="",""," ")&amp;$M31&amp;IF($N31="",""," ")&amp;$N31&amp;IF($O31="",""," ")&amp;$O31&amp;IF($R31="",""," ")&amp;$R31&amp;IF($R31="","","mcd")</f>
        <v>257</v>
      </c>
      <c r="D31" t="s" s="28">
        <f>$J31&amp;" "&amp;F31&amp;IF($L31="",""," ")&amp;$L31&amp;IF($K31="",""," ")&amp;$K31&amp;IF($M31="",""," ")&amp;$M31&amp;IF($N31="",""," ")&amp;$N31&amp;IF($O31="",""," ")&amp;$O31&amp;IF($R31="",""," ")&amp;$R31&amp;IF($R31="","","mcd")</f>
        <v>258</v>
      </c>
      <c r="E31" t="s" s="29">
        <f>IF(ISBLANK(AA31),"",HYPERLINK("https://jlcpcb.com/partdetail/"&amp;$AA31,$AA31))</f>
      </c>
      <c r="F31" t="s" s="30">
        <v>191</v>
      </c>
      <c r="G31" t="s" s="31">
        <f>F31&amp;"_"&amp;J31</f>
        <v>256</v>
      </c>
      <c r="H31" t="s" s="32">
        <v>259</v>
      </c>
      <c r="I31" t="s" s="32">
        <v>149</v>
      </c>
      <c r="J31" t="s" s="30">
        <v>260</v>
      </c>
      <c r="K31" t="s" s="30">
        <v>243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t="s" s="30">
        <v>261</v>
      </c>
      <c r="Y31" t="s" s="30">
        <v>245</v>
      </c>
      <c r="Z31" s="30"/>
      <c r="AA31" s="33"/>
      <c r="AB31" s="34"/>
      <c r="AC31" s="33"/>
      <c r="AD31" s="33"/>
      <c r="AE31" s="33"/>
      <c r="AF31" t="s" s="36">
        <v>262</v>
      </c>
      <c r="AG31" t="s" s="37">
        <v>263</v>
      </c>
      <c r="AH31" s="38">
        <v>10</v>
      </c>
      <c r="AI31" t="s" s="39">
        <v>51</v>
      </c>
      <c r="AJ31" t="s" s="31">
        <v>52</v>
      </c>
      <c r="AK31" t="s" s="31">
        <v>53</v>
      </c>
      <c r="AL31" s="40">
        <v>100</v>
      </c>
      <c r="AM31" s="41"/>
      <c r="AN31" s="42"/>
      <c r="AO31" s="43">
        <f>AM31*AN31</f>
        <v>0</v>
      </c>
      <c r="AP31" s="33"/>
    </row>
    <row r="32" ht="18.9" customHeight="1">
      <c r="B32" t="s" s="26">
        <f>IF(OR(AI32="ACTIVE",AI32="AVAILABLE",AI32="reserve",AI32="DNP"),G32,"")</f>
        <v>264</v>
      </c>
      <c r="C32" t="s" s="27">
        <f>$J32&amp;IF($F32="LED"," LED","")&amp;IF($L32="",""," ")&amp;$L32&amp;IF($K32="",""," ")&amp;$K32&amp;IF($M32="",""," ")&amp;$M32&amp;IF($N32="",""," ")&amp;$N32&amp;IF($O32="",""," ")&amp;$O32&amp;IF($R32="",""," ")&amp;$R32&amp;IF($R32="","","mcd")</f>
        <v>265</v>
      </c>
      <c r="D32" t="s" s="28">
        <f>$J32&amp;" "&amp;F32&amp;IF($L32="",""," ")&amp;$L32&amp;IF($K32="",""," ")&amp;$K32&amp;IF($M32="",""," ")&amp;$M32&amp;IF($N32="",""," ")&amp;$N32&amp;IF($O32="",""," ")&amp;$O32&amp;IF($R32="",""," ")&amp;$R32&amp;IF($R32="","","mcd")</f>
        <v>266</v>
      </c>
      <c r="E32" t="s" s="29">
        <f>IF(ISBLANK(AA32),"",HYPERLINK("https://jlcpcb.com/partdetail/"&amp;$AA32,$AA32))</f>
      </c>
      <c r="F32" t="s" s="30">
        <v>191</v>
      </c>
      <c r="G32" t="s" s="31">
        <f>F32&amp;"_"&amp;J32</f>
        <v>264</v>
      </c>
      <c r="H32" t="s" s="32">
        <v>267</v>
      </c>
      <c r="I32" t="s" s="32">
        <v>149</v>
      </c>
      <c r="J32" t="s" s="30">
        <v>268</v>
      </c>
      <c r="K32" t="s" s="30">
        <v>243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t="s" s="30">
        <v>269</v>
      </c>
      <c r="Y32" t="s" s="30">
        <v>245</v>
      </c>
      <c r="Z32" s="30"/>
      <c r="AA32" s="33"/>
      <c r="AB32" s="34"/>
      <c r="AC32" s="33"/>
      <c r="AD32" t="b" s="35">
        <v>0</v>
      </c>
      <c r="AE32" t="b" s="35">
        <v>0</v>
      </c>
      <c r="AF32" t="s" s="36">
        <v>270</v>
      </c>
      <c r="AG32" t="s" s="37">
        <v>271</v>
      </c>
      <c r="AH32" s="38">
        <v>10</v>
      </c>
      <c r="AI32" t="s" s="39">
        <v>51</v>
      </c>
      <c r="AJ32" t="s" s="31">
        <v>52</v>
      </c>
      <c r="AK32" t="s" s="31">
        <v>53</v>
      </c>
      <c r="AL32" s="40">
        <v>100</v>
      </c>
      <c r="AM32" s="41"/>
      <c r="AN32" s="42"/>
      <c r="AO32" s="43">
        <f>AM32*AN32</f>
        <v>0</v>
      </c>
      <c r="AP32" s="33"/>
    </row>
    <row r="33" ht="18.9" customHeight="1">
      <c r="B33" t="s" s="26">
        <f>IF(OR(AI33="ACTIVE",AI33="AVAILABLE",AI33="reserve",AI33="DNP"),G33,"")</f>
        <v>272</v>
      </c>
      <c r="C33" t="s" s="27">
        <f>$J33&amp;IF($F33="LED"," LED","")&amp;IF($L33="",""," ")&amp;$L33&amp;IF($K33="",""," ")&amp;$K33&amp;IF($M33="",""," ")&amp;$M33&amp;IF($N33="",""," ")&amp;$N33&amp;IF($O33="",""," ")&amp;$O33&amp;IF($R33="",""," ")&amp;$R33&amp;IF($R33="","","mcd")</f>
        <v>273</v>
      </c>
      <c r="D33" t="s" s="28">
        <f>$J33&amp;" "&amp;F33&amp;IF($L33="",""," ")&amp;$L33&amp;IF($K33="",""," ")&amp;$K33&amp;IF($M33="",""," ")&amp;$M33&amp;IF($N33="",""," ")&amp;$N33&amp;IF($O33="",""," ")&amp;$O33&amp;IF($R33="",""," ")&amp;$R33&amp;IF($R33="","","mcd")</f>
        <v>274</v>
      </c>
      <c r="E33" t="s" s="29">
        <f>IF(ISBLANK(AA33),"",HYPERLINK("https://jlcpcb.com/partdetail/"&amp;$AA33,$AA33))</f>
      </c>
      <c r="F33" t="s" s="30">
        <v>191</v>
      </c>
      <c r="G33" t="s" s="31">
        <f>F33&amp;"_"&amp;J33</f>
        <v>272</v>
      </c>
      <c r="H33" t="s" s="32">
        <v>275</v>
      </c>
      <c r="I33" t="s" s="32">
        <v>149</v>
      </c>
      <c r="J33" t="s" s="30">
        <v>276</v>
      </c>
      <c r="K33" t="s" s="30">
        <v>243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t="s" s="30">
        <v>269</v>
      </c>
      <c r="Y33" t="s" s="30">
        <v>245</v>
      </c>
      <c r="Z33" s="30"/>
      <c r="AA33" s="33"/>
      <c r="AB33" s="34"/>
      <c r="AC33" s="33"/>
      <c r="AD33" t="b" s="35">
        <v>0</v>
      </c>
      <c r="AE33" t="b" s="35">
        <v>0</v>
      </c>
      <c r="AF33" t="s" s="36">
        <v>277</v>
      </c>
      <c r="AG33" t="s" s="37">
        <v>278</v>
      </c>
      <c r="AH33" s="38">
        <v>10</v>
      </c>
      <c r="AI33" t="s" s="39">
        <v>51</v>
      </c>
      <c r="AJ33" t="s" s="31">
        <v>52</v>
      </c>
      <c r="AK33" t="s" s="31">
        <v>53</v>
      </c>
      <c r="AL33" s="40">
        <v>20</v>
      </c>
      <c r="AM33" s="41"/>
      <c r="AN33" s="42"/>
      <c r="AO33" s="43">
        <f>AM33*AN33</f>
        <v>0</v>
      </c>
      <c r="AP33" s="33"/>
    </row>
    <row r="34" ht="18.9" customHeight="1">
      <c r="B34" t="s" s="26">
        <f>IF(OR(AI34="ACTIVE",AI34="AVAILABLE",AI34="reserve",AI34="DNP"),G34,"")</f>
        <v>279</v>
      </c>
      <c r="C34" t="s" s="27">
        <f>$J34&amp;IF($F34="LED"," LED","")&amp;IF($L34="",""," ")&amp;$L34&amp;IF($K34="",""," ")&amp;$K34&amp;IF($M34="",""," ")&amp;$M34&amp;IF($N34="",""," ")&amp;$N34&amp;IF($O34="",""," ")&amp;$O34&amp;IF($R34="",""," ")&amp;$R34&amp;IF($R34="","","mcd")</f>
        <v>280</v>
      </c>
      <c r="D34" t="s" s="28">
        <f>$J34&amp;" "&amp;F34&amp;IF($L34="",""," ")&amp;$L34&amp;IF($K34="",""," ")&amp;$K34&amp;IF($M34="",""," ")&amp;$M34&amp;IF($N34="",""," ")&amp;$N34&amp;IF($O34="",""," ")&amp;$O34&amp;IF($R34="",""," ")&amp;$R34&amp;IF($R34="","","mcd")</f>
        <v>281</v>
      </c>
      <c r="E34" t="s" s="29">
        <f>IF(ISBLANK(AA34),"",HYPERLINK("https://jlcpcb.com/partdetail/"&amp;$AA34,$AA34))</f>
      </c>
      <c r="F34" t="s" s="30">
        <v>191</v>
      </c>
      <c r="G34" t="s" s="31">
        <f>F34&amp;"_"&amp;J34</f>
        <v>279</v>
      </c>
      <c r="H34" t="s" s="32">
        <v>282</v>
      </c>
      <c r="I34" t="s" s="32">
        <v>149</v>
      </c>
      <c r="J34" t="s" s="30">
        <v>283</v>
      </c>
      <c r="K34" t="s" s="30">
        <v>284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t="s" s="30">
        <v>269</v>
      </c>
      <c r="Y34" t="s" s="30">
        <v>245</v>
      </c>
      <c r="Z34" s="30"/>
      <c r="AA34" s="33"/>
      <c r="AB34" s="34"/>
      <c r="AC34" s="33"/>
      <c r="AD34" t="b" s="35">
        <v>0</v>
      </c>
      <c r="AE34" t="b" s="35">
        <v>0</v>
      </c>
      <c r="AF34" t="s" s="36">
        <v>285</v>
      </c>
      <c r="AG34" t="s" s="37">
        <v>286</v>
      </c>
      <c r="AH34" s="38">
        <v>10</v>
      </c>
      <c r="AI34" t="s" s="39">
        <v>51</v>
      </c>
      <c r="AJ34" t="s" s="31">
        <v>52</v>
      </c>
      <c r="AK34" t="s" s="31">
        <v>53</v>
      </c>
      <c r="AL34" s="40">
        <v>20</v>
      </c>
      <c r="AM34" s="41"/>
      <c r="AN34" s="42"/>
      <c r="AO34" s="43">
        <f>AM34*AN34</f>
        <v>0</v>
      </c>
      <c r="AP34" s="33"/>
    </row>
    <row r="35" ht="18.9" customHeight="1">
      <c r="B35" t="s" s="26">
        <f>IF(OR(AI35="ACTIVE",AI35="AVAILABLE",AI35="reserve",AI35="DNP"),G35,"")</f>
        <v>287</v>
      </c>
      <c r="C35" t="s" s="27">
        <f>$J35&amp;IF($F35="LED"," LED","")&amp;IF($L35="",""," ")&amp;$L35&amp;IF($K35="",""," ")&amp;$K35&amp;IF($M35="",""," ")&amp;$M35&amp;IF($N35="",""," ")&amp;$N35&amp;IF($O35="",""," ")&amp;$O35&amp;IF($R35="",""," ")&amp;$R35&amp;IF($R35="","","mcd")</f>
        <v>288</v>
      </c>
      <c r="D35" t="s" s="28">
        <f>$J35&amp;" "&amp;F35&amp;IF($L35="",""," ")&amp;$L35&amp;IF($K35="",""," ")&amp;$K35&amp;IF($M35="",""," ")&amp;$M35&amp;IF($N35="",""," ")&amp;$N35&amp;IF($O35="",""," ")&amp;$O35&amp;IF($R35="",""," ")&amp;$R35&amp;IF($R35="","","mcd")</f>
        <v>289</v>
      </c>
      <c r="E35" t="s" s="29">
        <f>IF(ISBLANK(AA35),"",HYPERLINK("https://jlcpcb.com/partdetail/"&amp;$AA35,$AA35))</f>
      </c>
      <c r="F35" t="s" s="30">
        <v>191</v>
      </c>
      <c r="G35" t="s" s="31">
        <f>F35&amp;"_"&amp;J35</f>
        <v>287</v>
      </c>
      <c r="H35" t="s" s="32">
        <v>290</v>
      </c>
      <c r="I35" t="s" s="32">
        <v>149</v>
      </c>
      <c r="J35" t="s" s="30">
        <v>291</v>
      </c>
      <c r="K35" t="s" s="30">
        <v>243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t="s" s="30">
        <v>261</v>
      </c>
      <c r="Y35" t="s" s="30">
        <v>245</v>
      </c>
      <c r="Z35" s="30"/>
      <c r="AA35" s="33"/>
      <c r="AB35" s="34"/>
      <c r="AC35" s="33"/>
      <c r="AD35" t="b" s="35">
        <v>0</v>
      </c>
      <c r="AE35" t="b" s="35">
        <v>0</v>
      </c>
      <c r="AF35" t="s" s="36">
        <v>292</v>
      </c>
      <c r="AG35" t="s" s="37">
        <v>293</v>
      </c>
      <c r="AH35" s="38">
        <v>10</v>
      </c>
      <c r="AI35" t="s" s="39">
        <v>51</v>
      </c>
      <c r="AJ35" t="s" s="31">
        <v>52</v>
      </c>
      <c r="AK35" t="s" s="31">
        <v>53</v>
      </c>
      <c r="AL35" s="40">
        <v>20</v>
      </c>
      <c r="AM35" s="41"/>
      <c r="AN35" s="42"/>
      <c r="AO35" s="43">
        <f>AM35*AN35</f>
        <v>0</v>
      </c>
      <c r="AP35" s="33"/>
    </row>
    <row r="36" ht="18.9" customHeight="1">
      <c r="B36" t="s" s="26">
        <f>IF(OR(AI36="ACTIVE",AI36="AVAILABLE",AI36="reserve",AI36="DNP"),G36,"")</f>
        <v>294</v>
      </c>
      <c r="C36" t="s" s="27">
        <f>$J36&amp;IF($F36="LED"," LED","")&amp;IF($L36="",""," ")&amp;$L36&amp;IF($K36="",""," ")&amp;$K36&amp;IF($M36="",""," ")&amp;$M36&amp;IF($N36="",""," ")&amp;$N36&amp;IF($O36="",""," ")&amp;$O36&amp;IF($R36="",""," ")&amp;$R36&amp;IF($R36="","","mcd")</f>
        <v>295</v>
      </c>
      <c r="D36" t="s" s="28">
        <f>$J36&amp;" "&amp;F36&amp;IF($L36="",""," ")&amp;$L36&amp;IF($K36="",""," ")&amp;$K36&amp;IF($M36="",""," ")&amp;$M36&amp;IF($N36="",""," ")&amp;$N36&amp;IF($O36="",""," ")&amp;$O36&amp;IF($R36="",""," ")&amp;$R36&amp;IF($R36="","","mcd")</f>
        <v>296</v>
      </c>
      <c r="E36" t="s" s="29">
        <f>IF(ISBLANK(AA36),"",HYPERLINK("https://jlcpcb.com/partdetail/"&amp;$AA36,$AA36))</f>
      </c>
      <c r="F36" t="s" s="30">
        <v>297</v>
      </c>
      <c r="G36" t="s" s="31">
        <f>F36&amp;"_"&amp;J36</f>
        <v>294</v>
      </c>
      <c r="H36" t="s" s="32">
        <v>298</v>
      </c>
      <c r="I36" t="s" s="32">
        <v>149</v>
      </c>
      <c r="J36" t="s" s="30">
        <v>298</v>
      </c>
      <c r="K36" t="s" s="30">
        <v>299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t="s" s="30">
        <v>299</v>
      </c>
      <c r="W36" s="30"/>
      <c r="X36" t="s" s="30">
        <v>300</v>
      </c>
      <c r="Y36" t="s" s="30">
        <v>301</v>
      </c>
      <c r="Z36" s="30"/>
      <c r="AA36" s="33"/>
      <c r="AB36" t="s" s="31">
        <v>302</v>
      </c>
      <c r="AC36" t="s" s="30">
        <v>298</v>
      </c>
      <c r="AD36" s="33"/>
      <c r="AE36" s="33"/>
      <c r="AF36" t="s" s="36">
        <v>303</v>
      </c>
      <c r="AG36" t="s" s="37">
        <v>303</v>
      </c>
      <c r="AH36" s="38">
        <v>10</v>
      </c>
      <c r="AI36" t="s" s="39">
        <v>34</v>
      </c>
      <c r="AJ36" t="s" s="31">
        <v>52</v>
      </c>
      <c r="AK36" t="s" s="31">
        <v>304</v>
      </c>
      <c r="AL36" s="40">
        <v>8</v>
      </c>
      <c r="AM36" s="41">
        <v>2</v>
      </c>
      <c r="AN36" s="42">
        <v>17</v>
      </c>
      <c r="AO36" s="43">
        <f>AM36*AN36</f>
        <v>34</v>
      </c>
      <c r="AP36" t="s" s="30">
        <v>305</v>
      </c>
    </row>
    <row r="37" ht="18.9" customHeight="1">
      <c r="B37" t="s" s="26">
        <f>IF(OR(AI37="ACTIVE",AI37="AVAILABLE",AI37="reserve",AI37="DNP"),G37,"")</f>
        <v>306</v>
      </c>
      <c r="C37" t="s" s="27">
        <f>$J37&amp;IF($F37="LED"," LED","")&amp;IF($L37="",""," ")&amp;$L37&amp;IF($K37="",""," ")&amp;$K37&amp;IF($M37="",""," ")&amp;$M37&amp;IF($N37="",""," ")&amp;$N37&amp;IF($O37="",""," ")&amp;$O37&amp;IF($R37="",""," ")&amp;$R37&amp;IF($R37="","","mcd")</f>
        <v>307</v>
      </c>
      <c r="D37" t="s" s="28">
        <f>$J37&amp;" "&amp;F37&amp;IF($L37="",""," ")&amp;$L37&amp;IF($K37="",""," ")&amp;$K37&amp;IF($M37="",""," ")&amp;$M37&amp;IF($N37="",""," ")&amp;$N37&amp;IF($O37="",""," ")&amp;$O37&amp;IF($R37="",""," ")&amp;$R37&amp;IF($R37="","","mcd")</f>
        <v>308</v>
      </c>
      <c r="E37" t="s" s="29">
        <f>IF(ISBLANK(AA37),"",HYPERLINK("https://jlcpcb.com/partdetail/"&amp;$AA37,$AA37))</f>
      </c>
      <c r="F37" t="s" s="30">
        <v>297</v>
      </c>
      <c r="G37" t="s" s="31">
        <f>F37&amp;"_"&amp;J37</f>
        <v>306</v>
      </c>
      <c r="H37" t="s" s="32">
        <v>309</v>
      </c>
      <c r="I37" t="s" s="32">
        <v>149</v>
      </c>
      <c r="J37" t="s" s="30">
        <v>310</v>
      </c>
      <c r="K37" t="s" s="30">
        <v>299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t="s" s="30">
        <v>299</v>
      </c>
      <c r="W37" s="30"/>
      <c r="X37" t="s" s="30">
        <v>311</v>
      </c>
      <c r="Y37" t="s" s="30">
        <v>301</v>
      </c>
      <c r="Z37" s="30"/>
      <c r="AA37" s="33"/>
      <c r="AB37" t="s" s="31">
        <v>312</v>
      </c>
      <c r="AC37" t="s" s="30">
        <v>310</v>
      </c>
      <c r="AD37" s="33"/>
      <c r="AE37" s="33"/>
      <c r="AF37" t="s" s="36">
        <v>313</v>
      </c>
      <c r="AG37" t="s" s="37">
        <v>313</v>
      </c>
      <c r="AH37" s="38">
        <v>10</v>
      </c>
      <c r="AI37" t="s" s="39">
        <v>34</v>
      </c>
      <c r="AJ37" t="s" s="31">
        <v>52</v>
      </c>
      <c r="AK37" t="s" s="31">
        <v>53</v>
      </c>
      <c r="AL37" s="40">
        <v>15</v>
      </c>
      <c r="AM37" s="41">
        <v>10</v>
      </c>
      <c r="AN37" s="42">
        <v>5.99</v>
      </c>
      <c r="AO37" s="43">
        <f>AM37*AN37</f>
        <v>59.9</v>
      </c>
      <c r="AP37" t="s" s="30">
        <v>314</v>
      </c>
    </row>
    <row r="38" ht="18.9" customHeight="1">
      <c r="B38" t="s" s="26">
        <f>IF(OR(AI38="ACTIVE",AI38="AVAILABLE",AI38="reserve",AI38="DNP"),G38,"")</f>
        <v>315</v>
      </c>
      <c r="C38" t="s" s="27">
        <f>$J38&amp;IF($F38="LED"," LED","")&amp;IF($L38="",""," ")&amp;$L38&amp;IF($K38="",""," ")&amp;$K38&amp;IF($M38="",""," ")&amp;$M38&amp;IF($N38="",""," ")&amp;$N38&amp;IF($O38="",""," ")&amp;$O38&amp;IF($R38="",""," ")&amp;$R38&amp;IF($R38="","","mcd")</f>
        <v>316</v>
      </c>
      <c r="D38" t="s" s="28">
        <f>$J38&amp;" "&amp;F38&amp;IF($L38="",""," ")&amp;$L38&amp;IF($K38="",""," ")&amp;$K38&amp;IF($M38="",""," ")&amp;$M38&amp;IF($N38="",""," ")&amp;$N38&amp;IF($O38="",""," ")&amp;$O38&amp;IF($R38="",""," ")&amp;$R38&amp;IF($R38="","","mcd")</f>
        <v>317</v>
      </c>
      <c r="E38" t="s" s="29">
        <f>IF(ISBLANK(AA38),"",HYPERLINK("https://jlcpcb.com/partdetail/"&amp;$AA38,$AA38))</f>
        <v>318</v>
      </c>
      <c r="F38" t="s" s="30">
        <v>319</v>
      </c>
      <c r="G38" t="s" s="31">
        <f>F38&amp;"_"&amp;J38&amp;"_"&amp;Z38</f>
        <v>315</v>
      </c>
      <c r="H38" t="s" s="32">
        <v>320</v>
      </c>
      <c r="I38" t="s" s="30">
        <v>8</v>
      </c>
      <c r="J38" t="s" s="30">
        <v>321</v>
      </c>
      <c r="K38" t="s" s="30">
        <v>322</v>
      </c>
      <c r="L38" t="s" s="30">
        <v>323</v>
      </c>
      <c r="M38" t="s" s="30">
        <v>324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t="s" s="30">
        <v>325</v>
      </c>
      <c r="AA38" t="s" s="30">
        <v>326</v>
      </c>
      <c r="AB38" t="s" s="31">
        <v>327</v>
      </c>
      <c r="AC38" t="s" s="30">
        <v>328</v>
      </c>
      <c r="AD38" t="b" s="35">
        <v>0</v>
      </c>
      <c r="AE38" t="b" s="35">
        <v>0</v>
      </c>
      <c r="AF38" t="s" s="36">
        <v>329</v>
      </c>
      <c r="AG38" t="s" s="37">
        <v>330</v>
      </c>
      <c r="AH38" s="49">
        <v>1</v>
      </c>
      <c r="AI38" t="s" s="39">
        <v>34</v>
      </c>
      <c r="AJ38" t="s" s="50">
        <v>331</v>
      </c>
      <c r="AK38" t="s" s="31">
        <v>332</v>
      </c>
      <c r="AL38" s="40">
        <v>3463</v>
      </c>
      <c r="AM38" s="41">
        <v>3463</v>
      </c>
      <c r="AN38" s="42">
        <v>0.0025</v>
      </c>
      <c r="AO38" s="51">
        <f>AM38*AN38</f>
        <v>8.657500000000001</v>
      </c>
      <c r="AP38" t="s" s="30">
        <v>333</v>
      </c>
    </row>
    <row r="39" ht="18.9" customHeight="1">
      <c r="B39" t="s" s="26">
        <f>IF(OR(AI39="ACTIVE",AI39="AVAILABLE",AI39="reserve",AI39="DNP"),G39,"")</f>
        <v>315</v>
      </c>
      <c r="C39" t="s" s="27">
        <f>$J39&amp;IF($F39="LED"," LED","")&amp;IF($L39="",""," ")&amp;$L39&amp;IF($K39="",""," ")&amp;$K39&amp;IF($M39="",""," ")&amp;$M39&amp;IF($N39="",""," ")&amp;$N39&amp;IF($O39="",""," ")&amp;$O39&amp;IF($R39="",""," ")&amp;$R39&amp;IF($R39="","","mcd")</f>
        <v>334</v>
      </c>
      <c r="D39" t="s" s="28">
        <f>$J39&amp;" "&amp;F39&amp;IF($L39="",""," ")&amp;$L39&amp;IF($K39="",""," ")&amp;$K39&amp;IF($M39="",""," ")&amp;$M39&amp;IF($N39="",""," ")&amp;$N39&amp;IF($O39="",""," ")&amp;$O39&amp;IF($R39="",""," ")&amp;$R39&amp;IF($R39="","","mcd")</f>
        <v>335</v>
      </c>
      <c r="E39" t="s" s="29">
        <f>IF(ISBLANK(AA39),"",HYPERLINK("https://jlcpcb.com/partdetail/"&amp;$AA39,$AA39))</f>
        <v>336</v>
      </c>
      <c r="F39" t="s" s="30">
        <v>319</v>
      </c>
      <c r="G39" t="s" s="31">
        <f>F39&amp;"_"&amp;J39&amp;"_"&amp;Z39</f>
        <v>315</v>
      </c>
      <c r="H39" t="s" s="32">
        <v>337</v>
      </c>
      <c r="I39" t="s" s="30">
        <v>8</v>
      </c>
      <c r="J39" t="s" s="30">
        <v>321</v>
      </c>
      <c r="K39" t="s" s="30">
        <v>338</v>
      </c>
      <c r="L39" t="s" s="30">
        <v>323</v>
      </c>
      <c r="M39" t="s" s="30">
        <v>339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t="s" s="30">
        <v>325</v>
      </c>
      <c r="AA39" t="s" s="30">
        <v>340</v>
      </c>
      <c r="AB39" t="s" s="31">
        <v>341</v>
      </c>
      <c r="AC39" t="s" s="30">
        <v>342</v>
      </c>
      <c r="AD39" t="b" s="35">
        <v>0</v>
      </c>
      <c r="AE39" t="b" s="35">
        <v>0</v>
      </c>
      <c r="AF39" t="s" s="36">
        <v>329</v>
      </c>
      <c r="AG39" t="s" s="37">
        <v>330</v>
      </c>
      <c r="AH39" s="49">
        <v>2</v>
      </c>
      <c r="AI39" t="s" s="39">
        <v>343</v>
      </c>
      <c r="AJ39" t="s" s="50">
        <v>331</v>
      </c>
      <c r="AK39" t="s" s="31">
        <v>176</v>
      </c>
      <c r="AL39" s="40">
        <v>4000</v>
      </c>
      <c r="AM39" s="41">
        <v>4000</v>
      </c>
      <c r="AN39" s="42">
        <v>0.0023</v>
      </c>
      <c r="AO39" s="51">
        <f>AM39*AN39</f>
        <v>9.199999999999999</v>
      </c>
      <c r="AP39" t="s" s="30">
        <v>52</v>
      </c>
    </row>
    <row r="40" ht="20.8" customHeight="1">
      <c r="B40" t="s" s="26">
        <f>IF(OR(AI40="ACTIVE",AI40="AVAILABLE",AI40="reserve",AI40="DNP"),G40,"")</f>
        <v>315</v>
      </c>
      <c r="C40" t="s" s="27">
        <f>$J40&amp;IF($F40="LED"," LED","")&amp;IF($L40="",""," ")&amp;$L40&amp;IF($K40="",""," ")&amp;$K40&amp;IF($M40="",""," ")&amp;$M40&amp;IF($N40="",""," ")&amp;$N40&amp;IF($O40="",""," ")&amp;$O40&amp;IF($R40="",""," ")&amp;$R40&amp;IF($R40="","","mcd")</f>
        <v>344</v>
      </c>
      <c r="D40" t="s" s="28">
        <f>$J40&amp;" "&amp;F40&amp;IF($L40="",""," ")&amp;$L40&amp;IF($K40="",""," ")&amp;$K40&amp;IF($M40="",""," ")&amp;$M40&amp;IF($N40="",""," ")&amp;$N40&amp;IF($O40="",""," ")&amp;$O40&amp;IF($R40="",""," ")&amp;$R40&amp;IF($R40="","","mcd")</f>
        <v>345</v>
      </c>
      <c r="E40" t="s" s="29">
        <f>IF(ISBLANK(AA40),"",HYPERLINK("https://jlcpcb.com/partdetail/"&amp;$AA40,$AA40))</f>
        <v>346</v>
      </c>
      <c r="F40" t="s" s="30">
        <v>319</v>
      </c>
      <c r="G40" t="s" s="31">
        <f>F40&amp;"_"&amp;J40&amp;"_"&amp;Z40</f>
        <v>315</v>
      </c>
      <c r="H40" t="s" s="32">
        <v>347</v>
      </c>
      <c r="I40" t="s" s="30">
        <v>8</v>
      </c>
      <c r="J40" t="s" s="30">
        <v>321</v>
      </c>
      <c r="K40" t="s" s="30">
        <v>322</v>
      </c>
      <c r="L40" t="s" s="30">
        <v>323</v>
      </c>
      <c r="M40" t="s" s="30">
        <v>339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t="s" s="30">
        <v>325</v>
      </c>
      <c r="AA40" t="s" s="30">
        <v>348</v>
      </c>
      <c r="AB40" t="s" s="31">
        <v>327</v>
      </c>
      <c r="AC40" t="s" s="30">
        <v>349</v>
      </c>
      <c r="AD40" t="b" s="35">
        <v>0</v>
      </c>
      <c r="AE40" t="b" s="35">
        <v>1</v>
      </c>
      <c r="AF40" t="s" s="36">
        <v>329</v>
      </c>
      <c r="AG40" t="s" s="37">
        <v>330</v>
      </c>
      <c r="AH40" s="49">
        <v>3</v>
      </c>
      <c r="AI40" t="s" s="39">
        <v>343</v>
      </c>
      <c r="AJ40" t="s" s="52">
        <v>35</v>
      </c>
      <c r="AK40" t="s" s="31">
        <v>176</v>
      </c>
      <c r="AL40" s="40">
        <v>3810</v>
      </c>
      <c r="AM40" s="41">
        <v>4000</v>
      </c>
      <c r="AN40" s="42">
        <v>0.0012</v>
      </c>
      <c r="AO40" s="43">
        <f>AM40*AN40</f>
        <v>4.8</v>
      </c>
      <c r="AP40" t="s" s="30">
        <v>350</v>
      </c>
    </row>
    <row r="41" ht="18.9" customHeight="1">
      <c r="B41" t="s" s="26">
        <f>IF(OR(AI41="ACTIVE",AI41="AVAILABLE",AI41="reserve",AI41="DNP"),G41,"")</f>
        <v>351</v>
      </c>
      <c r="C41" t="s" s="27">
        <f>$J41&amp;IF($F41="LED"," LED","")&amp;IF($L41="",""," ")&amp;$L41&amp;IF($K41="",""," ")&amp;$K41&amp;IF($M41="",""," ")&amp;$M41&amp;IF($N41="",""," ")&amp;$N41&amp;IF($O41="",""," ")&amp;$O41&amp;IF($R41="",""," ")&amp;$R41&amp;IF($R41="","","mcd")</f>
        <v>352</v>
      </c>
      <c r="D41" t="s" s="28">
        <f>$J41&amp;" "&amp;F41&amp;IF($L41="",""," ")&amp;$L41&amp;IF($K41="",""," ")&amp;$K41&amp;IF($M41="",""," ")&amp;$M41&amp;IF($N41="",""," ")&amp;$N41&amp;IF($O41="",""," ")&amp;$O41&amp;IF($R41="",""," ")&amp;$R41&amp;IF($R41="","","mcd")</f>
        <v>353</v>
      </c>
      <c r="E41" t="s" s="29">
        <f>IF(ISBLANK(AA41),"",HYPERLINK("https://jlcpcb.com/partdetail/"&amp;$AA41,$AA41))</f>
        <v>354</v>
      </c>
      <c r="F41" t="s" s="30">
        <v>319</v>
      </c>
      <c r="G41" t="s" s="31">
        <f>F41&amp;"_"&amp;J41&amp;"_"&amp;Z41</f>
        <v>351</v>
      </c>
      <c r="H41" t="s" s="32">
        <v>355</v>
      </c>
      <c r="I41" t="s" s="30">
        <v>8</v>
      </c>
      <c r="J41" t="s" s="30">
        <v>356</v>
      </c>
      <c r="K41" t="s" s="30">
        <v>338</v>
      </c>
      <c r="L41" t="s" s="30">
        <v>323</v>
      </c>
      <c r="M41" t="s" s="30">
        <v>324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t="s" s="30">
        <v>325</v>
      </c>
      <c r="AA41" t="s" s="30">
        <v>357</v>
      </c>
      <c r="AB41" t="s" s="31">
        <v>341</v>
      </c>
      <c r="AC41" t="s" s="30">
        <v>358</v>
      </c>
      <c r="AD41" t="b" s="35">
        <v>0</v>
      </c>
      <c r="AE41" t="b" s="35">
        <v>0</v>
      </c>
      <c r="AF41" t="s" s="36">
        <v>329</v>
      </c>
      <c r="AG41" t="s" s="37">
        <v>330</v>
      </c>
      <c r="AH41" s="49">
        <v>1</v>
      </c>
      <c r="AI41" t="s" s="39">
        <v>34</v>
      </c>
      <c r="AJ41" t="s" s="50">
        <v>331</v>
      </c>
      <c r="AK41" t="s" s="31">
        <v>332</v>
      </c>
      <c r="AL41" s="40">
        <v>4000</v>
      </c>
      <c r="AM41" s="41">
        <v>4000</v>
      </c>
      <c r="AN41" s="42">
        <v>0.002</v>
      </c>
      <c r="AO41" s="51">
        <f>AM41*AN41</f>
        <v>8</v>
      </c>
      <c r="AP41" t="s" s="30">
        <v>52</v>
      </c>
    </row>
    <row r="42" ht="17.35" customHeight="1">
      <c r="B42" t="s" s="26">
        <f>IF(OR(AI42="ACTIVE",AI42="AVAILABLE",AI42="reserve",AI42="DNP"),G42,"")</f>
        <v>351</v>
      </c>
      <c r="C42" t="s" s="27">
        <f>$J42&amp;IF($F42="LED"," LED","")&amp;IF($L42="",""," ")&amp;$L42&amp;IF($K42="",""," ")&amp;$K42&amp;IF($M42="",""," ")&amp;$M42&amp;IF($N42="",""," ")&amp;$N42&amp;IF($O42="",""," ")&amp;$O42&amp;IF($R42="",""," ")&amp;$R42&amp;IF($R42="","","mcd")</f>
        <v>359</v>
      </c>
      <c r="D42" t="s" s="28">
        <f>$J42&amp;" "&amp;F42&amp;IF($L42="",""," ")&amp;$L42&amp;IF($K42="",""," ")&amp;$K42&amp;IF($M42="",""," ")&amp;$M42&amp;IF($N42="",""," ")&amp;$N42&amp;IF($O42="",""," ")&amp;$O42&amp;IF($R42="",""," ")&amp;$R42&amp;IF($R42="","","mcd")</f>
        <v>360</v>
      </c>
      <c r="E42" t="s" s="29">
        <f>IF(ISBLANK(AA42),"",HYPERLINK("https://jlcpcb.com/partdetail/"&amp;$AA42,$AA42))</f>
        <v>361</v>
      </c>
      <c r="F42" t="s" s="30">
        <v>319</v>
      </c>
      <c r="G42" t="s" s="31">
        <f>F42&amp;"_"&amp;J42&amp;"_"&amp;Z42</f>
        <v>351</v>
      </c>
      <c r="H42" t="s" s="32">
        <v>362</v>
      </c>
      <c r="I42" t="s" s="30">
        <v>8</v>
      </c>
      <c r="J42" t="s" s="30">
        <v>356</v>
      </c>
      <c r="K42" t="s" s="30">
        <v>322</v>
      </c>
      <c r="L42" t="s" s="30">
        <v>323</v>
      </c>
      <c r="M42" t="s" s="30">
        <v>339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t="s" s="30">
        <v>325</v>
      </c>
      <c r="AA42" t="s" s="30">
        <v>363</v>
      </c>
      <c r="AB42" t="s" s="31">
        <v>327</v>
      </c>
      <c r="AC42" t="s" s="30">
        <v>364</v>
      </c>
      <c r="AD42" t="b" s="35">
        <v>0</v>
      </c>
      <c r="AE42" t="b" s="35">
        <v>1</v>
      </c>
      <c r="AF42" t="s" s="36">
        <v>329</v>
      </c>
      <c r="AG42" t="s" s="37">
        <v>330</v>
      </c>
      <c r="AH42" s="49">
        <v>2</v>
      </c>
      <c r="AI42" t="s" s="39">
        <v>343</v>
      </c>
      <c r="AJ42" t="s" s="52">
        <v>35</v>
      </c>
      <c r="AK42" t="s" s="31">
        <v>332</v>
      </c>
      <c r="AL42" s="53">
        <v>3630</v>
      </c>
      <c r="AM42" s="41">
        <v>4000</v>
      </c>
      <c r="AN42" s="42">
        <v>0.001322</v>
      </c>
      <c r="AO42" s="43">
        <f>AM42*AN42</f>
        <v>5.288</v>
      </c>
      <c r="AP42" t="s" s="30">
        <v>365</v>
      </c>
    </row>
    <row r="43" ht="18.9" customHeight="1">
      <c r="B43" t="s" s="26">
        <f>IF(OR(AI43="ACTIVE",AI43="AVAILABLE",AI43="reserve",AI43="DNP"),G43,"")</f>
        <v>366</v>
      </c>
      <c r="C43" t="s" s="27">
        <f>$J43&amp;IF($F43="LED"," LED","")&amp;IF($L43="",""," ")&amp;$L43&amp;IF($K43="",""," ")&amp;$K43&amp;IF($M43="",""," ")&amp;$M43&amp;IF($N43="",""," ")&amp;$N43&amp;IF($O43="",""," ")&amp;$O43&amp;IF($R43="",""," ")&amp;$R43&amp;IF($R43="","","mcd")</f>
        <v>367</v>
      </c>
      <c r="D43" t="s" s="28">
        <f>$J43&amp;" "&amp;F43&amp;IF($L43="",""," ")&amp;$L43&amp;IF($K43="",""," ")&amp;$K43&amp;IF($M43="",""," ")&amp;$M43&amp;IF($N43="",""," ")&amp;$N43&amp;IF($O43="",""," ")&amp;$O43&amp;IF($R43="",""," ")&amp;$R43&amp;IF($R43="","","mcd")</f>
        <v>368</v>
      </c>
      <c r="E43" t="s" s="29">
        <f>IF(ISBLANK(AA43),"",HYPERLINK("https://jlcpcb.com/partdetail/"&amp;$AA43,$AA43))</f>
        <v>369</v>
      </c>
      <c r="F43" t="s" s="30">
        <v>319</v>
      </c>
      <c r="G43" t="s" s="31">
        <f>F43&amp;"_"&amp;J43&amp;"_"&amp;Z43</f>
        <v>366</v>
      </c>
      <c r="H43" t="s" s="32">
        <v>370</v>
      </c>
      <c r="I43" t="s" s="30">
        <v>8</v>
      </c>
      <c r="J43" t="s" s="30">
        <v>371</v>
      </c>
      <c r="K43" t="s" s="30">
        <v>338</v>
      </c>
      <c r="L43" t="s" s="30">
        <v>323</v>
      </c>
      <c r="M43" t="s" s="30">
        <v>324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t="s" s="30">
        <v>325</v>
      </c>
      <c r="AA43" t="s" s="30">
        <v>372</v>
      </c>
      <c r="AB43" t="s" s="31">
        <v>373</v>
      </c>
      <c r="AC43" t="s" s="30">
        <v>374</v>
      </c>
      <c r="AD43" t="b" s="35">
        <v>0</v>
      </c>
      <c r="AE43" t="b" s="35">
        <v>0</v>
      </c>
      <c r="AF43" t="s" s="36">
        <v>329</v>
      </c>
      <c r="AG43" t="s" s="37">
        <v>330</v>
      </c>
      <c r="AH43" s="49">
        <v>1</v>
      </c>
      <c r="AI43" t="s" s="39">
        <v>34</v>
      </c>
      <c r="AJ43" t="s" s="50">
        <v>331</v>
      </c>
      <c r="AK43" t="s" s="31">
        <v>332</v>
      </c>
      <c r="AL43" s="40">
        <v>4000</v>
      </c>
      <c r="AM43" s="41">
        <v>4000</v>
      </c>
      <c r="AN43" s="42">
        <v>0.0074</v>
      </c>
      <c r="AO43" s="51">
        <f>AM43*AN43</f>
        <v>29.6</v>
      </c>
      <c r="AP43" t="s" s="30">
        <v>375</v>
      </c>
    </row>
    <row r="44" ht="19.5" customHeight="1">
      <c r="B44" t="s" s="26">
        <f>IF(OR(AI44="ACTIVE",AI44="AVAILABLE",AI44="reserve",AI44="DNP"),G44,"")</f>
        <v>366</v>
      </c>
      <c r="C44" t="s" s="27">
        <f>$J44&amp;IF($F44="LED"," LED","")&amp;IF($L44="",""," ")&amp;$L44&amp;IF($K44="",""," ")&amp;$K44&amp;IF($M44="",""," ")&amp;$M44&amp;IF($N44="",""," ")&amp;$N44&amp;IF($O44="",""," ")&amp;$O44&amp;IF($R44="",""," ")&amp;$R44&amp;IF($R44="","","mcd")</f>
        <v>376</v>
      </c>
      <c r="D44" t="s" s="28">
        <f>$J44&amp;" "&amp;F44&amp;IF($L44="",""," ")&amp;$L44&amp;IF($K44="",""," ")&amp;$K44&amp;IF($M44="",""," ")&amp;$M44&amp;IF($N44="",""," ")&amp;$N44&amp;IF($O44="",""," ")&amp;$O44&amp;IF($R44="",""," ")&amp;$R44&amp;IF($R44="","","mcd")</f>
        <v>377</v>
      </c>
      <c r="E44" t="s" s="29">
        <f>IF(ISBLANK(AA44),"",HYPERLINK("https://jlcpcb.com/partdetail/"&amp;$AA44,$AA44))</f>
        <v>378</v>
      </c>
      <c r="F44" t="s" s="30">
        <v>319</v>
      </c>
      <c r="G44" t="s" s="31">
        <f>F44&amp;"_"&amp;J44&amp;"_"&amp;Z44</f>
        <v>366</v>
      </c>
      <c r="H44" t="s" s="32">
        <v>379</v>
      </c>
      <c r="I44" t="s" s="30">
        <v>8</v>
      </c>
      <c r="J44" t="s" s="30">
        <v>371</v>
      </c>
      <c r="K44" t="s" s="30">
        <v>338</v>
      </c>
      <c r="L44" t="s" s="30">
        <v>323</v>
      </c>
      <c r="M44" t="s" s="30">
        <v>339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t="s" s="30">
        <v>325</v>
      </c>
      <c r="AA44" t="s" s="30">
        <v>380</v>
      </c>
      <c r="AB44" t="s" s="31">
        <v>381</v>
      </c>
      <c r="AC44" t="s" s="30">
        <v>382</v>
      </c>
      <c r="AD44" t="b" s="35">
        <v>0</v>
      </c>
      <c r="AE44" t="b" s="35">
        <v>1</v>
      </c>
      <c r="AF44" t="s" s="36">
        <v>329</v>
      </c>
      <c r="AG44" t="s" s="37">
        <v>330</v>
      </c>
      <c r="AH44" s="49">
        <v>2</v>
      </c>
      <c r="AI44" t="s" s="39">
        <v>343</v>
      </c>
      <c r="AJ44" t="s" s="52">
        <v>35</v>
      </c>
      <c r="AK44" t="s" s="31">
        <v>332</v>
      </c>
      <c r="AL44" s="53">
        <v>3810</v>
      </c>
      <c r="AM44" s="41">
        <v>4000</v>
      </c>
      <c r="AN44" s="42">
        <v>0.003</v>
      </c>
      <c r="AO44" s="43">
        <f>AM44*AN44</f>
        <v>12</v>
      </c>
      <c r="AP44" t="s" s="30">
        <v>383</v>
      </c>
    </row>
    <row r="45" ht="19.5" customHeight="1">
      <c r="B45" t="s" s="26">
        <f>IF(OR(AI45="ACTIVE",AI45="AVAILABLE",AI45="reserve",AI45="DNP"),G45,"")</f>
        <v>384</v>
      </c>
      <c r="C45" t="s" s="27">
        <f>$J45&amp;IF($F45="LED"," LED","")&amp;IF($L45="",""," ")&amp;$L45&amp;IF($K45="",""," ")&amp;$K45&amp;IF($M45="",""," ")&amp;$M45&amp;IF($N45="",""," ")&amp;$N45&amp;IF($O45="",""," ")&amp;$O45&amp;IF($R45="",""," ")&amp;$R45&amp;IF($R45="","","mcd")</f>
        <v>385</v>
      </c>
      <c r="D45" t="s" s="28">
        <f>$J45&amp;" "&amp;F45&amp;IF($L45="",""," ")&amp;$L45&amp;IF($K45="",""," ")&amp;$K45&amp;IF($M45="",""," ")&amp;$M45&amp;IF($N45="",""," ")&amp;$N45&amp;IF($O45="",""," ")&amp;$O45&amp;IF($R45="",""," ")&amp;$R45&amp;IF($R45="","","mcd")</f>
        <v>386</v>
      </c>
      <c r="E45" t="s" s="29">
        <f>IF(ISBLANK(AA45),"",HYPERLINK("https://jlcpcb.com/partdetail/"&amp;$AA45,$AA45))</f>
        <v>387</v>
      </c>
      <c r="F45" t="s" s="30">
        <v>319</v>
      </c>
      <c r="G45" t="s" s="31">
        <f>F45&amp;"_"&amp;J45&amp;"_"&amp;Z45</f>
        <v>384</v>
      </c>
      <c r="H45" t="s" s="32">
        <v>388</v>
      </c>
      <c r="I45" t="s" s="30">
        <v>8</v>
      </c>
      <c r="J45" t="s" s="30">
        <v>389</v>
      </c>
      <c r="K45" t="s" s="30">
        <v>338</v>
      </c>
      <c r="L45" t="s" s="30">
        <v>323</v>
      </c>
      <c r="M45" t="s" s="30">
        <v>339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t="s" s="30">
        <v>390</v>
      </c>
      <c r="AA45" t="s" s="30">
        <v>391</v>
      </c>
      <c r="AB45" t="s" s="31">
        <v>381</v>
      </c>
      <c r="AC45" t="s" s="30">
        <v>392</v>
      </c>
      <c r="AD45" t="b" s="35">
        <v>0</v>
      </c>
      <c r="AE45" t="b" s="35">
        <v>1</v>
      </c>
      <c r="AF45" t="s" s="36">
        <v>329</v>
      </c>
      <c r="AG45" t="s" s="37">
        <v>393</v>
      </c>
      <c r="AH45" s="49">
        <v>1</v>
      </c>
      <c r="AI45" t="s" s="39">
        <v>34</v>
      </c>
      <c r="AJ45" t="s" s="52">
        <v>35</v>
      </c>
      <c r="AK45" t="s" s="31">
        <v>176</v>
      </c>
      <c r="AL45" s="53">
        <v>2000</v>
      </c>
      <c r="AM45" s="41">
        <v>2000</v>
      </c>
      <c r="AN45" s="42">
        <v>0.019</v>
      </c>
      <c r="AO45" s="43">
        <f>AM45*AN45</f>
        <v>38</v>
      </c>
      <c r="AP45" t="s" s="30">
        <v>394</v>
      </c>
    </row>
    <row r="46" ht="19.5" customHeight="1">
      <c r="B46" t="s" s="26">
        <f>IF(OR(AI46="ACTIVE",AI46="AVAILABLE",AI46="reserve",AI46="DNP"),G46,"")</f>
        <v>395</v>
      </c>
      <c r="C46" t="s" s="27">
        <f>$J46&amp;IF($F46="LED"," LED","")&amp;IF($L46="",""," ")&amp;$L46&amp;IF($K46="",""," ")&amp;$K46&amp;IF($M46="",""," ")&amp;$M46&amp;IF($N46="",""," ")&amp;$N46&amp;IF($O46="",""," ")&amp;$O46&amp;IF($R46="",""," ")&amp;$R46&amp;IF($R46="","","mcd")</f>
        <v>396</v>
      </c>
      <c r="D46" t="s" s="28">
        <f>$J46&amp;" "&amp;F46&amp;IF($L46="",""," ")&amp;$L46&amp;IF($K46="",""," ")&amp;$K46&amp;IF($M46="",""," ")&amp;$M46&amp;IF($N46="",""," ")&amp;$N46&amp;IF($O46="",""," ")&amp;$O46&amp;IF($R46="",""," ")&amp;$R46&amp;IF($R46="","","mcd")</f>
        <v>397</v>
      </c>
      <c r="E46" t="s" s="29">
        <f>IF(ISBLANK(AA46),"",HYPERLINK("https://jlcpcb.com/partdetail/"&amp;$AA46,$AA46))</f>
        <v>398</v>
      </c>
      <c r="F46" t="s" s="30">
        <v>319</v>
      </c>
      <c r="G46" t="s" s="31">
        <f>F46&amp;"_"&amp;J46&amp;"_"&amp;Z46</f>
        <v>395</v>
      </c>
      <c r="H46" t="s" s="32">
        <v>399</v>
      </c>
      <c r="I46" t="s" s="30">
        <v>8</v>
      </c>
      <c r="J46" t="s" s="30">
        <v>400</v>
      </c>
      <c r="K46" t="s" s="30">
        <v>401</v>
      </c>
      <c r="L46" t="s" s="30">
        <v>402</v>
      </c>
      <c r="M46" t="s" s="30">
        <v>403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t="s" s="30">
        <v>404</v>
      </c>
      <c r="AA46" t="s" s="30">
        <v>405</v>
      </c>
      <c r="AB46" t="s" s="31">
        <v>406</v>
      </c>
      <c r="AC46" t="s" s="30">
        <v>407</v>
      </c>
      <c r="AD46" t="b" s="35">
        <v>0</v>
      </c>
      <c r="AE46" t="b" s="35">
        <v>1</v>
      </c>
      <c r="AF46" t="s" s="36">
        <v>408</v>
      </c>
      <c r="AG46" t="s" s="37">
        <v>409</v>
      </c>
      <c r="AH46" s="49">
        <v>1</v>
      </c>
      <c r="AI46" t="s" s="39">
        <v>34</v>
      </c>
      <c r="AJ46" t="s" s="52">
        <v>35</v>
      </c>
      <c r="AK46" t="s" s="31">
        <v>176</v>
      </c>
      <c r="AL46" s="53">
        <v>500</v>
      </c>
      <c r="AM46" s="41">
        <v>500</v>
      </c>
      <c r="AN46" s="42">
        <v>0.1546</v>
      </c>
      <c r="AO46" s="43">
        <f>AM46*AN46</f>
        <v>77.3</v>
      </c>
      <c r="AP46" t="s" s="30">
        <v>410</v>
      </c>
    </row>
    <row r="47" ht="17.9" customHeight="1">
      <c r="B47" t="s" s="26">
        <f>IF(OR(AI47="ACTIVE",AI47="AVAILABLE",AI47="reserve",AI47="DNP"),G47,"")</f>
        <v>411</v>
      </c>
      <c r="C47" t="s" s="27">
        <f>$J47&amp;IF($F47="LED"," LED","")&amp;IF($L47="",""," ")&amp;$L47&amp;IF($K47="",""," ")&amp;$K47&amp;IF($M47="",""," ")&amp;$M47&amp;IF($N47="",""," ")&amp;$N47&amp;IF($O47="",""," ")&amp;$O47&amp;IF($R47="",""," ")&amp;$R47&amp;IF($R47="","","mcd")</f>
        <v>412</v>
      </c>
      <c r="D47" t="s" s="28">
        <f>$J47&amp;" "&amp;F47&amp;IF($L47="",""," ")&amp;$L47&amp;IF($K47="",""," ")&amp;$K47&amp;IF($M47="",""," ")&amp;$M47&amp;IF($N47="",""," ")&amp;$N47&amp;IF($O47="",""," ")&amp;$O47&amp;IF($R47="",""," ")&amp;$R47&amp;IF($R47="","","mcd")</f>
        <v>413</v>
      </c>
      <c r="E47" t="s" s="29">
        <f>IF(ISBLANK(AA47),"",HYPERLINK("https://jlcpcb.com/partdetail/"&amp;$AA47,$AA47))</f>
        <v>414</v>
      </c>
      <c r="F47" t="s" s="30">
        <v>415</v>
      </c>
      <c r="G47" t="s" s="31">
        <f>F47&amp;"_"&amp;J47&amp;"_"&amp;Z47</f>
        <v>411</v>
      </c>
      <c r="H47" t="s" s="54">
        <v>416</v>
      </c>
      <c r="I47" t="s" s="30">
        <v>8</v>
      </c>
      <c r="J47" t="s" s="30">
        <v>417</v>
      </c>
      <c r="K47" t="s" s="30">
        <v>418</v>
      </c>
      <c r="L47" s="30"/>
      <c r="M47" t="s" s="30">
        <v>419</v>
      </c>
      <c r="N47" t="s" s="30">
        <v>420</v>
      </c>
      <c r="O47" t="s" s="30">
        <v>421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t="s" s="55">
        <v>422</v>
      </c>
      <c r="AA47" t="s" s="55">
        <v>423</v>
      </c>
      <c r="AB47" t="s" s="56">
        <v>424</v>
      </c>
      <c r="AC47" t="s" s="55">
        <v>425</v>
      </c>
      <c r="AD47" t="b" s="35">
        <v>0</v>
      </c>
      <c r="AE47" t="b" s="35">
        <v>1</v>
      </c>
      <c r="AF47" t="s" s="31">
        <v>426</v>
      </c>
      <c r="AG47" t="s" s="47">
        <v>427</v>
      </c>
      <c r="AH47" s="49">
        <v>5</v>
      </c>
      <c r="AI47" t="s" s="39">
        <v>160</v>
      </c>
      <c r="AJ47" t="s" s="31">
        <v>428</v>
      </c>
      <c r="AK47" t="s" s="31">
        <v>176</v>
      </c>
      <c r="AL47" s="53">
        <v>0</v>
      </c>
      <c r="AM47" s="41">
        <v>3000</v>
      </c>
      <c r="AN47" s="42">
        <v>0.008200000000000001</v>
      </c>
      <c r="AO47" s="43">
        <f>AM47*AN47</f>
        <v>24.6</v>
      </c>
      <c r="AP47" t="s" s="30">
        <v>429</v>
      </c>
    </row>
    <row r="48" ht="17.9" customHeight="1">
      <c r="B48" t="s" s="26">
        <f>IF(OR(AI48="ACTIVE",AI48="AVAILABLE",AI48="reserve",AI48="DNP"),G48,"")</f>
        <v>430</v>
      </c>
      <c r="C48" t="s" s="27">
        <f>$J48&amp;IF($F48="LED"," LED","")&amp;IF($L48="",""," ")&amp;$L48&amp;IF($K48="",""," ")&amp;$K48&amp;IF($M48="",""," ")&amp;$M48&amp;IF($N48="",""," ")&amp;$N48&amp;IF($O48="",""," ")&amp;$O48&amp;IF($R48="",""," ")&amp;$R48&amp;IF($R48="","","mcd")</f>
        <v>431</v>
      </c>
      <c r="D48" t="s" s="28">
        <f>$J48&amp;" "&amp;F48&amp;IF($L48="",""," ")&amp;$L48&amp;IF($K48="",""," ")&amp;$K48&amp;IF($M48="",""," ")&amp;$M48&amp;IF($N48="",""," ")&amp;$N48&amp;IF($O48="",""," ")&amp;$O48&amp;IF($R48="",""," ")&amp;$R48&amp;IF($R48="","","mcd")</f>
        <v>432</v>
      </c>
      <c r="E48" t="s" s="29">
        <f>IF(ISBLANK(AA48),"",HYPERLINK("https://jlcpcb.com/partdetail/"&amp;$AA48,$AA48))</f>
        <v>433</v>
      </c>
      <c r="F48" t="s" s="30">
        <v>415</v>
      </c>
      <c r="G48" t="s" s="31">
        <f>F48&amp;"_"&amp;J48&amp;"_"&amp;Z48</f>
        <v>430</v>
      </c>
      <c r="H48" t="s" s="57">
        <v>434</v>
      </c>
      <c r="I48" t="s" s="30">
        <v>8</v>
      </c>
      <c r="J48" t="s" s="30">
        <v>435</v>
      </c>
      <c r="K48" t="s" s="30">
        <v>436</v>
      </c>
      <c r="L48" s="30"/>
      <c r="M48" t="s" s="30">
        <v>437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t="s" s="30">
        <v>438</v>
      </c>
      <c r="AA48" t="s" s="55">
        <v>439</v>
      </c>
      <c r="AB48" t="s" s="31">
        <v>440</v>
      </c>
      <c r="AC48" t="s" s="30">
        <v>435</v>
      </c>
      <c r="AD48" t="b" s="35">
        <v>0</v>
      </c>
      <c r="AE48" t="b" s="35">
        <v>1</v>
      </c>
      <c r="AF48" t="s" s="58">
        <v>441</v>
      </c>
      <c r="AG48" t="s" s="59">
        <v>442</v>
      </c>
      <c r="AH48" s="49">
        <v>5</v>
      </c>
      <c r="AI48" t="s" s="39">
        <v>160</v>
      </c>
      <c r="AJ48" t="s" s="31">
        <v>428</v>
      </c>
      <c r="AK48" t="s" s="31">
        <v>176</v>
      </c>
      <c r="AL48" s="40">
        <v>0</v>
      </c>
      <c r="AM48" s="41">
        <v>3000</v>
      </c>
      <c r="AN48" s="42">
        <v>0.005</v>
      </c>
      <c r="AO48" s="43">
        <f>AM48*AN48</f>
        <v>15</v>
      </c>
      <c r="AP48" t="s" s="30">
        <v>443</v>
      </c>
    </row>
    <row r="49" ht="17.9" customHeight="1">
      <c r="B49" t="s" s="26">
        <f>IF(OR(AI49="ACTIVE",AI49="AVAILABLE",AI49="reserve",AI49="DNP"),G49,"")</f>
        <v>444</v>
      </c>
      <c r="C49" t="s" s="27">
        <f>$J49&amp;IF($F49="LED"," LED","")&amp;IF($L49="",""," ")&amp;$L49&amp;IF($K49="",""," ")&amp;$K49&amp;IF($M49="",""," ")&amp;$M49&amp;IF($N49="",""," ")&amp;$N49&amp;IF($O49="",""," ")&amp;$O49&amp;IF($R49="",""," ")&amp;$R49&amp;IF($R49="","","mcd")</f>
        <v>445</v>
      </c>
      <c r="D49" t="s" s="28">
        <f>$J49&amp;" "&amp;F49&amp;IF($L49="",""," ")&amp;$L49&amp;IF($K49="",""," ")&amp;$K49&amp;IF($M49="",""," ")&amp;$M49&amp;IF($N49="",""," ")&amp;$N49&amp;IF($O49="",""," ")&amp;$O49&amp;IF($R49="",""," ")&amp;$R49&amp;IF($R49="","","mcd")</f>
        <v>446</v>
      </c>
      <c r="E49" t="s" s="29">
        <f>IF(ISBLANK(AA49),"",HYPERLINK("https://jlcpcb.com/partdetail/"&amp;$AA49,$AA49))</f>
        <v>447</v>
      </c>
      <c r="F49" t="s" s="30">
        <v>415</v>
      </c>
      <c r="G49" t="s" s="31">
        <f>F49&amp;"_"&amp;J49&amp;"_"&amp;Z49</f>
        <v>444</v>
      </c>
      <c r="H49" t="s" s="57">
        <v>448</v>
      </c>
      <c r="I49" t="s" s="30">
        <v>8</v>
      </c>
      <c r="J49" t="s" s="30">
        <v>449</v>
      </c>
      <c r="K49" t="s" s="30">
        <v>450</v>
      </c>
      <c r="L49" s="30"/>
      <c r="M49" t="s" s="30">
        <v>437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t="s" s="30">
        <v>438</v>
      </c>
      <c r="AA49" t="s" s="55">
        <v>451</v>
      </c>
      <c r="AB49" t="s" s="31">
        <v>452</v>
      </c>
      <c r="AC49" t="s" s="30">
        <v>449</v>
      </c>
      <c r="AD49" t="b" s="35">
        <v>0</v>
      </c>
      <c r="AE49" t="b" s="35">
        <v>1</v>
      </c>
      <c r="AF49" t="s" s="58">
        <v>453</v>
      </c>
      <c r="AG49" t="s" s="59">
        <v>442</v>
      </c>
      <c r="AH49" s="49">
        <v>5</v>
      </c>
      <c r="AI49" t="s" s="39">
        <v>160</v>
      </c>
      <c r="AJ49" t="s" s="31">
        <v>428</v>
      </c>
      <c r="AK49" t="s" s="31">
        <v>176</v>
      </c>
      <c r="AL49" s="40">
        <v>0</v>
      </c>
      <c r="AM49" s="41">
        <v>3000</v>
      </c>
      <c r="AN49" s="42">
        <v>0.0063</v>
      </c>
      <c r="AO49" s="43">
        <f>AM49*AN49</f>
        <v>18.9</v>
      </c>
      <c r="AP49" t="s" s="30">
        <v>454</v>
      </c>
    </row>
    <row r="50" ht="17.9" customHeight="1">
      <c r="B50" t="s" s="26">
        <f>IF(OR(AI50="ACTIVE",AI50="AVAILABLE",AI50="reserve",AI50="DNP"),G50,"")</f>
        <v>455</v>
      </c>
      <c r="C50" t="s" s="27">
        <f>$J50&amp;IF($F50="LED"," LED","")&amp;IF($L50="",""," ")&amp;$L50&amp;IF($K50="",""," ")&amp;$K50&amp;IF($M50="",""," ")&amp;$M50&amp;IF($N50="",""," ")&amp;$N50&amp;IF($O50="",""," ")&amp;$O50&amp;IF($R50="",""," ")&amp;$R50&amp;IF($R50="","","mcd")</f>
        <v>456</v>
      </c>
      <c r="D50" t="s" s="28">
        <f>$J50&amp;" "&amp;F50&amp;IF($L50="",""," ")&amp;$L50&amp;IF($K50="",""," ")&amp;$K50&amp;IF($M50="",""," ")&amp;$M50&amp;IF($N50="",""," ")&amp;$N50&amp;IF($O50="",""," ")&amp;$O50&amp;IF($R50="",""," ")&amp;$R50&amp;IF($R50="","","mcd")</f>
        <v>457</v>
      </c>
      <c r="E50" t="s" s="29">
        <f>IF(ISBLANK(AA50),"",HYPERLINK("https://jlcpcb.com/partdetail/"&amp;$AA50,$AA50))</f>
        <v>458</v>
      </c>
      <c r="F50" t="s" s="30">
        <v>415</v>
      </c>
      <c r="G50" t="s" s="31">
        <f>F50&amp;"_"&amp;J50&amp;"_"&amp;Z50</f>
        <v>455</v>
      </c>
      <c r="H50" t="s" s="57">
        <v>459</v>
      </c>
      <c r="I50" t="s" s="30">
        <v>8</v>
      </c>
      <c r="J50" t="s" s="30">
        <v>460</v>
      </c>
      <c r="K50" t="s" s="30">
        <v>461</v>
      </c>
      <c r="L50" s="30"/>
      <c r="M50" t="s" s="30">
        <v>437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t="s" s="30">
        <v>438</v>
      </c>
      <c r="AA50" t="s" s="55">
        <v>462</v>
      </c>
      <c r="AB50" t="s" s="31">
        <v>452</v>
      </c>
      <c r="AC50" t="s" s="30">
        <v>460</v>
      </c>
      <c r="AD50" t="b" s="35">
        <v>0</v>
      </c>
      <c r="AE50" t="b" s="35">
        <v>1</v>
      </c>
      <c r="AF50" t="s" s="58">
        <v>463</v>
      </c>
      <c r="AG50" t="s" s="59">
        <v>442</v>
      </c>
      <c r="AH50" s="49">
        <v>5</v>
      </c>
      <c r="AI50" t="s" s="39">
        <v>160</v>
      </c>
      <c r="AJ50" t="s" s="31">
        <v>428</v>
      </c>
      <c r="AK50" t="s" s="31">
        <v>176</v>
      </c>
      <c r="AL50" s="40">
        <v>0</v>
      </c>
      <c r="AM50" s="41">
        <v>3000</v>
      </c>
      <c r="AN50" s="42">
        <v>0.0051</v>
      </c>
      <c r="AO50" s="43">
        <f>AM50*AN50</f>
        <v>15.3</v>
      </c>
      <c r="AP50" t="s" s="30">
        <v>464</v>
      </c>
    </row>
    <row r="51" ht="17.9" customHeight="1">
      <c r="B51" t="s" s="26">
        <f>IF(OR(AI51="ACTIVE",AI51="AVAILABLE",AI51="reserve",AI51="DNP"),G51,"")</f>
        <v>465</v>
      </c>
      <c r="C51" t="s" s="27">
        <f>$J51&amp;IF($F51="LED"," LED","")&amp;IF($L51="",""," ")&amp;$L51&amp;IF($K51="",""," ")&amp;$K51&amp;IF($M51="",""," ")&amp;$M51&amp;IF($N51="",""," ")&amp;$N51&amp;IF($O51="",""," ")&amp;$O51&amp;IF($R51="",""," ")&amp;$R51&amp;IF($R51="","","mcd")</f>
        <v>466</v>
      </c>
      <c r="D51" t="s" s="28">
        <f>$J51&amp;" "&amp;F51&amp;IF($L51="",""," ")&amp;$L51&amp;IF($K51="",""," ")&amp;$K51&amp;IF($M51="",""," ")&amp;$M51&amp;IF($N51="",""," ")&amp;$N51&amp;IF($O51="",""," ")&amp;$O51&amp;IF($R51="",""," ")&amp;$R51&amp;IF($R51="","","mcd")</f>
        <v>467</v>
      </c>
      <c r="E51" t="s" s="29">
        <f>IF(ISBLANK(AA51),"",HYPERLINK("https://jlcpcb.com/partdetail/"&amp;$AA51,$AA51))</f>
        <v>468</v>
      </c>
      <c r="F51" t="s" s="30">
        <v>415</v>
      </c>
      <c r="G51" t="s" s="31">
        <f>F51&amp;"_"&amp;J51&amp;"_"&amp;Z51</f>
        <v>465</v>
      </c>
      <c r="H51" t="s" s="32">
        <v>469</v>
      </c>
      <c r="I51" t="s" s="30">
        <v>8</v>
      </c>
      <c r="J51" t="s" s="30">
        <v>470</v>
      </c>
      <c r="K51" t="s" s="30">
        <v>471</v>
      </c>
      <c r="L51" s="30"/>
      <c r="M51" t="s" s="30">
        <v>437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t="s" s="30">
        <v>438</v>
      </c>
      <c r="AA51" t="s" s="30">
        <v>472</v>
      </c>
      <c r="AB51" t="s" s="31">
        <v>473</v>
      </c>
      <c r="AC51" t="s" s="30">
        <v>470</v>
      </c>
      <c r="AD51" t="b" s="35">
        <v>0</v>
      </c>
      <c r="AE51" t="b" s="35">
        <v>1</v>
      </c>
      <c r="AF51" t="s" s="31">
        <v>474</v>
      </c>
      <c r="AG51" t="s" s="59">
        <v>442</v>
      </c>
      <c r="AH51" s="49">
        <v>1</v>
      </c>
      <c r="AI51" t="s" s="39">
        <v>34</v>
      </c>
      <c r="AJ51" t="s" s="52">
        <v>35</v>
      </c>
      <c r="AK51" t="s" s="31">
        <v>332</v>
      </c>
      <c r="AL51" s="40">
        <v>1915</v>
      </c>
      <c r="AM51" s="41">
        <v>3000</v>
      </c>
      <c r="AN51" s="42">
        <v>0.0074</v>
      </c>
      <c r="AO51" s="43">
        <f>AM51*AN51</f>
        <v>22.2</v>
      </c>
      <c r="AP51" t="s" s="30">
        <v>475</v>
      </c>
    </row>
    <row r="52" ht="20.15" customHeight="1">
      <c r="B52" t="s" s="26">
        <f>IF(OR(AI52="ACTIVE",AI52="AVAILABLE",AI52="reserve",AI52="DNP"),G52,"")</f>
        <v>476</v>
      </c>
      <c r="C52" t="s" s="27">
        <f>$J52&amp;IF($F52="LED"," LED","")&amp;IF($L52="",""," ")&amp;$L52&amp;IF($K52="",""," ")&amp;$K52&amp;IF($M52="",""," ")&amp;$M52&amp;IF($N52="",""," ")&amp;$N52&amp;IF($O52="",""," ")&amp;$O52&amp;IF($R52="",""," ")&amp;$R52&amp;IF($R52="","","mcd")</f>
        <v>477</v>
      </c>
      <c r="D52" t="s" s="28">
        <f>$J52&amp;" "&amp;F52&amp;IF($L52="",""," ")&amp;$L52&amp;IF($K52="",""," ")&amp;$K52&amp;IF($M52="",""," ")&amp;$M52&amp;IF($N52="",""," ")&amp;$N52&amp;IF($O52="",""," ")&amp;$O52&amp;IF($R52="",""," ")&amp;$R52&amp;IF($R52="","","mcd")</f>
        <v>478</v>
      </c>
      <c r="E52" t="s" s="29">
        <f>IF(ISBLANK(AA52),"",HYPERLINK("https://jlcpcb.com/partdetail/"&amp;$AA52,$AA52))</f>
        <v>479</v>
      </c>
      <c r="F52" t="s" s="30">
        <v>480</v>
      </c>
      <c r="G52" t="s" s="31">
        <f>F52&amp;"_"&amp;J52&amp;"_"&amp;Z52</f>
        <v>476</v>
      </c>
      <c r="H52" t="s" s="32">
        <v>481</v>
      </c>
      <c r="I52" t="s" s="30">
        <v>8</v>
      </c>
      <c r="J52" t="s" s="30">
        <v>482</v>
      </c>
      <c r="K52" t="s" s="30">
        <v>483</v>
      </c>
      <c r="L52" s="30"/>
      <c r="M52" t="s" s="30">
        <v>484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t="s" s="30">
        <v>485</v>
      </c>
      <c r="AA52" t="s" s="30">
        <v>486</v>
      </c>
      <c r="AB52" t="s" s="31">
        <v>487</v>
      </c>
      <c r="AC52" t="s" s="30">
        <v>482</v>
      </c>
      <c r="AD52" t="b" s="35">
        <v>0</v>
      </c>
      <c r="AE52" t="b" s="35">
        <v>1</v>
      </c>
      <c r="AF52" t="s" s="36">
        <v>488</v>
      </c>
      <c r="AG52" t="s" s="37">
        <v>489</v>
      </c>
      <c r="AH52" s="49">
        <v>1</v>
      </c>
      <c r="AI52" t="s" s="39">
        <v>34</v>
      </c>
      <c r="AJ52" t="s" s="52">
        <v>35</v>
      </c>
      <c r="AK52" t="s" s="31">
        <v>332</v>
      </c>
      <c r="AL52" s="40">
        <v>3820</v>
      </c>
      <c r="AM52" s="41">
        <v>4000</v>
      </c>
      <c r="AN52" s="42">
        <v>0.0188</v>
      </c>
      <c r="AO52" s="43">
        <f>AM52*AN52</f>
        <v>75.2</v>
      </c>
      <c r="AP52" t="s" s="30">
        <v>490</v>
      </c>
    </row>
    <row r="53" ht="20.15" customHeight="1">
      <c r="B53" t="s" s="26">
        <f>IF(OR(AI53="ACTIVE",AI53="AVAILABLE",AI53="reserve",AI53="DNP"),G53,"")</f>
        <v>491</v>
      </c>
      <c r="C53" t="s" s="27">
        <f>$J53&amp;IF($F53="LED"," LED","")&amp;IF($L53="",""," ")&amp;$L53&amp;IF($K53="",""," ")&amp;$K53&amp;IF($M53="",""," ")&amp;$M53&amp;IF($N53="",""," ")&amp;$N53&amp;IF($O53="",""," ")&amp;$O53&amp;IF($R53="",""," ")&amp;$R53&amp;IF($R53="","","mcd")</f>
        <v>492</v>
      </c>
      <c r="D53" t="s" s="28">
        <f>$J53&amp;" "&amp;F53&amp;IF($L53="",""," ")&amp;$L53&amp;IF($K53="",""," ")&amp;$K53&amp;IF($M53="",""," ")&amp;$M53&amp;IF($N53="",""," ")&amp;$N53&amp;IF($O53="",""," ")&amp;$O53&amp;IF($R53="",""," ")&amp;$R53&amp;IF($R53="","","mcd")</f>
        <v>493</v>
      </c>
      <c r="E53" t="s" s="29">
        <f>IF(ISBLANK(AA53),"",HYPERLINK("https://jlcpcb.com/partdetail/"&amp;$AA53,$AA53))</f>
        <v>494</v>
      </c>
      <c r="F53" t="s" s="30">
        <v>480</v>
      </c>
      <c r="G53" t="s" s="31">
        <f>F53&amp;"_"&amp;J53&amp;"_"&amp;Z53</f>
        <v>491</v>
      </c>
      <c r="H53" t="s" s="32">
        <v>495</v>
      </c>
      <c r="I53" t="s" s="30">
        <v>8</v>
      </c>
      <c r="J53" t="s" s="30">
        <v>496</v>
      </c>
      <c r="K53" t="s" s="30">
        <v>497</v>
      </c>
      <c r="L53" s="30"/>
      <c r="M53" t="s" s="30">
        <v>498</v>
      </c>
      <c r="N53" s="30"/>
      <c r="O53" t="s" s="30">
        <v>499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t="s" s="55">
        <v>500</v>
      </c>
      <c r="AA53" t="s" s="55">
        <v>501</v>
      </c>
      <c r="AB53" t="s" s="56">
        <v>502</v>
      </c>
      <c r="AC53" t="s" s="55">
        <v>503</v>
      </c>
      <c r="AD53" t="b" s="35">
        <v>0</v>
      </c>
      <c r="AE53" t="b" s="35">
        <v>1</v>
      </c>
      <c r="AF53" t="s" s="31">
        <v>504</v>
      </c>
      <c r="AG53" t="s" s="47">
        <v>505</v>
      </c>
      <c r="AH53" s="49">
        <v>5</v>
      </c>
      <c r="AI53" t="s" s="39">
        <v>160</v>
      </c>
      <c r="AJ53" t="s" s="31">
        <v>428</v>
      </c>
      <c r="AK53" t="s" s="31">
        <v>176</v>
      </c>
      <c r="AL53" s="53">
        <v>0</v>
      </c>
      <c r="AM53" s="41">
        <v>2500</v>
      </c>
      <c r="AN53" s="42">
        <v>0.0677</v>
      </c>
      <c r="AO53" s="43">
        <f>AM53*AN53</f>
        <v>169.25</v>
      </c>
      <c r="AP53" t="s" s="30">
        <v>506</v>
      </c>
    </row>
    <row r="54" ht="20.15" customHeight="1">
      <c r="B54" t="s" s="26">
        <f>IF(OR(AI54="ACTIVE",AI54="AVAILABLE",AI54="reserve",AI54="DNP"),G54,"")</f>
        <v>507</v>
      </c>
      <c r="C54" t="s" s="27">
        <f>$J54&amp;IF($F54="LED"," LED","")&amp;IF($L54="",""," ")&amp;$L54&amp;IF($K54="",""," ")&amp;$K54&amp;IF($M54="",""," ")&amp;$M54&amp;IF($N54="",""," ")&amp;$N54&amp;IF($O54="",""," ")&amp;$O54&amp;IF($R54="",""," ")&amp;$R54&amp;IF($R54="","","mcd")</f>
        <v>508</v>
      </c>
      <c r="D54" t="s" s="28">
        <f>$J54&amp;" "&amp;F54&amp;IF($L54="",""," ")&amp;$L54&amp;IF($K54="",""," ")&amp;$K54&amp;IF($M54="",""," ")&amp;$M54&amp;IF($N54="",""," ")&amp;$N54&amp;IF($O54="",""," ")&amp;$O54&amp;IF($R54="",""," ")&amp;$R54&amp;IF($R54="","","mcd")</f>
        <v>509</v>
      </c>
      <c r="E54" t="s" s="29">
        <f>IF(ISBLANK(AA54),"",HYPERLINK("https://jlcpcb.com/partdetail/"&amp;$AA54,$AA54))</f>
        <v>510</v>
      </c>
      <c r="F54" t="s" s="30">
        <v>480</v>
      </c>
      <c r="G54" t="s" s="31">
        <f>F54&amp;"_"&amp;J54&amp;"_"&amp;Z54</f>
        <v>507</v>
      </c>
      <c r="H54" t="s" s="32">
        <v>511</v>
      </c>
      <c r="I54" t="s" s="30">
        <v>8</v>
      </c>
      <c r="J54" t="s" s="30">
        <v>512</v>
      </c>
      <c r="K54" t="s" s="30">
        <v>513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t="s" s="55">
        <v>514</v>
      </c>
      <c r="AA54" t="s" s="55">
        <v>515</v>
      </c>
      <c r="AB54" t="s" s="56">
        <v>516</v>
      </c>
      <c r="AC54" t="s" s="55">
        <v>517</v>
      </c>
      <c r="AD54" t="b" s="35">
        <v>0</v>
      </c>
      <c r="AE54" t="b" s="35">
        <v>1</v>
      </c>
      <c r="AF54" t="s" s="31">
        <v>518</v>
      </c>
      <c r="AG54" t="s" s="47">
        <v>519</v>
      </c>
      <c r="AH54" s="49">
        <v>1</v>
      </c>
      <c r="AI54" t="s" s="39">
        <v>34</v>
      </c>
      <c r="AJ54" t="s" s="52">
        <v>35</v>
      </c>
      <c r="AK54" t="s" s="31">
        <v>176</v>
      </c>
      <c r="AL54" s="53">
        <v>25</v>
      </c>
      <c r="AM54" s="45">
        <v>25</v>
      </c>
      <c r="AN54" s="42">
        <v>1.4411</v>
      </c>
      <c r="AO54" s="43">
        <f>AM54*AN54</f>
        <v>36.0275</v>
      </c>
      <c r="AP54" t="s" s="30">
        <v>520</v>
      </c>
    </row>
    <row r="55" ht="20.15" customHeight="1">
      <c r="B55" t="s" s="26">
        <f>IF(OR(AI55="ACTIVE",AI55="AVAILABLE",AI55="reserve",AI55="DNP"),G55,"")</f>
        <v>521</v>
      </c>
      <c r="C55" t="s" s="27">
        <f>$J55&amp;IF($F55="LED"," LED","")&amp;IF($L55="",""," ")&amp;$L55&amp;IF($K55="",""," ")&amp;$K55&amp;IF($M55="",""," ")&amp;$M55&amp;IF($N55="",""," ")&amp;$N55&amp;IF($O55="",""," ")&amp;$O55&amp;IF($R55="",""," ")&amp;$R55&amp;IF($R55="","","mcd")</f>
        <v>522</v>
      </c>
      <c r="D55" t="s" s="28">
        <f>$J55&amp;" "&amp;F55&amp;IF($L55="",""," ")&amp;$L55&amp;IF($K55="",""," ")&amp;$K55&amp;IF($M55="",""," ")&amp;$M55&amp;IF($N55="",""," ")&amp;$N55&amp;IF($O55="",""," ")&amp;$O55&amp;IF($R55="",""," ")&amp;$R55&amp;IF($R55="","","mcd")</f>
        <v>523</v>
      </c>
      <c r="E55" t="s" s="29">
        <f>IF(ISBLANK(AA55),"",HYPERLINK("https://jlcpcb.com/partdetail/"&amp;$AA55,$AA55))</f>
        <v>524</v>
      </c>
      <c r="F55" t="s" s="30">
        <v>480</v>
      </c>
      <c r="G55" t="s" s="31">
        <f>F55&amp;"_"&amp;J55&amp;"_"&amp;Z55</f>
        <v>521</v>
      </c>
      <c r="H55" t="s" s="32">
        <v>525</v>
      </c>
      <c r="I55" t="s" s="30">
        <v>8</v>
      </c>
      <c r="J55" t="s" s="30">
        <v>526</v>
      </c>
      <c r="K55" t="s" s="30">
        <v>527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t="s" s="55">
        <v>528</v>
      </c>
      <c r="AA55" t="s" s="60">
        <v>529</v>
      </c>
      <c r="AB55" t="s" s="56">
        <v>530</v>
      </c>
      <c r="AC55" t="s" s="55">
        <v>531</v>
      </c>
      <c r="AD55" t="b" s="35">
        <v>0</v>
      </c>
      <c r="AE55" t="b" s="35">
        <v>1</v>
      </c>
      <c r="AF55" t="s" s="31">
        <v>532</v>
      </c>
      <c r="AG55" t="s" s="47">
        <v>533</v>
      </c>
      <c r="AH55" s="49">
        <v>1</v>
      </c>
      <c r="AI55" t="s" s="39">
        <v>34</v>
      </c>
      <c r="AJ55" t="s" s="52">
        <v>160</v>
      </c>
      <c r="AK55" t="s" s="31">
        <v>332</v>
      </c>
      <c r="AL55" s="53">
        <v>10</v>
      </c>
      <c r="AM55" s="45">
        <v>10</v>
      </c>
      <c r="AN55" s="61">
        <v>2.3985</v>
      </c>
      <c r="AO55" s="43">
        <f>AM55*AN55</f>
        <v>23.985</v>
      </c>
      <c r="AP55" t="s" s="30">
        <v>534</v>
      </c>
    </row>
    <row r="56" ht="19.3" customHeight="1">
      <c r="B56" t="s" s="26">
        <f>IF(OR(AI56="ACTIVE",AI56="AVAILABLE",AI56="reserve",AI56="DNP"),G56,"")</f>
        <v>535</v>
      </c>
      <c r="C56" t="s" s="27">
        <f>$J56&amp;IF($F56="LED"," LED","")&amp;IF($L56="",""," ")&amp;$L56&amp;IF($K56="",""," ")&amp;$K56&amp;IF($M56="",""," ")&amp;$M56&amp;IF($N56="",""," ")&amp;$N56&amp;IF($O56="",""," ")&amp;$O56&amp;IF($R56="",""," ")&amp;$R56&amp;IF($R56="","","mcd")</f>
        <v>536</v>
      </c>
      <c r="D56" t="s" s="28">
        <f>$J56&amp;" "&amp;F56&amp;IF($L56="",""," ")&amp;$L56&amp;IF($K56="",""," ")&amp;$K56&amp;IF($M56="",""," ")&amp;$M56&amp;IF($N56="",""," ")&amp;$N56&amp;IF($O56="",""," ")&amp;$O56&amp;IF($R56="",""," ")&amp;$R56&amp;IF($R56="","","mcd")</f>
        <v>536</v>
      </c>
      <c r="E56" t="s" s="29">
        <f>IF(ISBLANK(AA56),"",HYPERLINK("https://jlcpcb.com/partdetail/"&amp;$AA56,$AA56))</f>
        <v>537</v>
      </c>
      <c r="F56" t="s" s="30">
        <v>538</v>
      </c>
      <c r="G56" t="s" s="31">
        <f>F56&amp;"_"&amp;J56&amp;"_"&amp;Z56</f>
        <v>535</v>
      </c>
      <c r="H56" t="s" s="32">
        <v>539</v>
      </c>
      <c r="I56" t="s" s="30">
        <v>8</v>
      </c>
      <c r="J56" t="s" s="30">
        <v>540</v>
      </c>
      <c r="K56" t="s" s="30">
        <v>541</v>
      </c>
      <c r="L56" s="30"/>
      <c r="M56" t="s" s="30">
        <v>542</v>
      </c>
      <c r="N56" t="s" s="30">
        <v>543</v>
      </c>
      <c r="O56" s="30"/>
      <c r="P56" t="s" s="30">
        <v>544</v>
      </c>
      <c r="Q56" t="s" s="30">
        <v>545</v>
      </c>
      <c r="R56" t="s" s="30">
        <v>546</v>
      </c>
      <c r="S56" s="30"/>
      <c r="T56" s="30"/>
      <c r="U56" s="30"/>
      <c r="V56" s="30"/>
      <c r="W56" s="30"/>
      <c r="X56" s="30"/>
      <c r="Y56" s="30"/>
      <c r="Z56" t="s" s="30">
        <v>325</v>
      </c>
      <c r="AA56" t="s" s="30">
        <v>547</v>
      </c>
      <c r="AB56" t="s" s="31">
        <v>548</v>
      </c>
      <c r="AC56" t="s" s="30">
        <v>549</v>
      </c>
      <c r="AD56" t="b" s="35">
        <v>0</v>
      </c>
      <c r="AE56" t="b" s="35">
        <v>1</v>
      </c>
      <c r="AF56" t="s" s="36">
        <v>550</v>
      </c>
      <c r="AG56" t="s" s="37">
        <v>551</v>
      </c>
      <c r="AH56" s="49">
        <v>1</v>
      </c>
      <c r="AI56" t="s" s="39">
        <v>34</v>
      </c>
      <c r="AJ56" t="s" s="52">
        <v>35</v>
      </c>
      <c r="AK56" t="s" s="31">
        <v>332</v>
      </c>
      <c r="AL56" s="40">
        <v>3190</v>
      </c>
      <c r="AM56" s="41">
        <v>4000</v>
      </c>
      <c r="AN56" s="42">
        <v>0.0022</v>
      </c>
      <c r="AO56" s="43">
        <f>AM56*AN56</f>
        <v>8.800000000000001</v>
      </c>
      <c r="AP56" t="s" s="30">
        <v>552</v>
      </c>
    </row>
    <row r="57" ht="20.95" customHeight="1">
      <c r="B57" t="s" s="26">
        <f>IF(OR(AI57="ACTIVE",AI57="AVAILABLE",AI57="reserve",AI57="DNP"),G57,"")</f>
        <v>553</v>
      </c>
      <c r="C57" t="s" s="27">
        <f>$J57&amp;IF($F57="LED"," LED","")&amp;IF($L57="",""," ")&amp;$L57&amp;IF($K57="",""," ")&amp;$K57&amp;IF($M57="",""," ")&amp;$M57&amp;IF($N57="",""," ")&amp;$N57&amp;IF($O57="",""," ")&amp;$O57&amp;IF($R57="",""," ")&amp;$R57&amp;IF($R57="","","mcd")</f>
        <v>554</v>
      </c>
      <c r="D57" t="s" s="28">
        <f>$J57&amp;" "&amp;F57&amp;IF($L57="",""," ")&amp;$L57&amp;IF($K57="",""," ")&amp;$K57&amp;IF($M57="",""," ")&amp;$M57&amp;IF($N57="",""," ")&amp;$N57&amp;IF($O57="",""," ")&amp;$O57&amp;IF($R57="",""," ")&amp;$R57&amp;IF($R57="","","mcd")</f>
        <v>554</v>
      </c>
      <c r="E57" t="s" s="29">
        <f>IF(ISBLANK(AA57),"",HYPERLINK("https://jlcpcb.com/partdetail/"&amp;$AA57,$AA57))</f>
        <v>555</v>
      </c>
      <c r="F57" t="s" s="30">
        <v>538</v>
      </c>
      <c r="G57" t="s" s="31">
        <f>F57&amp;"_"&amp;J57&amp;"_"&amp;Z57</f>
        <v>553</v>
      </c>
      <c r="H57" t="s" s="32">
        <v>556</v>
      </c>
      <c r="I57" t="s" s="30">
        <v>8</v>
      </c>
      <c r="J57" t="s" s="30">
        <v>557</v>
      </c>
      <c r="K57" t="s" s="30">
        <v>558</v>
      </c>
      <c r="L57" s="30"/>
      <c r="M57" t="s" s="30">
        <v>559</v>
      </c>
      <c r="N57" t="s" s="30">
        <v>543</v>
      </c>
      <c r="O57" s="30"/>
      <c r="P57" t="s" s="30">
        <v>544</v>
      </c>
      <c r="Q57" t="s" s="30">
        <v>560</v>
      </c>
      <c r="R57" t="s" s="30">
        <v>561</v>
      </c>
      <c r="S57" s="30"/>
      <c r="T57" s="30"/>
      <c r="U57" s="30"/>
      <c r="V57" s="30"/>
      <c r="W57" s="30"/>
      <c r="X57" s="30"/>
      <c r="Y57" s="30"/>
      <c r="Z57" t="s" s="30">
        <v>325</v>
      </c>
      <c r="AA57" t="s" s="30">
        <v>562</v>
      </c>
      <c r="AB57" t="s" s="31">
        <v>548</v>
      </c>
      <c r="AC57" t="s" s="30">
        <v>563</v>
      </c>
      <c r="AD57" t="b" s="35">
        <v>0</v>
      </c>
      <c r="AE57" t="b" s="35">
        <v>1</v>
      </c>
      <c r="AF57" t="s" s="36">
        <v>550</v>
      </c>
      <c r="AG57" t="s" s="37">
        <v>551</v>
      </c>
      <c r="AH57" s="49">
        <v>1</v>
      </c>
      <c r="AI57" t="s" s="39">
        <v>34</v>
      </c>
      <c r="AJ57" t="s" s="52">
        <v>35</v>
      </c>
      <c r="AK57" t="s" s="31">
        <v>332</v>
      </c>
      <c r="AL57" s="40">
        <v>2790</v>
      </c>
      <c r="AM57" s="41">
        <v>4000</v>
      </c>
      <c r="AN57" s="42">
        <v>0.0023</v>
      </c>
      <c r="AO57" s="43">
        <f>AM57*AN57</f>
        <v>9.199999999999999</v>
      </c>
      <c r="AP57" t="s" s="30">
        <v>564</v>
      </c>
    </row>
    <row r="58" ht="18.4" customHeight="1">
      <c r="B58" t="s" s="26">
        <f>IF(OR(AI58="ACTIVE",AI58="AVAILABLE",AI58="reserve",AI58="DNP"),G58,"")</f>
        <v>565</v>
      </c>
      <c r="C58" t="s" s="27">
        <f>$J58&amp;IF($F58="LED"," LED","")&amp;IF($L58="",""," ")&amp;$L58&amp;IF($K58="",""," ")&amp;$K58&amp;IF($M58="",""," ")&amp;$M58&amp;IF($N58="",""," ")&amp;$N58&amp;IF($O58="",""," ")&amp;$O58&amp;IF($R58="",""," ")&amp;$R58&amp;IF($R58="","","mcd")</f>
        <v>566</v>
      </c>
      <c r="D58" t="s" s="28">
        <f>$J58&amp;" "&amp;F58&amp;IF($L58="",""," ")&amp;$L58&amp;IF($K58="",""," ")&amp;$K58&amp;IF($M58="",""," ")&amp;$M58&amp;IF($N58="",""," ")&amp;$N58&amp;IF($O58="",""," ")&amp;$O58&amp;IF($R58="",""," ")&amp;$R58&amp;IF($R58="","","mcd")</f>
        <v>566</v>
      </c>
      <c r="E58" t="s" s="29">
        <f>IF(ISBLANK(AA58),"",HYPERLINK("https://jlcpcb.com/partdetail/"&amp;$AA58,$AA58))</f>
        <v>567</v>
      </c>
      <c r="F58" t="s" s="30">
        <v>538</v>
      </c>
      <c r="G58" t="s" s="31">
        <f>F58&amp;"_"&amp;J58&amp;"_"&amp;Z58</f>
        <v>565</v>
      </c>
      <c r="H58" t="s" s="32">
        <v>568</v>
      </c>
      <c r="I58" t="s" s="30">
        <v>8</v>
      </c>
      <c r="J58" t="s" s="30">
        <v>569</v>
      </c>
      <c r="K58" t="s" s="30">
        <v>541</v>
      </c>
      <c r="L58" s="30"/>
      <c r="M58" t="s" s="30">
        <v>542</v>
      </c>
      <c r="N58" t="s" s="30">
        <v>543</v>
      </c>
      <c r="O58" s="30"/>
      <c r="P58" t="s" s="30">
        <v>544</v>
      </c>
      <c r="Q58" t="s" s="30">
        <v>570</v>
      </c>
      <c r="R58" t="s" s="30">
        <v>571</v>
      </c>
      <c r="S58" s="30"/>
      <c r="T58" s="30"/>
      <c r="U58" s="30"/>
      <c r="V58" s="30"/>
      <c r="W58" s="30"/>
      <c r="X58" s="30"/>
      <c r="Y58" s="30"/>
      <c r="Z58" t="s" s="30">
        <v>325</v>
      </c>
      <c r="AA58" t="s" s="30">
        <v>572</v>
      </c>
      <c r="AB58" t="s" s="31">
        <v>548</v>
      </c>
      <c r="AC58" t="s" s="30">
        <v>573</v>
      </c>
      <c r="AD58" t="b" s="35">
        <v>0</v>
      </c>
      <c r="AE58" t="b" s="35">
        <v>1</v>
      </c>
      <c r="AF58" t="s" s="36">
        <v>550</v>
      </c>
      <c r="AG58" t="s" s="37">
        <v>551</v>
      </c>
      <c r="AH58" s="49">
        <v>1</v>
      </c>
      <c r="AI58" t="s" s="39">
        <v>34</v>
      </c>
      <c r="AJ58" t="s" s="52">
        <v>35</v>
      </c>
      <c r="AK58" t="s" s="31">
        <v>332</v>
      </c>
      <c r="AL58" s="40">
        <v>2790</v>
      </c>
      <c r="AM58" s="41">
        <v>4000</v>
      </c>
      <c r="AN58" s="42">
        <v>0.002518</v>
      </c>
      <c r="AO58" s="43">
        <f>AM58*AN58</f>
        <v>10.072</v>
      </c>
      <c r="AP58" t="s" s="30">
        <v>574</v>
      </c>
    </row>
    <row r="59" ht="18.9" customHeight="1">
      <c r="B59" t="s" s="26">
        <f>IF(OR(AI59="ACTIVE",AI59="AVAILABLE",AI59="reserve",AI59="DNP"),G59,"")</f>
        <v>575</v>
      </c>
      <c r="C59" t="s" s="27">
        <f>$J59&amp;IF($F59="LED"," LED","")&amp;IF($L59="",""," ")&amp;$L59&amp;IF($K59="",""," ")&amp;$K59&amp;IF($M59="",""," ")&amp;$M59&amp;IF($N59="",""," ")&amp;$N59&amp;IF($O59="",""," ")&amp;$O59&amp;IF($R59="",""," ")&amp;$R59&amp;IF($R59="","","mcd")</f>
        <v>576</v>
      </c>
      <c r="D59" t="s" s="28">
        <f>$J59&amp;" "&amp;F59&amp;IF($L59="",""," ")&amp;$L59&amp;IF($K59="",""," ")&amp;$K59&amp;IF($M59="",""," ")&amp;$M59&amp;IF($N59="",""," ")&amp;$N59&amp;IF($O59="",""," ")&amp;$O59&amp;IF($R59="",""," ")&amp;$R59&amp;IF($R59="","","mcd")</f>
        <v>576</v>
      </c>
      <c r="E59" t="s" s="29">
        <f>IF(ISBLANK(AA59),"",HYPERLINK("https://jlcpcb.com/partdetail/"&amp;$AA59,$AA59))</f>
        <v>577</v>
      </c>
      <c r="F59" t="s" s="30">
        <v>538</v>
      </c>
      <c r="G59" t="s" s="31">
        <f>F59&amp;"_"&amp;J59&amp;"_"&amp;Z59</f>
        <v>575</v>
      </c>
      <c r="H59" t="s" s="32">
        <v>578</v>
      </c>
      <c r="I59" t="s" s="30">
        <v>8</v>
      </c>
      <c r="J59" t="s" s="30">
        <v>579</v>
      </c>
      <c r="K59" t="s" s="30">
        <v>541</v>
      </c>
      <c r="L59" s="30"/>
      <c r="M59" t="s" s="30">
        <v>580</v>
      </c>
      <c r="N59" t="s" s="30">
        <v>543</v>
      </c>
      <c r="O59" s="30"/>
      <c r="P59" s="30"/>
      <c r="Q59" t="s" s="30">
        <v>581</v>
      </c>
      <c r="R59" t="s" s="30">
        <v>546</v>
      </c>
      <c r="S59" s="30"/>
      <c r="T59" s="30"/>
      <c r="U59" s="30"/>
      <c r="V59" s="30"/>
      <c r="W59" s="30"/>
      <c r="X59" s="30"/>
      <c r="Y59" s="30"/>
      <c r="Z59" t="s" s="30">
        <v>325</v>
      </c>
      <c r="AA59" t="s" s="30">
        <v>582</v>
      </c>
      <c r="AB59" t="s" s="31">
        <v>548</v>
      </c>
      <c r="AC59" t="s" s="30">
        <v>583</v>
      </c>
      <c r="AD59" t="b" s="35">
        <v>0</v>
      </c>
      <c r="AE59" t="b" s="35">
        <v>0</v>
      </c>
      <c r="AF59" t="s" s="36">
        <v>550</v>
      </c>
      <c r="AG59" t="s" s="37">
        <v>551</v>
      </c>
      <c r="AH59" s="49">
        <v>1</v>
      </c>
      <c r="AI59" t="s" s="39">
        <v>343</v>
      </c>
      <c r="AJ59" t="s" s="50">
        <v>331</v>
      </c>
      <c r="AK59" t="s" s="31">
        <v>332</v>
      </c>
      <c r="AL59" s="40">
        <v>4000</v>
      </c>
      <c r="AM59" s="41">
        <v>4000</v>
      </c>
      <c r="AN59" s="42">
        <v>0.0041</v>
      </c>
      <c r="AO59" s="51">
        <f>AM59*AN59</f>
        <v>16.4</v>
      </c>
      <c r="AP59" t="s" s="30">
        <v>584</v>
      </c>
    </row>
    <row r="60" ht="18.9" customHeight="1">
      <c r="B60" t="s" s="26">
        <f>IF(OR(AI60="ACTIVE",AI60="AVAILABLE",AI60="reserve",AI60="DNP"),G60,"")</f>
        <v>585</v>
      </c>
      <c r="C60" t="s" s="27">
        <f>$J60&amp;IF($F60="LED"," LED","")&amp;IF($L60="",""," ")&amp;$L60&amp;IF($K60="",""," ")&amp;$K60&amp;IF($M60="",""," ")&amp;$M60&amp;IF($N60="",""," ")&amp;$N60&amp;IF($O60="",""," ")&amp;$O60&amp;IF($R60="",""," ")&amp;$R60&amp;IF($R60="","","mcd")</f>
        <v>586</v>
      </c>
      <c r="D60" t="s" s="28">
        <f>$J60&amp;" "&amp;F60&amp;IF($L60="",""," ")&amp;$L60&amp;IF($K60="",""," ")&amp;$K60&amp;IF($M60="",""," ")&amp;$M60&amp;IF($N60="",""," ")&amp;$N60&amp;IF($O60="",""," ")&amp;$O60&amp;IF($R60="",""," ")&amp;$R60&amp;IF($R60="","","mcd")</f>
        <v>586</v>
      </c>
      <c r="E60" t="s" s="29">
        <f>IF(ISBLANK(AA60),"",HYPERLINK("https://jlcpcb.com/partdetail/"&amp;$AA60,$AA60))</f>
        <v>587</v>
      </c>
      <c r="F60" t="s" s="30">
        <v>538</v>
      </c>
      <c r="G60" t="s" s="31">
        <f>F60&amp;"_"&amp;J60&amp;"_"&amp;Z60</f>
        <v>585</v>
      </c>
      <c r="H60" t="s" s="32">
        <v>588</v>
      </c>
      <c r="I60" t="s" s="30">
        <v>8</v>
      </c>
      <c r="J60" t="s" s="30">
        <v>589</v>
      </c>
      <c r="K60" t="s" s="30">
        <v>541</v>
      </c>
      <c r="L60" s="30"/>
      <c r="M60" t="s" s="30">
        <v>590</v>
      </c>
      <c r="N60" t="s" s="30">
        <v>591</v>
      </c>
      <c r="O60" s="30"/>
      <c r="P60" s="30"/>
      <c r="Q60" t="s" s="30">
        <v>592</v>
      </c>
      <c r="R60" t="s" s="30">
        <v>593</v>
      </c>
      <c r="S60" s="30"/>
      <c r="T60" s="30"/>
      <c r="U60" s="30"/>
      <c r="V60" s="30"/>
      <c r="W60" s="30"/>
      <c r="X60" s="30"/>
      <c r="Y60" s="30"/>
      <c r="Z60" t="s" s="30">
        <v>325</v>
      </c>
      <c r="AA60" t="s" s="30">
        <v>594</v>
      </c>
      <c r="AB60" t="s" s="31">
        <v>595</v>
      </c>
      <c r="AC60" t="s" s="30">
        <v>596</v>
      </c>
      <c r="AD60" t="b" s="35">
        <v>0</v>
      </c>
      <c r="AE60" t="b" s="35">
        <v>0</v>
      </c>
      <c r="AF60" t="s" s="36">
        <v>550</v>
      </c>
      <c r="AG60" t="s" s="37">
        <v>551</v>
      </c>
      <c r="AH60" s="49">
        <v>1</v>
      </c>
      <c r="AI60" t="s" s="39">
        <v>34</v>
      </c>
      <c r="AJ60" t="s" s="50">
        <v>331</v>
      </c>
      <c r="AK60" t="s" s="31">
        <v>332</v>
      </c>
      <c r="AL60" s="40">
        <v>4000</v>
      </c>
      <c r="AM60" s="41">
        <v>4000</v>
      </c>
      <c r="AN60" s="42">
        <v>0.0066</v>
      </c>
      <c r="AO60" s="51">
        <f>AM60*AN60</f>
        <v>26.4</v>
      </c>
      <c r="AP60" t="s" s="30">
        <v>597</v>
      </c>
    </row>
    <row r="61" ht="18.9" customHeight="1">
      <c r="B61" t="s" s="26">
        <f>IF(OR(AI61="ACTIVE",AI61="AVAILABLE",AI61="reserve",AI61="DNP"),G61,"")</f>
        <v>585</v>
      </c>
      <c r="C61" t="s" s="27">
        <f>$J61&amp;IF($F61="LED"," LED","")&amp;IF($L61="",""," ")&amp;$L61&amp;IF($K61="",""," ")&amp;$K61&amp;IF($M61="",""," ")&amp;$M61&amp;IF($N61="",""," ")&amp;$N61&amp;IF($O61="",""," ")&amp;$O61&amp;IF($R61="",""," ")&amp;$R61&amp;IF($R61="","","mcd")</f>
        <v>598</v>
      </c>
      <c r="D61" t="s" s="28">
        <f>$J61&amp;" "&amp;F61&amp;IF($L61="",""," ")&amp;$L61&amp;IF($K61="",""," ")&amp;$K61&amp;IF($M61="",""," ")&amp;$M61&amp;IF($N61="",""," ")&amp;$N61&amp;IF($O61="",""," ")&amp;$O61&amp;IF($R61="",""," ")&amp;$R61&amp;IF($R61="","","mcd")</f>
        <v>598</v>
      </c>
      <c r="E61" t="s" s="29">
        <f>IF(ISBLANK(AA61),"",HYPERLINK("https://jlcpcb.com/partdetail/"&amp;$AA61,$AA61))</f>
        <v>599</v>
      </c>
      <c r="F61" t="s" s="30">
        <v>538</v>
      </c>
      <c r="G61" t="s" s="31">
        <f>F61&amp;"_"&amp;J61&amp;"_"&amp;Z61</f>
        <v>585</v>
      </c>
      <c r="H61" t="s" s="32">
        <v>600</v>
      </c>
      <c r="I61" t="s" s="30">
        <v>8</v>
      </c>
      <c r="J61" t="s" s="30">
        <v>589</v>
      </c>
      <c r="K61" t="s" s="30">
        <v>541</v>
      </c>
      <c r="L61" s="30"/>
      <c r="M61" t="s" s="30">
        <v>601</v>
      </c>
      <c r="N61" t="s" s="30">
        <v>543</v>
      </c>
      <c r="O61" s="30"/>
      <c r="P61" s="30"/>
      <c r="Q61" s="30"/>
      <c r="R61" t="s" s="30">
        <v>602</v>
      </c>
      <c r="S61" s="30"/>
      <c r="T61" s="30"/>
      <c r="U61" s="30"/>
      <c r="V61" s="30"/>
      <c r="W61" s="30"/>
      <c r="X61" s="30"/>
      <c r="Y61" s="30"/>
      <c r="Z61" t="s" s="30">
        <v>325</v>
      </c>
      <c r="AA61" t="s" s="30">
        <v>603</v>
      </c>
      <c r="AB61" t="s" s="31">
        <v>548</v>
      </c>
      <c r="AC61" t="s" s="30">
        <v>604</v>
      </c>
      <c r="AD61" t="b" s="35">
        <v>0</v>
      </c>
      <c r="AE61" t="b" s="35">
        <v>0</v>
      </c>
      <c r="AF61" t="s" s="36">
        <v>550</v>
      </c>
      <c r="AG61" t="s" s="37">
        <v>551</v>
      </c>
      <c r="AH61" s="49">
        <v>2</v>
      </c>
      <c r="AI61" t="s" s="39">
        <v>343</v>
      </c>
      <c r="AJ61" t="s" s="50">
        <v>331</v>
      </c>
      <c r="AK61" t="s" s="31">
        <v>332</v>
      </c>
      <c r="AL61" s="40">
        <v>3810</v>
      </c>
      <c r="AM61" s="41">
        <v>4000</v>
      </c>
      <c r="AN61" s="42">
        <v>0.0035</v>
      </c>
      <c r="AO61" s="51">
        <f>AM61*AN61</f>
        <v>14</v>
      </c>
      <c r="AP61" t="s" s="30">
        <v>605</v>
      </c>
    </row>
    <row r="62" ht="16.4" customHeight="1">
      <c r="B62" t="s" s="26">
        <f>IF(OR(AI62="ACTIVE",AI62="AVAILABLE",AI62="reserve",AI62="DNP"),G62,"")</f>
        <v>606</v>
      </c>
      <c r="C62" t="s" s="27">
        <f>$J62&amp;IF($F62="LED"," LED","")&amp;IF($L62="",""," ")&amp;$L62&amp;IF($K62="",""," ")&amp;$K62&amp;IF($M62="",""," ")&amp;$M62&amp;IF($N62="",""," ")&amp;$N62&amp;IF($O62="",""," ")&amp;$O62&amp;IF($R62="",""," ")&amp;$R62&amp;IF($R62="","","mcd")</f>
        <v>607</v>
      </c>
      <c r="D62" t="s" s="28">
        <f>$J62&amp;" "&amp;F62&amp;IF($L62="",""," ")&amp;$L62&amp;IF($K62="",""," ")&amp;$K62&amp;IF($M62="",""," ")&amp;$M62&amp;IF($N62="",""," ")&amp;$N62&amp;IF($O62="",""," ")&amp;$O62&amp;IF($R62="",""," ")&amp;$R62&amp;IF($R62="","","mcd")</f>
        <v>607</v>
      </c>
      <c r="E62" t="s" s="29">
        <f>IF(ISBLANK(AA62),"",HYPERLINK("https://jlcpcb.com/partdetail/"&amp;$AA62,$AA62))</f>
        <v>608</v>
      </c>
      <c r="F62" t="s" s="30">
        <v>538</v>
      </c>
      <c r="G62" t="s" s="31">
        <f>F62&amp;"_"&amp;J62&amp;"_"&amp;Z62</f>
        <v>606</v>
      </c>
      <c r="H62" t="s" s="32">
        <v>600</v>
      </c>
      <c r="I62" t="s" s="30">
        <v>8</v>
      </c>
      <c r="J62" t="s" s="30">
        <v>609</v>
      </c>
      <c r="K62" t="s" s="30">
        <v>541</v>
      </c>
      <c r="L62" s="30"/>
      <c r="M62" t="s" s="30">
        <v>601</v>
      </c>
      <c r="N62" t="s" s="30">
        <v>543</v>
      </c>
      <c r="O62" s="30"/>
      <c r="P62" t="s" s="30">
        <v>544</v>
      </c>
      <c r="Q62" t="s" s="30">
        <v>610</v>
      </c>
      <c r="R62" t="s" s="30">
        <v>602</v>
      </c>
      <c r="S62" s="30"/>
      <c r="T62" s="30"/>
      <c r="U62" s="30"/>
      <c r="V62" s="30"/>
      <c r="W62" s="30"/>
      <c r="X62" s="30"/>
      <c r="Y62" s="30"/>
      <c r="Z62" t="s" s="30">
        <v>325</v>
      </c>
      <c r="AA62" t="s" s="30">
        <v>611</v>
      </c>
      <c r="AB62" t="s" s="31">
        <v>548</v>
      </c>
      <c r="AC62" t="s" s="30">
        <v>612</v>
      </c>
      <c r="AD62" t="b" s="35">
        <v>0</v>
      </c>
      <c r="AE62" t="b" s="35">
        <v>1</v>
      </c>
      <c r="AF62" t="s" s="58">
        <v>550</v>
      </c>
      <c r="AG62" t="s" s="37">
        <v>551</v>
      </c>
      <c r="AH62" s="49">
        <v>10</v>
      </c>
      <c r="AI62" t="s" s="39">
        <v>343</v>
      </c>
      <c r="AJ62" t="s" s="31">
        <v>428</v>
      </c>
      <c r="AK62" t="s" s="31">
        <v>176</v>
      </c>
      <c r="AL62" s="53">
        <v>0</v>
      </c>
      <c r="AM62" s="41">
        <v>4000</v>
      </c>
      <c r="AN62" s="42">
        <v>0.0042</v>
      </c>
      <c r="AO62" s="43">
        <f>AM62*AN62</f>
        <v>16.8</v>
      </c>
      <c r="AP62" t="s" s="30">
        <v>605</v>
      </c>
    </row>
    <row r="63" ht="18.05" customHeight="1">
      <c r="B63" t="s" s="26">
        <f>IF(OR(AI63="ACTIVE",AI63="AVAILABLE",AI63="reserve",AI63="DNP"),G63,"")</f>
        <v>613</v>
      </c>
      <c r="C63" t="s" s="27">
        <f>$J63&amp;IF($F63="LED"," LED","")&amp;IF($L63="",""," ")&amp;$L63&amp;IF($K63="",""," ")&amp;$K63&amp;IF($M63="",""," ")&amp;$M63&amp;IF($N63="",""," ")&amp;$N63&amp;IF($O63="",""," ")&amp;$O63&amp;IF($R63="",""," ")&amp;$R63&amp;IF($R63="","","mcd")</f>
        <v>614</v>
      </c>
      <c r="D63" t="s" s="28">
        <f>$J63&amp;" "&amp;F63&amp;IF($L63="",""," ")&amp;$L63&amp;IF($K63="",""," ")&amp;$K63&amp;IF($M63="",""," ")&amp;$M63&amp;IF($N63="",""," ")&amp;$N63&amp;IF($O63="",""," ")&amp;$O63&amp;IF($R63="",""," ")&amp;$R63&amp;IF($R63="","","mcd")</f>
        <v>614</v>
      </c>
      <c r="E63" t="s" s="29">
        <f>IF(ISBLANK(AA63),"",HYPERLINK("https://jlcpcb.com/partdetail/"&amp;$AA63,$AA63))</f>
        <v>615</v>
      </c>
      <c r="F63" t="s" s="30">
        <v>538</v>
      </c>
      <c r="G63" t="s" s="31">
        <f>F63&amp;"_"&amp;J63&amp;"_"&amp;Z63</f>
        <v>613</v>
      </c>
      <c r="H63" t="s" s="32">
        <v>616</v>
      </c>
      <c r="I63" t="s" s="30">
        <v>8</v>
      </c>
      <c r="J63" t="s" s="30">
        <v>617</v>
      </c>
      <c r="K63" t="s" s="30">
        <v>541</v>
      </c>
      <c r="L63" s="30"/>
      <c r="M63" t="s" s="30">
        <v>601</v>
      </c>
      <c r="N63" t="s" s="30">
        <v>543</v>
      </c>
      <c r="O63" s="30"/>
      <c r="P63" t="s" s="30">
        <v>544</v>
      </c>
      <c r="Q63" t="s" s="30">
        <v>618</v>
      </c>
      <c r="R63" t="s" s="30">
        <v>619</v>
      </c>
      <c r="S63" s="30"/>
      <c r="T63" s="30"/>
      <c r="U63" s="30"/>
      <c r="V63" s="30"/>
      <c r="W63" s="30"/>
      <c r="X63" s="30"/>
      <c r="Y63" s="30"/>
      <c r="Z63" t="s" s="30">
        <v>325</v>
      </c>
      <c r="AA63" t="s" s="30">
        <v>620</v>
      </c>
      <c r="AB63" t="s" s="31">
        <v>548</v>
      </c>
      <c r="AC63" t="s" s="30">
        <v>621</v>
      </c>
      <c r="AD63" t="b" s="35">
        <v>0</v>
      </c>
      <c r="AE63" t="b" s="35">
        <v>1</v>
      </c>
      <c r="AF63" t="s" s="58">
        <v>550</v>
      </c>
      <c r="AG63" t="s" s="37">
        <v>551</v>
      </c>
      <c r="AH63" s="49">
        <v>10</v>
      </c>
      <c r="AI63" t="s" s="39">
        <v>160</v>
      </c>
      <c r="AJ63" t="s" s="31">
        <v>428</v>
      </c>
      <c r="AK63" t="s" s="31">
        <v>176</v>
      </c>
      <c r="AL63" s="53">
        <v>0</v>
      </c>
      <c r="AM63" s="41">
        <v>4000</v>
      </c>
      <c r="AN63" s="42">
        <v>0.0042</v>
      </c>
      <c r="AO63" s="43">
        <f>AM63*AN63</f>
        <v>16.8</v>
      </c>
      <c r="AP63" t="s" s="30">
        <v>622</v>
      </c>
    </row>
    <row r="64" ht="18.9" customHeight="1">
      <c r="B64" t="s" s="26">
        <f>IF(OR(AI64="ACTIVE",AI64="AVAILABLE",AI64="reserve",AI64="DNP"),G64,"")</f>
        <v>623</v>
      </c>
      <c r="C64" t="s" s="27">
        <f>$J64&amp;IF($F64="LED"," LED","")&amp;IF($L64="",""," ")&amp;$L64&amp;IF($K64="",""," ")&amp;$K64&amp;IF($M64="",""," ")&amp;$M64&amp;IF($N64="",""," ")&amp;$N64&amp;IF($O64="",""," ")&amp;$O64&amp;IF($R64="",""," ")&amp;$R64&amp;IF($R64="","","mcd")</f>
        <v>624</v>
      </c>
      <c r="D64" t="s" s="28">
        <f>$J64&amp;" "&amp;F64&amp;IF($L64="",""," ")&amp;$L64&amp;IF($K64="",""," ")&amp;$K64&amp;IF($M64="",""," ")&amp;$M64&amp;IF($N64="",""," ")&amp;$N64&amp;IF($O64="",""," ")&amp;$O64&amp;IF($R64="",""," ")&amp;$R64&amp;IF($R64="","","mcd")</f>
        <v>624</v>
      </c>
      <c r="E64" t="s" s="29">
        <f>IF(ISBLANK(AA64),"",HYPERLINK("https://jlcpcb.com/partdetail/"&amp;$AA64,$AA64))</f>
        <v>625</v>
      </c>
      <c r="F64" t="s" s="30">
        <v>538</v>
      </c>
      <c r="G64" t="s" s="31">
        <f>F64&amp;"_"&amp;J64&amp;"_"&amp;Z64</f>
        <v>623</v>
      </c>
      <c r="H64" t="s" s="32">
        <v>626</v>
      </c>
      <c r="I64" t="s" s="30">
        <v>8</v>
      </c>
      <c r="J64" t="s" s="30">
        <v>627</v>
      </c>
      <c r="K64" t="s" s="30">
        <v>541</v>
      </c>
      <c r="L64" s="30"/>
      <c r="M64" t="s" s="30">
        <v>590</v>
      </c>
      <c r="N64" t="s" s="30">
        <v>543</v>
      </c>
      <c r="O64" s="30"/>
      <c r="P64" s="30"/>
      <c r="Q64" s="30"/>
      <c r="R64" t="s" s="30">
        <v>628</v>
      </c>
      <c r="S64" s="30"/>
      <c r="T64" s="30"/>
      <c r="U64" s="30"/>
      <c r="V64" s="30"/>
      <c r="W64" s="30"/>
      <c r="X64" s="30"/>
      <c r="Y64" s="30"/>
      <c r="Z64" t="s" s="30">
        <v>325</v>
      </c>
      <c r="AA64" t="s" s="30">
        <v>629</v>
      </c>
      <c r="AB64" t="s" s="31">
        <v>630</v>
      </c>
      <c r="AC64" t="s" s="30">
        <v>631</v>
      </c>
      <c r="AD64" t="b" s="35">
        <v>0</v>
      </c>
      <c r="AE64" t="b" s="35">
        <v>0</v>
      </c>
      <c r="AF64" t="s" s="36">
        <v>550</v>
      </c>
      <c r="AG64" t="s" s="37">
        <v>551</v>
      </c>
      <c r="AH64" s="49">
        <v>2</v>
      </c>
      <c r="AI64" t="s" s="39">
        <v>343</v>
      </c>
      <c r="AJ64" t="s" s="50">
        <v>331</v>
      </c>
      <c r="AK64" t="s" s="31">
        <v>332</v>
      </c>
      <c r="AL64" s="40">
        <v>4000</v>
      </c>
      <c r="AM64" s="41">
        <v>4000</v>
      </c>
      <c r="AN64" s="42">
        <v>0.0638</v>
      </c>
      <c r="AO64" s="51">
        <f>AM64*AN64</f>
        <v>255.2</v>
      </c>
      <c r="AP64" t="s" s="30">
        <v>632</v>
      </c>
    </row>
    <row r="65" ht="18.9" customHeight="1">
      <c r="B65" t="s" s="26">
        <f>IF(OR(AI65="ACTIVE",AI65="AVAILABLE",AI65="reserve",AI65="DNP"),G65,"")</f>
        <v>623</v>
      </c>
      <c r="C65" t="s" s="27">
        <f>$J65&amp;IF($F65="LED"," LED","")&amp;IF($L65="",""," ")&amp;$L65&amp;IF($K65="",""," ")&amp;$K65&amp;IF($M65="",""," ")&amp;$M65&amp;IF($N65="",""," ")&amp;$N65&amp;IF($O65="",""," ")&amp;$O65&amp;IF($R65="",""," ")&amp;$R65&amp;IF($R65="","","mcd")</f>
        <v>633</v>
      </c>
      <c r="D65" t="s" s="28">
        <f>$J65&amp;" "&amp;F65&amp;IF($L65="",""," ")&amp;$L65&amp;IF($K65="",""," ")&amp;$K65&amp;IF($M65="",""," ")&amp;$M65&amp;IF($N65="",""," ")&amp;$N65&amp;IF($O65="",""," ")&amp;$O65&amp;IF($R65="",""," ")&amp;$R65&amp;IF($R65="","","mcd")</f>
        <v>633</v>
      </c>
      <c r="E65" t="s" s="29">
        <f>IF(ISBLANK(AA65),"",HYPERLINK("https://jlcpcb.com/partdetail/"&amp;$AA65,$AA65))</f>
        <v>634</v>
      </c>
      <c r="F65" t="s" s="30">
        <v>538</v>
      </c>
      <c r="G65" t="s" s="31">
        <f>F65&amp;"_"&amp;J65&amp;"_"&amp;Z65</f>
        <v>623</v>
      </c>
      <c r="H65" t="s" s="32">
        <v>635</v>
      </c>
      <c r="I65" t="s" s="30">
        <v>8</v>
      </c>
      <c r="J65" t="s" s="30">
        <v>627</v>
      </c>
      <c r="K65" t="s" s="30">
        <v>541</v>
      </c>
      <c r="L65" s="30"/>
      <c r="M65" t="s" s="30">
        <v>601</v>
      </c>
      <c r="N65" t="s" s="30">
        <v>543</v>
      </c>
      <c r="O65" s="30"/>
      <c r="P65" s="30"/>
      <c r="Q65" s="30"/>
      <c r="R65" t="s" s="30">
        <v>636</v>
      </c>
      <c r="S65" s="30"/>
      <c r="T65" s="30"/>
      <c r="U65" s="30"/>
      <c r="V65" s="30"/>
      <c r="W65" s="30"/>
      <c r="X65" s="30"/>
      <c r="Y65" s="30"/>
      <c r="Z65" t="s" s="30">
        <v>325</v>
      </c>
      <c r="AA65" t="s" s="30">
        <v>637</v>
      </c>
      <c r="AB65" t="s" s="31">
        <v>548</v>
      </c>
      <c r="AC65" t="s" s="30">
        <v>638</v>
      </c>
      <c r="AD65" t="b" s="35">
        <v>0</v>
      </c>
      <c r="AE65" t="b" s="35">
        <v>0</v>
      </c>
      <c r="AF65" t="s" s="36">
        <v>550</v>
      </c>
      <c r="AG65" t="s" s="37">
        <v>551</v>
      </c>
      <c r="AH65" s="49">
        <v>1</v>
      </c>
      <c r="AI65" t="s" s="39">
        <v>34</v>
      </c>
      <c r="AJ65" t="s" s="50">
        <v>331</v>
      </c>
      <c r="AK65" t="s" s="31">
        <v>332</v>
      </c>
      <c r="AL65" s="40">
        <v>5980</v>
      </c>
      <c r="AM65" s="41">
        <v>8000</v>
      </c>
      <c r="AN65" s="42">
        <v>0.0018</v>
      </c>
      <c r="AO65" s="51">
        <f>AM65*AN65</f>
        <v>14.4</v>
      </c>
      <c r="AP65" t="s" s="30">
        <v>639</v>
      </c>
    </row>
    <row r="66" ht="18.05" customHeight="1">
      <c r="B66" t="s" s="26">
        <f>IF(OR(AI66="ACTIVE",AI66="AVAILABLE",AI66="reserve",AI66="DNP"),G66,"")</f>
        <v>640</v>
      </c>
      <c r="C66" t="s" s="27">
        <f>$J66&amp;IF($F66="LED"," LED","")&amp;IF($L66="",""," ")&amp;$L66&amp;IF($K66="",""," ")&amp;$K66&amp;IF($M66="",""," ")&amp;$M66&amp;IF($N66="",""," ")&amp;$N66&amp;IF($O66="",""," ")&amp;$O66&amp;IF($R66="",""," ")&amp;$R66&amp;IF($R66="","","mcd")</f>
        <v>641</v>
      </c>
      <c r="D66" t="s" s="28">
        <f>$J66&amp;" "&amp;F66&amp;IF($L66="",""," ")&amp;$L66&amp;IF($K66="",""," ")&amp;$K66&amp;IF($M66="",""," ")&amp;$M66&amp;IF($N66="",""," ")&amp;$N66&amp;IF($O66="",""," ")&amp;$O66&amp;IF($R66="",""," ")&amp;$R66&amp;IF($R66="","","mcd")</f>
        <v>641</v>
      </c>
      <c r="E66" t="s" s="29">
        <f>IF(ISBLANK(AA66),"",HYPERLINK("https://jlcpcb.com/partdetail/"&amp;$AA66,$AA66))</f>
        <v>642</v>
      </c>
      <c r="F66" t="s" s="30">
        <v>538</v>
      </c>
      <c r="G66" t="s" s="31">
        <f>F66&amp;"_"&amp;J66&amp;"_"&amp;Z66</f>
        <v>640</v>
      </c>
      <c r="H66" t="s" s="32">
        <v>643</v>
      </c>
      <c r="I66" t="s" s="30">
        <v>8</v>
      </c>
      <c r="J66" t="s" s="30">
        <v>644</v>
      </c>
      <c r="K66" t="s" s="30">
        <v>541</v>
      </c>
      <c r="L66" s="30"/>
      <c r="M66" t="s" s="30">
        <v>580</v>
      </c>
      <c r="N66" t="s" s="30">
        <v>543</v>
      </c>
      <c r="O66" s="30"/>
      <c r="P66" t="s" s="30">
        <v>544</v>
      </c>
      <c r="Q66" t="s" s="30">
        <v>645</v>
      </c>
      <c r="R66" t="s" s="30">
        <v>646</v>
      </c>
      <c r="S66" s="30"/>
      <c r="T66" s="30"/>
      <c r="U66" s="30"/>
      <c r="V66" s="30"/>
      <c r="W66" s="30"/>
      <c r="X66" s="30"/>
      <c r="Y66" s="30"/>
      <c r="Z66" t="s" s="30">
        <v>325</v>
      </c>
      <c r="AA66" t="s" s="30">
        <v>647</v>
      </c>
      <c r="AB66" t="s" s="31">
        <v>548</v>
      </c>
      <c r="AC66" t="s" s="62">
        <v>648</v>
      </c>
      <c r="AD66" t="b" s="35">
        <v>0</v>
      </c>
      <c r="AE66" t="b" s="35">
        <v>1</v>
      </c>
      <c r="AF66" t="s" s="58">
        <v>550</v>
      </c>
      <c r="AG66" t="s" s="37">
        <v>551</v>
      </c>
      <c r="AH66" s="49">
        <v>3</v>
      </c>
      <c r="AI66" t="s" s="39">
        <v>343</v>
      </c>
      <c r="AJ66" t="s" s="31">
        <v>428</v>
      </c>
      <c r="AK66" t="s" s="31">
        <v>176</v>
      </c>
      <c r="AL66" s="53">
        <v>0</v>
      </c>
      <c r="AM66" s="41">
        <v>4000</v>
      </c>
      <c r="AN66" s="42">
        <v>0.0029</v>
      </c>
      <c r="AO66" s="43">
        <f>AM66*AN66</f>
        <v>11.6</v>
      </c>
      <c r="AP66" t="s" s="30">
        <v>649</v>
      </c>
    </row>
    <row r="67" ht="18.05" customHeight="1">
      <c r="B67" t="s" s="26">
        <f>IF(OR(AI67="ACTIVE",AI67="AVAILABLE",AI67="reserve",AI67="DNP"),G67,"")</f>
        <v>650</v>
      </c>
      <c r="C67" t="s" s="27">
        <f>$J67&amp;IF($F67="LED"," LED","")&amp;IF($L67="",""," ")&amp;$L67&amp;IF($K67="",""," ")&amp;$K67&amp;IF($M67="",""," ")&amp;$M67&amp;IF($N67="",""," ")&amp;$N67&amp;IF($O67="",""," ")&amp;$O67&amp;IF($R67="",""," ")&amp;$R67&amp;IF($R67="","","mcd")</f>
        <v>651</v>
      </c>
      <c r="D67" t="s" s="28">
        <f>$J67&amp;" "&amp;F67&amp;IF($L67="",""," ")&amp;$L67&amp;IF($K67="",""," ")&amp;$K67&amp;IF($M67="",""," ")&amp;$M67&amp;IF($N67="",""," ")&amp;$N67&amp;IF($O67="",""," ")&amp;$O67&amp;IF($R67="",""," ")&amp;$R67&amp;IF($R67="","","mcd")</f>
        <v>651</v>
      </c>
      <c r="E67" t="s" s="29">
        <f>IF(ISBLANK(AA67),"",HYPERLINK("https://jlcpcb.com/partdetail/"&amp;$AA67,$AA67))</f>
        <v>652</v>
      </c>
      <c r="F67" t="s" s="30">
        <v>538</v>
      </c>
      <c r="G67" t="s" s="31">
        <f>F67&amp;"_"&amp;J67&amp;"_"&amp;Z67</f>
        <v>650</v>
      </c>
      <c r="H67" t="s" s="54">
        <v>653</v>
      </c>
      <c r="I67" t="s" s="30">
        <v>8</v>
      </c>
      <c r="J67" t="s" s="30">
        <v>654</v>
      </c>
      <c r="K67" t="s" s="30">
        <v>655</v>
      </c>
      <c r="L67" s="30"/>
      <c r="M67" t="s" s="30">
        <v>656</v>
      </c>
      <c r="N67" t="s" s="30">
        <v>657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t="s" s="30">
        <v>658</v>
      </c>
      <c r="AA67" t="s" s="55">
        <v>659</v>
      </c>
      <c r="AB67" t="s" s="31">
        <v>548</v>
      </c>
      <c r="AC67" t="s" s="55">
        <v>660</v>
      </c>
      <c r="AD67" t="b" s="35">
        <v>0</v>
      </c>
      <c r="AE67" t="b" s="35">
        <v>1</v>
      </c>
      <c r="AF67" t="s" s="36">
        <v>661</v>
      </c>
      <c r="AG67" t="s" s="37">
        <v>661</v>
      </c>
      <c r="AH67" s="49">
        <v>1</v>
      </c>
      <c r="AI67" t="s" s="39">
        <v>34</v>
      </c>
      <c r="AJ67" t="s" s="52">
        <v>35</v>
      </c>
      <c r="AK67" t="s" s="31">
        <v>332</v>
      </c>
      <c r="AL67" s="53">
        <v>5000</v>
      </c>
      <c r="AM67" s="41">
        <v>5000</v>
      </c>
      <c r="AN67" s="42">
        <v>0.033</v>
      </c>
      <c r="AO67" s="43">
        <f>AM67*AN67</f>
        <v>165</v>
      </c>
      <c r="AP67" t="s" s="30">
        <v>662</v>
      </c>
    </row>
    <row r="68" ht="19" customHeight="1">
      <c r="B68" t="s" s="26">
        <f>IF(OR(AI68="ACTIVE",AI68="AVAILABLE",AI68="reserve",AI68="DNP"),G68,"")</f>
        <v>663</v>
      </c>
      <c r="C68" t="s" s="27">
        <f>$J68&amp;IF($F68="LED"," LED","")&amp;IF($L68="",""," ")&amp;$L68&amp;IF($K68="",""," ")&amp;$K68&amp;IF($M68="",""," ")&amp;$M68&amp;IF($N68="",""," ")&amp;$N68&amp;IF($O68="",""," ")&amp;$O68&amp;IF($R68="",""," ")&amp;$R68&amp;IF($R68="","","mcd")</f>
        <v>664</v>
      </c>
      <c r="D68" t="s" s="28">
        <f>$J68&amp;" "&amp;F68&amp;IF($L68="",""," ")&amp;$L68&amp;IF($K68="",""," ")&amp;$K68&amp;IF($M68="",""," ")&amp;$M68&amp;IF($N68="",""," ")&amp;$N68&amp;IF($O68="",""," ")&amp;$O68&amp;IF($R68="",""," ")&amp;$R68&amp;IF($R68="","","mcd")</f>
        <v>665</v>
      </c>
      <c r="E68" t="s" s="29">
        <f>IF(ISBLANK(AA68),"",HYPERLINK("https://jlcpcb.com/partdetail/"&amp;$AA68,$AA68))</f>
        <v>666</v>
      </c>
      <c r="F68" t="s" s="30">
        <v>667</v>
      </c>
      <c r="G68" t="s" s="31">
        <f>F68&amp;"_"&amp;J68&amp;"_"&amp;Z68</f>
        <v>663</v>
      </c>
      <c r="H68" t="s" s="54">
        <v>668</v>
      </c>
      <c r="I68" t="s" s="30">
        <v>8</v>
      </c>
      <c r="J68" t="s" s="30">
        <v>669</v>
      </c>
      <c r="K68" t="s" s="30">
        <v>670</v>
      </c>
      <c r="L68" s="30"/>
      <c r="M68" t="s" s="30">
        <v>671</v>
      </c>
      <c r="N68" t="s" s="55">
        <v>672</v>
      </c>
      <c r="O68" s="55"/>
      <c r="P68" s="55"/>
      <c r="Q68" s="55"/>
      <c r="R68" s="30"/>
      <c r="S68" s="30"/>
      <c r="T68" s="30"/>
      <c r="U68" s="30"/>
      <c r="V68" s="30"/>
      <c r="W68" s="30"/>
      <c r="X68" s="30"/>
      <c r="Y68" s="32"/>
      <c r="Z68" t="s" s="32">
        <v>673</v>
      </c>
      <c r="AA68" t="s" s="32">
        <v>674</v>
      </c>
      <c r="AB68" t="s" s="47">
        <v>675</v>
      </c>
      <c r="AC68" t="s" s="32">
        <v>669</v>
      </c>
      <c r="AD68" t="b" s="35">
        <v>0</v>
      </c>
      <c r="AE68" t="b" s="35">
        <v>1</v>
      </c>
      <c r="AF68" t="s" s="31">
        <v>676</v>
      </c>
      <c r="AG68" t="s" s="37">
        <v>677</v>
      </c>
      <c r="AH68" s="49">
        <v>10</v>
      </c>
      <c r="AI68" t="s" s="39">
        <v>160</v>
      </c>
      <c r="AJ68" t="s" s="31">
        <v>428</v>
      </c>
      <c r="AK68" t="s" s="31">
        <v>176</v>
      </c>
      <c r="AL68" s="53">
        <v>0</v>
      </c>
      <c r="AM68" s="41">
        <v>300</v>
      </c>
      <c r="AN68" s="42">
        <v>0.0294</v>
      </c>
      <c r="AO68" s="43">
        <f>AM68*AN68</f>
        <v>8.82</v>
      </c>
      <c r="AP68" t="s" s="30">
        <v>678</v>
      </c>
    </row>
    <row r="69" ht="19" customHeight="1">
      <c r="B69" t="s" s="26">
        <f>IF(OR(AI69="ACTIVE",AI69="AVAILABLE",AI69="reserve",AI69="DNP"),G69,"")</f>
        <v>679</v>
      </c>
      <c r="C69" t="s" s="27">
        <f>$J69&amp;IF($F69="LED"," LED","")&amp;IF($L69="",""," ")&amp;$L69&amp;IF($K69="",""," ")&amp;$K69&amp;IF($M69="",""," ")&amp;$M69&amp;IF($N69="",""," ")&amp;$N69&amp;IF($O69="",""," ")&amp;$O69&amp;IF($R69="",""," ")&amp;$R69&amp;IF($R69="","","mcd")</f>
        <v>680</v>
      </c>
      <c r="D69" t="s" s="28">
        <f>$J69&amp;" "&amp;F69&amp;IF($L69="",""," ")&amp;$L69&amp;IF($K69="",""," ")&amp;$K69&amp;IF($M69="",""," ")&amp;$M69&amp;IF($N69="",""," ")&amp;$N69&amp;IF($O69="",""," ")&amp;$O69&amp;IF($R69="",""," ")&amp;$R69&amp;IF($R69="","","mcd")</f>
        <v>681</v>
      </c>
      <c r="E69" t="s" s="29">
        <f>IF(ISBLANK(AA69),"",HYPERLINK("https://jlcpcb.com/partdetail/"&amp;$AA69,$AA69))</f>
        <v>682</v>
      </c>
      <c r="F69" t="s" s="30">
        <v>667</v>
      </c>
      <c r="G69" t="s" s="31">
        <f>F69&amp;"_"&amp;J69&amp;"_"&amp;Z69</f>
        <v>679</v>
      </c>
      <c r="H69" t="s" s="54">
        <v>683</v>
      </c>
      <c r="I69" t="s" s="30">
        <v>8</v>
      </c>
      <c r="J69" t="s" s="30">
        <v>684</v>
      </c>
      <c r="K69" t="s" s="30">
        <v>685</v>
      </c>
      <c r="L69" s="30"/>
      <c r="M69" t="s" s="30">
        <v>685</v>
      </c>
      <c r="N69" t="s" s="55">
        <v>672</v>
      </c>
      <c r="O69" s="55"/>
      <c r="P69" s="55"/>
      <c r="Q69" s="55"/>
      <c r="R69" s="30"/>
      <c r="S69" s="30"/>
      <c r="T69" s="30"/>
      <c r="U69" s="30"/>
      <c r="V69" s="30"/>
      <c r="W69" s="30"/>
      <c r="X69" s="30"/>
      <c r="Y69" s="32"/>
      <c r="Z69" t="s" s="32">
        <v>673</v>
      </c>
      <c r="AA69" t="s" s="32">
        <v>686</v>
      </c>
      <c r="AB69" t="s" s="47">
        <v>675</v>
      </c>
      <c r="AC69" t="s" s="32">
        <v>684</v>
      </c>
      <c r="AD69" t="b" s="35">
        <v>0</v>
      </c>
      <c r="AE69" t="b" s="35">
        <v>1</v>
      </c>
      <c r="AF69" t="s" s="31">
        <v>676</v>
      </c>
      <c r="AG69" t="s" s="37">
        <v>677</v>
      </c>
      <c r="AH69" s="49">
        <v>10</v>
      </c>
      <c r="AI69" t="s" s="39">
        <v>160</v>
      </c>
      <c r="AJ69" t="s" s="31">
        <v>428</v>
      </c>
      <c r="AK69" t="s" s="31">
        <v>176</v>
      </c>
      <c r="AL69" s="53">
        <v>0</v>
      </c>
      <c r="AM69" s="41">
        <v>300</v>
      </c>
      <c r="AN69" s="42">
        <v>0.0273</v>
      </c>
      <c r="AO69" s="43">
        <f>AM69*AN69</f>
        <v>8.19</v>
      </c>
      <c r="AP69" t="s" s="30">
        <v>687</v>
      </c>
    </row>
    <row r="70" ht="19" customHeight="1">
      <c r="B70" t="s" s="26">
        <f>IF(OR(AI70="ACTIVE",AI70="AVAILABLE",AI70="reserve",AI70="DNP"),G70,"")</f>
        <v>688</v>
      </c>
      <c r="C70" t="s" s="27">
        <f>$J70&amp;IF($F70="LED"," LED","")&amp;IF($L70="",""," ")&amp;$L70&amp;IF($K70="",""," ")&amp;$K70&amp;IF($M70="",""," ")&amp;$M70&amp;IF($N70="",""," ")&amp;$N70&amp;IF($O70="",""," ")&amp;$O70&amp;IF($R70="",""," ")&amp;$R70&amp;IF($R70="","","mcd")</f>
        <v>689</v>
      </c>
      <c r="D70" t="s" s="28">
        <f>$J70&amp;" "&amp;F70&amp;IF($L70="",""," ")&amp;$L70&amp;IF($K70="",""," ")&amp;$K70&amp;IF($M70="",""," ")&amp;$M70&amp;IF($N70="",""," ")&amp;$N70&amp;IF($O70="",""," ")&amp;$O70&amp;IF($R70="",""," ")&amp;$R70&amp;IF($R70="","","mcd")</f>
        <v>690</v>
      </c>
      <c r="E70" t="s" s="29">
        <f>IF(ISBLANK(AA70),"",HYPERLINK("https://jlcpcb.com/partdetail/"&amp;$AA70,$AA70))</f>
        <v>691</v>
      </c>
      <c r="F70" t="s" s="30">
        <v>667</v>
      </c>
      <c r="G70" t="s" s="31">
        <f>F70&amp;"_"&amp;J70&amp;"_"&amp;Z70</f>
        <v>688</v>
      </c>
      <c r="H70" t="s" s="54">
        <v>692</v>
      </c>
      <c r="I70" t="s" s="30">
        <v>8</v>
      </c>
      <c r="J70" t="s" s="30">
        <v>693</v>
      </c>
      <c r="K70" t="s" s="30">
        <v>656</v>
      </c>
      <c r="L70" s="30"/>
      <c r="M70" t="s" s="30">
        <v>694</v>
      </c>
      <c r="N70" t="s" s="55">
        <v>672</v>
      </c>
      <c r="O70" s="55"/>
      <c r="P70" s="55"/>
      <c r="Q70" s="55"/>
      <c r="R70" s="30"/>
      <c r="S70" s="30"/>
      <c r="T70" s="30"/>
      <c r="U70" s="30"/>
      <c r="V70" s="30"/>
      <c r="W70" s="30"/>
      <c r="X70" s="30"/>
      <c r="Y70" s="32"/>
      <c r="Z70" t="s" s="32">
        <v>673</v>
      </c>
      <c r="AA70" t="s" s="32">
        <v>695</v>
      </c>
      <c r="AB70" t="s" s="47">
        <v>675</v>
      </c>
      <c r="AC70" t="s" s="32">
        <v>693</v>
      </c>
      <c r="AD70" t="b" s="35">
        <v>0</v>
      </c>
      <c r="AE70" t="b" s="35">
        <v>1</v>
      </c>
      <c r="AF70" t="s" s="31">
        <v>676</v>
      </c>
      <c r="AG70" t="s" s="37">
        <v>677</v>
      </c>
      <c r="AH70" s="49">
        <v>1</v>
      </c>
      <c r="AI70" t="s" s="39">
        <v>34</v>
      </c>
      <c r="AJ70" t="s" s="31">
        <v>35</v>
      </c>
      <c r="AK70" t="s" s="31">
        <v>176</v>
      </c>
      <c r="AL70" s="53">
        <v>500</v>
      </c>
      <c r="AM70" s="41">
        <v>300</v>
      </c>
      <c r="AN70" s="42">
        <v>0.0281</v>
      </c>
      <c r="AO70" s="43">
        <f>AM70*AN70</f>
        <v>8.43</v>
      </c>
      <c r="AP70" t="s" s="30">
        <v>696</v>
      </c>
    </row>
    <row r="71" ht="19" customHeight="1">
      <c r="B71" t="s" s="26">
        <f>IF(OR(AI71="ACTIVE",AI71="AVAILABLE",AI71="reserve",AI71="DNP"),G71,"")</f>
        <v>697</v>
      </c>
      <c r="C71" t="s" s="27">
        <f>$J71&amp;IF($F71="LED"," LED","")&amp;IF($L71="",""," ")&amp;$L71&amp;IF($K71="",""," ")&amp;$K71&amp;IF($M71="",""," ")&amp;$M71&amp;IF($N71="",""," ")&amp;$N71&amp;IF($O71="",""," ")&amp;$O71&amp;IF($R71="",""," ")&amp;$R71&amp;IF($R71="","","mcd")</f>
        <v>698</v>
      </c>
      <c r="D71" t="s" s="28">
        <f>$J71&amp;" "&amp;F71&amp;IF($L71="",""," ")&amp;$L71&amp;IF($K71="",""," ")&amp;$K71&amp;IF($M71="",""," ")&amp;$M71&amp;IF($N71="",""," ")&amp;$N71&amp;IF($O71="",""," ")&amp;$O71&amp;IF($R71="",""," ")&amp;$R71&amp;IF($R71="","","mcd")</f>
        <v>699</v>
      </c>
      <c r="E71" t="s" s="29">
        <f>IF(ISBLANK(AA71),"",HYPERLINK("https://jlcpcb.com/partdetail/"&amp;$AA71,$AA71))</f>
      </c>
      <c r="F71" t="s" s="30">
        <v>667</v>
      </c>
      <c r="G71" t="s" s="31">
        <f>F71&amp;"_"&amp;J71&amp;"_"&amp;Z71</f>
        <v>697</v>
      </c>
      <c r="H71" t="s" s="54">
        <v>700</v>
      </c>
      <c r="I71" t="s" s="30">
        <v>149</v>
      </c>
      <c r="J71" t="s" s="55">
        <v>701</v>
      </c>
      <c r="K71" t="s" s="30">
        <v>656</v>
      </c>
      <c r="L71" s="30"/>
      <c r="M71" s="30"/>
      <c r="N71" s="55"/>
      <c r="O71" s="55"/>
      <c r="P71" s="55"/>
      <c r="Q71" s="55"/>
      <c r="R71" s="30"/>
      <c r="S71" s="30"/>
      <c r="T71" s="30"/>
      <c r="U71" s="30"/>
      <c r="V71" s="30"/>
      <c r="W71" s="30"/>
      <c r="X71" s="30"/>
      <c r="Y71" s="32"/>
      <c r="Z71" t="s" s="32">
        <v>702</v>
      </c>
      <c r="AA71" s="44"/>
      <c r="AB71" s="63"/>
      <c r="AC71" s="44"/>
      <c r="AD71" s="33"/>
      <c r="AE71" s="33"/>
      <c r="AF71" s="34"/>
      <c r="AG71" s="64"/>
      <c r="AH71" s="49">
        <v>10</v>
      </c>
      <c r="AI71" t="s" s="39">
        <v>51</v>
      </c>
      <c r="AJ71" s="34"/>
      <c r="AK71" s="34"/>
      <c r="AL71" s="53"/>
      <c r="AM71" s="41"/>
      <c r="AN71" s="42"/>
      <c r="AO71" s="43">
        <f>AM71*AN71</f>
        <v>0</v>
      </c>
      <c r="AP71" s="33"/>
    </row>
    <row r="72" ht="19" customHeight="1">
      <c r="B72" t="s" s="26">
        <f>IF(OR(AI72="ACTIVE",AI72="AVAILABLE",AI72="reserve",AI72="DNP"),G72,"")</f>
        <v>703</v>
      </c>
      <c r="C72" t="s" s="27">
        <f>$J72&amp;IF($F72="LED"," LED","")&amp;IF($L72="",""," ")&amp;$L72&amp;IF($K72="",""," ")&amp;$K72&amp;IF($M72="",""," ")&amp;$M72&amp;IF($N72="",""," ")&amp;$N72&amp;IF($O72="",""," ")&amp;$O72&amp;IF($R72="",""," ")&amp;$R72&amp;IF($R72="","","mcd")</f>
        <v>704</v>
      </c>
      <c r="D72" t="s" s="28">
        <f>$J72&amp;" "&amp;F72&amp;IF($L72="",""," ")&amp;$L72&amp;IF($K72="",""," ")&amp;$K72&amp;IF($M72="",""," ")&amp;$M72&amp;IF($N72="",""," ")&amp;$N72&amp;IF($O72="",""," ")&amp;$O72&amp;IF($R72="",""," ")&amp;$R72&amp;IF($R72="","","mcd")</f>
        <v>705</v>
      </c>
      <c r="E72" t="s" s="29">
        <f>IF(ISBLANK(AA72),"",HYPERLINK("https://jlcpcb.com/partdetail/"&amp;$AA72,$AA72))</f>
      </c>
      <c r="F72" t="s" s="30">
        <v>706</v>
      </c>
      <c r="G72" t="s" s="31">
        <f>F72&amp;"_"&amp;J72&amp;"_"&amp;Z72</f>
        <v>703</v>
      </c>
      <c r="H72" t="s" s="54">
        <v>707</v>
      </c>
      <c r="I72" t="s" s="30">
        <v>149</v>
      </c>
      <c r="J72" t="s" s="30">
        <v>708</v>
      </c>
      <c r="K72" t="s" s="30">
        <v>709</v>
      </c>
      <c r="L72" s="30"/>
      <c r="M72" t="s" s="30">
        <v>710</v>
      </c>
      <c r="N72" t="s" s="55">
        <v>711</v>
      </c>
      <c r="O72" s="55"/>
      <c r="P72" s="55"/>
      <c r="Q72" s="55"/>
      <c r="R72" s="30"/>
      <c r="S72" s="30"/>
      <c r="T72" s="30"/>
      <c r="U72" s="30"/>
      <c r="V72" s="30"/>
      <c r="W72" s="30"/>
      <c r="X72" s="30"/>
      <c r="Y72" s="32"/>
      <c r="Z72" t="s" s="32">
        <v>712</v>
      </c>
      <c r="AA72" s="44"/>
      <c r="AB72" t="s" s="47">
        <v>713</v>
      </c>
      <c r="AC72" t="s" s="32">
        <v>714</v>
      </c>
      <c r="AD72" t="b" s="35">
        <v>0</v>
      </c>
      <c r="AE72" t="b" s="35">
        <v>1</v>
      </c>
      <c r="AF72" t="s" s="31">
        <v>715</v>
      </c>
      <c r="AG72" t="s" s="37">
        <v>716</v>
      </c>
      <c r="AH72" s="49">
        <v>10</v>
      </c>
      <c r="AI72" t="s" s="39">
        <v>51</v>
      </c>
      <c r="AJ72" t="s" s="52">
        <v>160</v>
      </c>
      <c r="AK72" t="s" s="31">
        <v>53</v>
      </c>
      <c r="AL72" s="53">
        <v>20</v>
      </c>
      <c r="AM72" s="41">
        <v>0</v>
      </c>
      <c r="AN72" s="42"/>
      <c r="AO72" s="43">
        <f>AM72*AN72</f>
        <v>0</v>
      </c>
      <c r="AP72" t="s" s="30">
        <v>717</v>
      </c>
    </row>
    <row r="73" ht="19" customHeight="1">
      <c r="B73" t="s" s="26">
        <f>IF(OR(AI73="ACTIVE",AI73="AVAILABLE",AI73="reserve",AI73="DNP"),G73,"")</f>
        <v>718</v>
      </c>
      <c r="C73" t="s" s="27">
        <f>$J73&amp;IF($F73="LED"," LED","")&amp;IF($L73="",""," ")&amp;$L73&amp;IF($K73="",""," ")&amp;$K73&amp;IF($M73="",""," ")&amp;$M73&amp;IF($N73="",""," ")&amp;$N73&amp;IF($O73="",""," ")&amp;$O73&amp;IF($R73="",""," ")&amp;$R73&amp;IF($R73="","","mcd")</f>
        <v>719</v>
      </c>
      <c r="D73" t="s" s="28">
        <f>$J73&amp;" "&amp;F73&amp;IF($L73="",""," ")&amp;$L73&amp;IF($K73="",""," ")&amp;$K73&amp;IF($M73="",""," ")&amp;$M73&amp;IF($N73="",""," ")&amp;$N73&amp;IF($O73="",""," ")&amp;$O73&amp;IF($R73="",""," ")&amp;$R73&amp;IF($R73="","","mcd")</f>
        <v>720</v>
      </c>
      <c r="E73" t="s" s="29">
        <f>IF(ISBLANK(AA73),"",HYPERLINK("https://jlcpcb.com/partdetail/"&amp;$AA73,$AA73))</f>
      </c>
      <c r="F73" t="s" s="30">
        <v>721</v>
      </c>
      <c r="G73" t="s" s="31">
        <f>F73&amp;"_"&amp;K73&amp;"_"&amp;N73&amp;"_"&amp;Z74&amp;"_"&amp;J73</f>
        <v>718</v>
      </c>
      <c r="H73" t="s" s="54">
        <v>722</v>
      </c>
      <c r="I73" t="s" s="30">
        <v>8</v>
      </c>
      <c r="J73" t="s" s="55">
        <v>723</v>
      </c>
      <c r="K73" t="s" s="30">
        <v>724</v>
      </c>
      <c r="L73" s="30"/>
      <c r="M73" t="s" s="30">
        <v>437</v>
      </c>
      <c r="N73" t="s" s="55">
        <v>725</v>
      </c>
      <c r="O73" t="s" s="55">
        <v>726</v>
      </c>
      <c r="P73" s="55"/>
      <c r="Q73" s="55"/>
      <c r="R73" s="30"/>
      <c r="S73" s="30"/>
      <c r="T73" s="30"/>
      <c r="U73" s="30"/>
      <c r="V73" s="30"/>
      <c r="W73" s="30"/>
      <c r="X73" s="30"/>
      <c r="Y73" s="30"/>
      <c r="Z73" t="s" s="30">
        <v>438</v>
      </c>
      <c r="AA73" s="65"/>
      <c r="AB73" t="s" s="31">
        <v>727</v>
      </c>
      <c r="AC73" t="s" s="55">
        <v>723</v>
      </c>
      <c r="AD73" t="b" s="35">
        <v>0</v>
      </c>
      <c r="AE73" t="b" s="35">
        <v>1</v>
      </c>
      <c r="AF73" t="s" s="31">
        <v>728</v>
      </c>
      <c r="AG73" t="s" s="37">
        <v>442</v>
      </c>
      <c r="AH73" s="49">
        <v>10</v>
      </c>
      <c r="AI73" t="s" s="39">
        <v>34</v>
      </c>
      <c r="AJ73" t="s" s="31">
        <v>428</v>
      </c>
      <c r="AK73" t="s" s="31">
        <v>176</v>
      </c>
      <c r="AL73" s="53">
        <v>0</v>
      </c>
      <c r="AM73" s="41">
        <v>3000</v>
      </c>
      <c r="AN73" s="42"/>
      <c r="AO73" s="43">
        <f>AM73*AN73</f>
        <v>0</v>
      </c>
      <c r="AP73" s="33"/>
    </row>
    <row r="74" ht="19" customHeight="1">
      <c r="B74" t="s" s="26">
        <f>IF(OR(AI74="ACTIVE",AI74="AVAILABLE",AI74="reserve",AI74="DNP"),G74,"")</f>
        <v>729</v>
      </c>
      <c r="C74" t="s" s="27">
        <f>$J74&amp;IF($F74="LED"," LED","")&amp;IF($L74="",""," ")&amp;$L74&amp;IF($K74="",""," ")&amp;$K74&amp;IF($M74="",""," ")&amp;$M74&amp;IF($N74="",""," ")&amp;$N74&amp;IF($O74="",""," ")&amp;$O74&amp;IF($R74="",""," ")&amp;$R74&amp;IF($R74="","","mcd")</f>
        <v>730</v>
      </c>
      <c r="D74" t="s" s="28">
        <f>$J74&amp;" "&amp;F74&amp;IF($L74="",""," ")&amp;$L74&amp;IF($K74="",""," ")&amp;$K74&amp;IF($M74="",""," ")&amp;$M74&amp;IF($N74="",""," ")&amp;$N74&amp;IF($O74="",""," ")&amp;$O74&amp;IF($R74="",""," ")&amp;$R74&amp;IF($R74="","","mcd")</f>
        <v>731</v>
      </c>
      <c r="E74" t="s" s="29">
        <f>IF(ISBLANK(AA74),"",HYPERLINK("https://jlcpcb.com/partdetail/"&amp;$AA74,$AA74))</f>
        <v>732</v>
      </c>
      <c r="F74" t="s" s="30">
        <v>721</v>
      </c>
      <c r="G74" t="s" s="31">
        <f>F74&amp;"_"&amp;K74&amp;"_"&amp;N74&amp;"_"&amp;Z75&amp;"_"&amp;J74</f>
        <v>729</v>
      </c>
      <c r="H74" t="s" s="54">
        <v>733</v>
      </c>
      <c r="I74" t="s" s="30">
        <v>8</v>
      </c>
      <c r="J74" t="s" s="55">
        <v>734</v>
      </c>
      <c r="K74" t="s" s="30">
        <v>724</v>
      </c>
      <c r="L74" s="30"/>
      <c r="M74" t="s" s="30">
        <v>735</v>
      </c>
      <c r="N74" t="s" s="55">
        <v>736</v>
      </c>
      <c r="O74" t="s" s="55">
        <v>421</v>
      </c>
      <c r="P74" s="55"/>
      <c r="Q74" s="55"/>
      <c r="R74" s="30"/>
      <c r="S74" s="30"/>
      <c r="T74" s="30"/>
      <c r="U74" s="30"/>
      <c r="V74" s="30"/>
      <c r="W74" s="30"/>
      <c r="X74" s="30"/>
      <c r="Y74" s="30"/>
      <c r="Z74" t="s" s="30">
        <v>438</v>
      </c>
      <c r="AA74" t="s" s="55">
        <v>737</v>
      </c>
      <c r="AB74" t="s" s="31">
        <v>440</v>
      </c>
      <c r="AC74" t="s" s="55">
        <v>734</v>
      </c>
      <c r="AD74" t="b" s="35">
        <v>0</v>
      </c>
      <c r="AE74" t="b" s="35">
        <v>1</v>
      </c>
      <c r="AF74" t="s" s="31">
        <v>728</v>
      </c>
      <c r="AG74" t="s" s="37">
        <v>442</v>
      </c>
      <c r="AH74" s="49">
        <v>1</v>
      </c>
      <c r="AI74" t="s" s="39">
        <v>34</v>
      </c>
      <c r="AJ74" t="s" s="52">
        <v>35</v>
      </c>
      <c r="AK74" t="s" s="31">
        <v>176</v>
      </c>
      <c r="AL74" s="53">
        <v>6000</v>
      </c>
      <c r="AM74" s="41">
        <v>3000</v>
      </c>
      <c r="AN74" s="42">
        <v>0.0046</v>
      </c>
      <c r="AO74" s="43">
        <f>AM74*AN74</f>
        <v>13.8</v>
      </c>
      <c r="AP74" t="s" s="30">
        <v>738</v>
      </c>
    </row>
    <row r="75" ht="19" customHeight="1">
      <c r="B75" t="s" s="26">
        <f>IF(OR(AI75="ACTIVE",AI75="AVAILABLE",AI75="reserve",AI75="DNP"),G75,"")</f>
        <v>739</v>
      </c>
      <c r="C75" t="s" s="27">
        <f>$J75&amp;IF($F75="LED"," LED","")&amp;IF($L75="",""," ")&amp;$L75&amp;IF($K75="",""," ")&amp;$K75&amp;IF($M75="",""," ")&amp;$M75&amp;IF($N75="",""," ")&amp;$N75&amp;IF($O75="",""," ")&amp;$O75&amp;IF($R75="",""," ")&amp;$R75&amp;IF($R75="","","mcd")</f>
        <v>740</v>
      </c>
      <c r="D75" t="s" s="28">
        <f>$J75&amp;" "&amp;F75&amp;IF($L75="",""," ")&amp;$L75&amp;IF($K75="",""," ")&amp;$K75&amp;IF($M75="",""," ")&amp;$M75&amp;IF($N75="",""," ")&amp;$N75&amp;IF($O75="",""," ")&amp;$O75&amp;IF($R75="",""," ")&amp;$R75&amp;IF($R75="","","mcd")</f>
        <v>741</v>
      </c>
      <c r="E75" t="s" s="29">
        <f>IF(ISBLANK(AA75),"",HYPERLINK("https://jlcpcb.com/partdetail/"&amp;$AA75,$AA75))</f>
        <v>742</v>
      </c>
      <c r="F75" t="s" s="30">
        <v>721</v>
      </c>
      <c r="G75" t="s" s="31">
        <f>F75&amp;"_"&amp;K75&amp;"_"&amp;N75&amp;"_"&amp;Z76&amp;"_"&amp;J75</f>
        <v>739</v>
      </c>
      <c r="H75" t="s" s="54">
        <v>743</v>
      </c>
      <c r="I75" t="s" s="30">
        <v>8</v>
      </c>
      <c r="J75" t="s" s="55">
        <v>744</v>
      </c>
      <c r="K75" t="s" s="30">
        <v>745</v>
      </c>
      <c r="L75" s="30"/>
      <c r="M75" t="s" s="30">
        <v>746</v>
      </c>
      <c r="N75" t="s" s="30">
        <v>747</v>
      </c>
      <c r="O75" t="s" s="30">
        <v>726</v>
      </c>
      <c r="P75" s="30"/>
      <c r="Q75" s="30"/>
      <c r="R75" s="30"/>
      <c r="S75" s="30"/>
      <c r="T75" s="30"/>
      <c r="U75" s="30"/>
      <c r="V75" s="30"/>
      <c r="W75" s="30"/>
      <c r="X75" s="30"/>
      <c r="Y75" s="30"/>
      <c r="Z75" t="s" s="55">
        <v>438</v>
      </c>
      <c r="AA75" t="s" s="55">
        <v>748</v>
      </c>
      <c r="AB75" t="s" s="31">
        <v>440</v>
      </c>
      <c r="AC75" t="s" s="55">
        <v>749</v>
      </c>
      <c r="AD75" t="b" s="35">
        <v>0</v>
      </c>
      <c r="AE75" t="b" s="35">
        <v>1</v>
      </c>
      <c r="AF75" t="s" s="31">
        <v>750</v>
      </c>
      <c r="AG75" t="s" s="37">
        <v>442</v>
      </c>
      <c r="AH75" s="49">
        <v>1</v>
      </c>
      <c r="AI75" t="s" s="39">
        <v>34</v>
      </c>
      <c r="AJ75" t="s" s="52">
        <v>35</v>
      </c>
      <c r="AK75" t="s" s="31">
        <v>176</v>
      </c>
      <c r="AL75" s="53">
        <v>6000</v>
      </c>
      <c r="AM75" s="41">
        <v>3000</v>
      </c>
      <c r="AN75" s="42">
        <v>0.0072</v>
      </c>
      <c r="AO75" s="43">
        <f>AM75*AN75</f>
        <v>21.6</v>
      </c>
      <c r="AP75" t="s" s="30">
        <v>751</v>
      </c>
    </row>
    <row r="76" ht="19" customHeight="1">
      <c r="B76" t="s" s="26">
        <f>IF(OR(AI76="ACTIVE",AI76="AVAILABLE",AI76="reserve",AI76="DNP"),G76,"")</f>
        <v>752</v>
      </c>
      <c r="C76" t="s" s="27">
        <f>$J76&amp;IF($F76="LED"," LED","")&amp;IF($L76="",""," ")&amp;$L76&amp;IF($K76="",""," ")&amp;$K76&amp;IF($M76="",""," ")&amp;$M76&amp;IF($N76="",""," ")&amp;$N76&amp;IF($O76="",""," ")&amp;$O76&amp;IF($R76="",""," ")&amp;$R76&amp;IF($R76="","","mcd")</f>
        <v>753</v>
      </c>
      <c r="D76" t="s" s="28">
        <f>$J76&amp;" "&amp;F76&amp;IF($L76="",""," ")&amp;$L76&amp;IF($K76="",""," ")&amp;$K76&amp;IF($M76="",""," ")&amp;$M76&amp;IF($N76="",""," ")&amp;$N76&amp;IF($O76="",""," ")&amp;$O76&amp;IF($R76="",""," ")&amp;$R76&amp;IF($R76="","","mcd")</f>
        <v>754</v>
      </c>
      <c r="E76" t="s" s="29">
        <f>IF(ISBLANK(AA76),"",HYPERLINK("https://jlcpcb.com/partdetail/"&amp;$AA76,$AA76))</f>
        <v>755</v>
      </c>
      <c r="F76" t="s" s="30">
        <v>721</v>
      </c>
      <c r="G76" t="s" s="31">
        <f>F76&amp;"_"&amp;K76&amp;"_"&amp;N76&amp;"_"&amp;Z77&amp;"_"&amp;J76</f>
        <v>752</v>
      </c>
      <c r="H76" t="s" s="32">
        <v>756</v>
      </c>
      <c r="I76" t="s" s="30">
        <v>8</v>
      </c>
      <c r="J76" t="s" s="30">
        <v>757</v>
      </c>
      <c r="K76" t="s" s="30">
        <v>758</v>
      </c>
      <c r="L76" s="30"/>
      <c r="M76" t="s" s="30">
        <v>759</v>
      </c>
      <c r="N76" t="s" s="30">
        <v>760</v>
      </c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t="s" s="30">
        <v>438</v>
      </c>
      <c r="AA76" t="s" s="30">
        <v>761</v>
      </c>
      <c r="AB76" t="s" s="31">
        <v>762</v>
      </c>
      <c r="AC76" t="s" s="30">
        <v>757</v>
      </c>
      <c r="AD76" t="b" s="35">
        <v>0</v>
      </c>
      <c r="AE76" t="b" s="35">
        <v>1</v>
      </c>
      <c r="AF76" t="s" s="36">
        <v>763</v>
      </c>
      <c r="AG76" t="s" s="37">
        <v>442</v>
      </c>
      <c r="AH76" s="49">
        <v>1</v>
      </c>
      <c r="AI76" t="s" s="39">
        <v>34</v>
      </c>
      <c r="AJ76" t="s" s="52">
        <v>35</v>
      </c>
      <c r="AK76" t="s" s="31">
        <v>332</v>
      </c>
      <c r="AL76" s="40">
        <v>2815</v>
      </c>
      <c r="AM76" s="41">
        <v>3000</v>
      </c>
      <c r="AN76" s="42">
        <v>0.0065</v>
      </c>
      <c r="AO76" s="43">
        <f>AM76*AN76</f>
        <v>19.5</v>
      </c>
      <c r="AP76" t="s" s="30">
        <v>764</v>
      </c>
    </row>
    <row r="77" ht="19" customHeight="1">
      <c r="B77" t="s" s="26">
        <f>IF(OR(AI77="ACTIVE",AI77="AVAILABLE",AI77="reserve",AI77="DNP"),G77,"")</f>
        <v>765</v>
      </c>
      <c r="C77" t="s" s="27">
        <f>$J77&amp;IF($F77="LED"," LED","")&amp;IF($L77="",""," ")&amp;$L77&amp;IF($K77="",""," ")&amp;$K77&amp;IF($M77="",""," ")&amp;$M77&amp;IF($N77="",""," ")&amp;$N77&amp;IF($O77="",""," ")&amp;$O77&amp;IF($R77="",""," ")&amp;$R77&amp;IF($R77="","","mcd")</f>
        <v>766</v>
      </c>
      <c r="D77" t="s" s="28">
        <f>$J77&amp;" "&amp;F77&amp;IF($L77="",""," ")&amp;$L77&amp;IF($K77="",""," ")&amp;$K77&amp;IF($M77="",""," ")&amp;$M77&amp;IF($N77="",""," ")&amp;$N77&amp;IF($O77="",""," ")&amp;$O77&amp;IF($R77="",""," ")&amp;$R77&amp;IF($R77="","","mcd")</f>
        <v>767</v>
      </c>
      <c r="E77" t="s" s="29">
        <f>IF(ISBLANK(AA77),"",HYPERLINK("https://jlcpcb.com/partdetail/"&amp;$AA77,$AA77))</f>
        <v>768</v>
      </c>
      <c r="F77" t="s" s="30">
        <v>721</v>
      </c>
      <c r="G77" t="s" s="31">
        <f>F77&amp;"_"&amp;K77&amp;"_"&amp;N77&amp;"_"&amp;Z78&amp;"_"&amp;J77</f>
        <v>765</v>
      </c>
      <c r="H77" t="s" s="32">
        <v>769</v>
      </c>
      <c r="I77" t="s" s="30">
        <v>8</v>
      </c>
      <c r="J77" t="s" s="30">
        <v>770</v>
      </c>
      <c r="K77" t="s" s="30">
        <v>758</v>
      </c>
      <c r="L77" s="30"/>
      <c r="M77" t="s" s="30">
        <v>771</v>
      </c>
      <c r="N77" t="s" s="30">
        <v>772</v>
      </c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t="s" s="30">
        <v>773</v>
      </c>
      <c r="AA77" t="s" s="60">
        <v>774</v>
      </c>
      <c r="AB77" t="s" s="31">
        <v>775</v>
      </c>
      <c r="AC77" t="s" s="30">
        <v>776</v>
      </c>
      <c r="AD77" t="b" s="35">
        <v>0</v>
      </c>
      <c r="AE77" t="b" s="35">
        <v>1</v>
      </c>
      <c r="AF77" t="s" s="36">
        <v>777</v>
      </c>
      <c r="AG77" t="s" s="37">
        <v>778</v>
      </c>
      <c r="AH77" s="49">
        <v>1</v>
      </c>
      <c r="AI77" t="s" s="39">
        <v>34</v>
      </c>
      <c r="AJ77" t="s" s="52">
        <v>35</v>
      </c>
      <c r="AK77" t="s" s="31">
        <v>332</v>
      </c>
      <c r="AL77" s="40">
        <v>65</v>
      </c>
      <c r="AM77" s="41">
        <v>50</v>
      </c>
      <c r="AN77" s="42">
        <v>0.1719</v>
      </c>
      <c r="AO77" s="43">
        <f>AM77*AN77</f>
        <v>8.595000000000001</v>
      </c>
      <c r="AP77" t="s" s="30">
        <v>779</v>
      </c>
    </row>
    <row r="78" ht="19" customHeight="1">
      <c r="B78" t="s" s="26">
        <f>IF(OR(AI78="ACTIVE",AI78="AVAILABLE",AI78="reserve",AI78="DNP"),G78,"")</f>
        <v>780</v>
      </c>
      <c r="C78" t="s" s="27">
        <f>$J78&amp;IF($F78="LED"," LED","")&amp;IF($L78="",""," ")&amp;$L78&amp;IF($K78="",""," ")&amp;$K78&amp;IF($M78="",""," ")&amp;$M78&amp;IF($N78="",""," ")&amp;$N78&amp;IF($O78="",""," ")&amp;$O78&amp;IF($R78="",""," ")&amp;$R78&amp;IF($R78="","","mcd")</f>
        <v>781</v>
      </c>
      <c r="D78" t="s" s="28">
        <f>$J78&amp;" "&amp;F78&amp;IF($L78="",""," ")&amp;$L78&amp;IF($K78="",""," ")&amp;$K78&amp;IF($M78="",""," ")&amp;$M78&amp;IF($N78="",""," ")&amp;$N78&amp;IF($O78="",""," ")&amp;$O78&amp;IF($R78="",""," ")&amp;$R78&amp;IF($R78="","","mcd")</f>
        <v>782</v>
      </c>
      <c r="E78" t="s" s="29">
        <f>IF(ISBLANK(AA78),"",HYPERLINK("https://jlcpcb.com/partdetail/"&amp;$AA78,$AA78))</f>
        <v>783</v>
      </c>
      <c r="F78" t="s" s="30">
        <v>721</v>
      </c>
      <c r="G78" t="s" s="31">
        <f>F78&amp;"_"&amp;K78&amp;"_"&amp;N78&amp;"_"&amp;Z79&amp;"_"&amp;J78</f>
        <v>780</v>
      </c>
      <c r="H78" t="s" s="54">
        <v>784</v>
      </c>
      <c r="I78" t="s" s="30">
        <v>8</v>
      </c>
      <c r="J78" t="s" s="55">
        <v>785</v>
      </c>
      <c r="K78" t="s" s="30">
        <v>786</v>
      </c>
      <c r="L78" s="30"/>
      <c r="M78" t="s" s="30">
        <v>787</v>
      </c>
      <c r="N78" t="s" s="30">
        <v>788</v>
      </c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t="s" s="30">
        <v>438</v>
      </c>
      <c r="AA78" t="s" s="55">
        <v>789</v>
      </c>
      <c r="AB78" t="s" s="56">
        <v>790</v>
      </c>
      <c r="AC78" t="s" s="55">
        <v>785</v>
      </c>
      <c r="AD78" t="b" s="35">
        <v>0</v>
      </c>
      <c r="AE78" t="b" s="35">
        <v>1</v>
      </c>
      <c r="AF78" t="s" s="31">
        <v>791</v>
      </c>
      <c r="AG78" t="s" s="37">
        <v>442</v>
      </c>
      <c r="AH78" s="49">
        <v>1</v>
      </c>
      <c r="AI78" t="s" s="39">
        <v>34</v>
      </c>
      <c r="AJ78" t="s" s="52">
        <v>35</v>
      </c>
      <c r="AK78" t="s" s="31">
        <v>176</v>
      </c>
      <c r="AL78" s="53">
        <v>3000</v>
      </c>
      <c r="AM78" s="41">
        <v>3000</v>
      </c>
      <c r="AN78" s="66">
        <v>0.0058</v>
      </c>
      <c r="AO78" s="43">
        <f>AM78*AN78</f>
        <v>17.4</v>
      </c>
      <c r="AP78" t="s" s="30">
        <v>792</v>
      </c>
    </row>
    <row r="79" ht="18.9" customHeight="1">
      <c r="B79" t="s" s="26">
        <f>IF(OR(AI79="ACTIVE",AI79="AVAILABLE",AI79="reserve",AI79="DNP"),G79,"")</f>
        <v>793</v>
      </c>
      <c r="C79" t="s" s="27">
        <f>$J79&amp;IF($F79="LED"," LED","")&amp;IF($L79="",""," ")&amp;$L79&amp;IF($K79="",""," ")&amp;$K79&amp;IF($M79="",""," ")&amp;$M79&amp;IF($N79="",""," ")&amp;$N79&amp;IF($O79="",""," ")&amp;$O79&amp;IF($R79="",""," ")&amp;$R79&amp;IF($R79="","","mcd")</f>
        <v>794</v>
      </c>
      <c r="D79" t="s" s="28">
        <f>$J79&amp;" "&amp;F79&amp;IF($L79="",""," ")&amp;$L79&amp;IF($K79="",""," ")&amp;$K79&amp;IF($M79="",""," ")&amp;$M79&amp;IF($N79="",""," ")&amp;$N79&amp;IF($O79="",""," ")&amp;$O79&amp;IF($R79="",""," ")&amp;$R79&amp;IF($R79="","","mcd")</f>
        <v>795</v>
      </c>
      <c r="E79" t="s" s="29">
        <f>IF(ISBLANK(AA79),"",HYPERLINK("https://jlcpcb.com/partdetail/"&amp;$AA79,$AA79))</f>
        <v>796</v>
      </c>
      <c r="F79" t="s" s="30">
        <v>797</v>
      </c>
      <c r="G79" t="s" s="31">
        <f>F79&amp;"_"&amp;L79&amp;"_"&amp;O79&amp;"_"&amp;Z79&amp;"_"&amp;J79</f>
        <v>793</v>
      </c>
      <c r="H79" t="s" s="32">
        <v>798</v>
      </c>
      <c r="I79" t="s" s="30">
        <v>8</v>
      </c>
      <c r="J79" t="s" s="30">
        <v>799</v>
      </c>
      <c r="K79" t="s" s="30">
        <v>800</v>
      </c>
      <c r="L79" t="s" s="30">
        <v>801</v>
      </c>
      <c r="M79" t="s" s="30">
        <v>802</v>
      </c>
      <c r="N79" s="30"/>
      <c r="O79" t="s" s="30">
        <v>803</v>
      </c>
      <c r="P79" s="30"/>
      <c r="Q79" s="30"/>
      <c r="R79" s="30"/>
      <c r="S79" s="30"/>
      <c r="T79" s="30"/>
      <c r="U79" s="30"/>
      <c r="V79" s="30"/>
      <c r="W79" s="30"/>
      <c r="X79" s="30"/>
      <c r="Y79" s="30"/>
      <c r="Z79" t="s" s="30">
        <v>325</v>
      </c>
      <c r="AA79" t="s" s="30">
        <v>804</v>
      </c>
      <c r="AB79" t="s" s="31">
        <v>805</v>
      </c>
      <c r="AC79" t="s" s="30">
        <v>806</v>
      </c>
      <c r="AD79" t="b" s="35">
        <v>0</v>
      </c>
      <c r="AE79" t="b" s="35">
        <v>0</v>
      </c>
      <c r="AF79" t="s" s="36">
        <v>807</v>
      </c>
      <c r="AG79" t="s" s="37">
        <v>808</v>
      </c>
      <c r="AH79" s="49">
        <v>1</v>
      </c>
      <c r="AI79" t="s" s="39">
        <v>34</v>
      </c>
      <c r="AJ79" t="s" s="50">
        <v>331</v>
      </c>
      <c r="AK79" t="s" s="31">
        <v>332</v>
      </c>
      <c r="AL79" s="40">
        <v>4810</v>
      </c>
      <c r="AM79" s="41">
        <v>5000</v>
      </c>
      <c r="AN79" s="42">
        <v>0.0004</v>
      </c>
      <c r="AO79" s="51">
        <f>AM79*AN79</f>
        <v>2</v>
      </c>
      <c r="AP79" t="s" s="30">
        <v>809</v>
      </c>
    </row>
    <row r="80" ht="18.9" customHeight="1">
      <c r="B80" t="s" s="26">
        <f>IF(OR(AI80="ACTIVE",AI80="AVAILABLE",AI80="reserve",AI80="DNP"),G80,"")</f>
        <v>810</v>
      </c>
      <c r="C80" t="s" s="27">
        <f>$J80&amp;IF($F80="LED"," LED","")&amp;IF($L80="",""," ")&amp;$L80&amp;IF($K80="",""," ")&amp;$K80&amp;IF($M80="",""," ")&amp;$M80&amp;IF($N80="",""," ")&amp;$N80&amp;IF($O80="",""," ")&amp;$O80&amp;IF($R80="",""," ")&amp;$R80&amp;IF($R80="","","mcd")</f>
        <v>811</v>
      </c>
      <c r="D80" t="s" s="28">
        <f>$J80&amp;" "&amp;F80&amp;IF($L80="",""," ")&amp;$L80&amp;IF($K80="",""," ")&amp;$K80&amp;IF($M80="",""," ")&amp;$M80&amp;IF($N80="",""," ")&amp;$N80&amp;IF($O80="",""," ")&amp;$O80&amp;IF($R80="",""," ")&amp;$R80&amp;IF($R80="","","mcd")</f>
        <v>812</v>
      </c>
      <c r="E80" t="s" s="29">
        <f>IF(ISBLANK(AA80),"",HYPERLINK("https://jlcpcb.com/partdetail/"&amp;$AA80,$AA80))</f>
        <v>813</v>
      </c>
      <c r="F80" t="s" s="30">
        <v>797</v>
      </c>
      <c r="G80" t="s" s="67">
        <f>F80&amp;"_"&amp;L80&amp;"_"&amp;O80&amp;"_"&amp;Z80&amp;"_"&amp;J80</f>
        <v>814</v>
      </c>
      <c r="H80" t="s" s="32">
        <v>815</v>
      </c>
      <c r="I80" t="s" s="30">
        <v>8</v>
      </c>
      <c r="J80" t="s" s="30">
        <v>816</v>
      </c>
      <c r="K80" t="s" s="30">
        <v>800</v>
      </c>
      <c r="L80" t="s" s="30">
        <v>817</v>
      </c>
      <c r="M80" t="s" s="30">
        <v>818</v>
      </c>
      <c r="N80" s="30"/>
      <c r="O80" t="s" s="30">
        <v>803</v>
      </c>
      <c r="P80" s="30"/>
      <c r="Q80" s="30"/>
      <c r="R80" s="30"/>
      <c r="S80" s="30"/>
      <c r="T80" s="30"/>
      <c r="U80" s="30"/>
      <c r="V80" s="30"/>
      <c r="W80" s="30"/>
      <c r="X80" s="30"/>
      <c r="Y80" s="30"/>
      <c r="Z80" t="s" s="30">
        <v>325</v>
      </c>
      <c r="AA80" t="s" s="30">
        <v>819</v>
      </c>
      <c r="AB80" t="s" s="31">
        <v>327</v>
      </c>
      <c r="AC80" t="s" s="30">
        <v>820</v>
      </c>
      <c r="AD80" t="b" s="35">
        <v>0</v>
      </c>
      <c r="AE80" t="b" s="35">
        <v>0</v>
      </c>
      <c r="AF80" t="s" s="36">
        <v>807</v>
      </c>
      <c r="AG80" t="s" s="37">
        <v>808</v>
      </c>
      <c r="AH80" s="49">
        <v>2</v>
      </c>
      <c r="AI80" t="s" s="39">
        <v>34</v>
      </c>
      <c r="AJ80" t="s" s="50">
        <v>331</v>
      </c>
      <c r="AK80" t="s" s="31">
        <v>332</v>
      </c>
      <c r="AL80" s="40">
        <v>3914</v>
      </c>
      <c r="AM80" s="41">
        <v>3914</v>
      </c>
      <c r="AN80" s="42">
        <v>0.0022</v>
      </c>
      <c r="AO80" s="51">
        <f>AM80*AN80</f>
        <v>8.610799999999999</v>
      </c>
      <c r="AP80" t="s" s="30">
        <v>821</v>
      </c>
    </row>
    <row r="81" ht="18.9" customHeight="1">
      <c r="B81" t="s" s="26">
        <f>IF(OR(AI81="ACTIVE",AI81="AVAILABLE",AI81="reserve",AI81="DNP"),G81,"")</f>
        <v>822</v>
      </c>
      <c r="C81" t="s" s="27">
        <f>$J81&amp;IF($F81="LED"," LED","")&amp;IF($L81="",""," ")&amp;$L81&amp;IF($K81="",""," ")&amp;$K81&amp;IF($M81="",""," ")&amp;$M81&amp;IF($N81="",""," ")&amp;$N81&amp;IF($O81="",""," ")&amp;$O81&amp;IF($R81="",""," ")&amp;$R81&amp;IF($R81="","","mcd")</f>
        <v>823</v>
      </c>
      <c r="D81" t="s" s="28">
        <f>$J81&amp;" "&amp;F81&amp;IF($L81="",""," ")&amp;$L81&amp;IF($K81="",""," ")&amp;$K81&amp;IF($M81="",""," ")&amp;$M81&amp;IF($N81="",""," ")&amp;$N81&amp;IF($O81="",""," ")&amp;$O81&amp;IF($R81="",""," ")&amp;$R81&amp;IF($R81="","","mcd")</f>
        <v>824</v>
      </c>
      <c r="E81" t="s" s="29">
        <f>IF(ISBLANK(AA81),"",HYPERLINK("https://jlcpcb.com/partdetail/"&amp;$AA81,$AA81))</f>
        <v>825</v>
      </c>
      <c r="F81" t="s" s="30">
        <v>797</v>
      </c>
      <c r="G81" t="s" s="67">
        <f>F81&amp;"_"&amp;L81&amp;"_"&amp;O81&amp;"_"&amp;Z81&amp;"_"&amp;J81</f>
        <v>826</v>
      </c>
      <c r="H81" t="s" s="32">
        <v>827</v>
      </c>
      <c r="I81" t="s" s="30">
        <v>8</v>
      </c>
      <c r="J81" t="s" s="30">
        <v>816</v>
      </c>
      <c r="K81" t="s" s="30">
        <v>800</v>
      </c>
      <c r="L81" t="s" s="30">
        <v>801</v>
      </c>
      <c r="M81" t="s" s="30">
        <v>802</v>
      </c>
      <c r="N81" s="30"/>
      <c r="O81" t="s" s="30">
        <v>803</v>
      </c>
      <c r="P81" s="30"/>
      <c r="Q81" s="30"/>
      <c r="R81" s="30"/>
      <c r="S81" s="30"/>
      <c r="T81" s="30"/>
      <c r="U81" s="30"/>
      <c r="V81" s="30"/>
      <c r="W81" s="30"/>
      <c r="X81" s="30"/>
      <c r="Y81" s="30"/>
      <c r="Z81" t="s" s="30">
        <v>325</v>
      </c>
      <c r="AA81" t="s" s="30">
        <v>828</v>
      </c>
      <c r="AB81" t="s" s="31">
        <v>829</v>
      </c>
      <c r="AC81" t="s" s="30">
        <v>830</v>
      </c>
      <c r="AD81" t="b" s="35">
        <v>0</v>
      </c>
      <c r="AE81" t="b" s="35">
        <v>1</v>
      </c>
      <c r="AF81" t="s" s="58">
        <v>807</v>
      </c>
      <c r="AG81" t="s" s="37">
        <v>808</v>
      </c>
      <c r="AH81" s="49">
        <v>3</v>
      </c>
      <c r="AI81" t="s" s="39">
        <v>343</v>
      </c>
      <c r="AJ81" t="s" s="31">
        <v>428</v>
      </c>
      <c r="AK81" t="s" s="31">
        <v>176</v>
      </c>
      <c r="AL81" s="53">
        <v>0</v>
      </c>
      <c r="AM81" s="41">
        <v>5000</v>
      </c>
      <c r="AN81" s="42">
        <v>0.0004</v>
      </c>
      <c r="AO81" s="43">
        <f>AM81*AN81</f>
        <v>2</v>
      </c>
      <c r="AP81" t="s" s="30">
        <v>831</v>
      </c>
    </row>
    <row r="82" ht="18.9" customHeight="1">
      <c r="B82" t="s" s="26">
        <f>IF(OR(AI82="ACTIVE",AI82="AVAILABLE",AI82="reserve",AI82="DNP"),G82,"")</f>
        <v>832</v>
      </c>
      <c r="C82" t="s" s="27">
        <f>$J82&amp;IF($F82="LED"," LED","")&amp;IF($L82="",""," ")&amp;$L82&amp;IF($K82="",""," ")&amp;$K82&amp;IF($M82="",""," ")&amp;$M82&amp;IF($N82="",""," ")&amp;$N82&amp;IF($O82="",""," ")&amp;$O82&amp;IF($R82="",""," ")&amp;$R82&amp;IF($R82="","","mcd")</f>
        <v>833</v>
      </c>
      <c r="D82" t="s" s="28">
        <f>$J82&amp;" "&amp;F82&amp;IF($L82="",""," ")&amp;$L82&amp;IF($K82="",""," ")&amp;$K82&amp;IF($M82="",""," ")&amp;$M82&amp;IF($N82="",""," ")&amp;$N82&amp;IF($O82="",""," ")&amp;$O82&amp;IF($R82="",""," ")&amp;$R82&amp;IF($R82="","","mcd")</f>
        <v>834</v>
      </c>
      <c r="E82" t="s" s="29">
        <f>IF(ISBLANK(AA82),"",HYPERLINK("https://jlcpcb.com/partdetail/"&amp;$AA82,$AA82))</f>
        <v>835</v>
      </c>
      <c r="F82" t="s" s="30">
        <v>797</v>
      </c>
      <c r="G82" t="s" s="67">
        <f>F82&amp;"_"&amp;L82&amp;"_"&amp;O82&amp;"_"&amp;Z82&amp;"_"&amp;J82</f>
        <v>836</v>
      </c>
      <c r="H82" t="s" s="32">
        <v>837</v>
      </c>
      <c r="I82" t="s" s="30">
        <v>8</v>
      </c>
      <c r="J82" t="s" s="30">
        <v>636</v>
      </c>
      <c r="K82" t="s" s="30">
        <v>800</v>
      </c>
      <c r="L82" t="s" s="30">
        <v>801</v>
      </c>
      <c r="M82" t="s" s="30">
        <v>802</v>
      </c>
      <c r="N82" s="30"/>
      <c r="O82" t="s" s="30">
        <v>803</v>
      </c>
      <c r="P82" s="30"/>
      <c r="Q82" s="30"/>
      <c r="R82" s="30"/>
      <c r="S82" s="30"/>
      <c r="T82" s="30"/>
      <c r="U82" s="30"/>
      <c r="V82" s="30"/>
      <c r="W82" s="30"/>
      <c r="X82" s="30"/>
      <c r="Y82" s="30"/>
      <c r="Z82" t="s" s="30">
        <v>325</v>
      </c>
      <c r="AA82" t="s" s="30">
        <v>838</v>
      </c>
      <c r="AB82" t="s" s="31">
        <v>829</v>
      </c>
      <c r="AC82" t="s" s="30">
        <v>839</v>
      </c>
      <c r="AD82" t="b" s="35">
        <v>0</v>
      </c>
      <c r="AE82" t="b" s="35">
        <v>1</v>
      </c>
      <c r="AF82" t="s" s="58">
        <v>807</v>
      </c>
      <c r="AG82" t="s" s="37">
        <v>808</v>
      </c>
      <c r="AH82" s="49">
        <v>1</v>
      </c>
      <c r="AI82" t="s" s="39">
        <v>34</v>
      </c>
      <c r="AJ82" t="s" s="52">
        <v>35</v>
      </c>
      <c r="AK82" t="s" s="31">
        <v>176</v>
      </c>
      <c r="AL82" s="53">
        <v>5000</v>
      </c>
      <c r="AM82" s="41">
        <v>5000</v>
      </c>
      <c r="AN82" s="42">
        <v>0.0005</v>
      </c>
      <c r="AO82" s="43">
        <f>AM82*AN82</f>
        <v>2.5</v>
      </c>
      <c r="AP82" t="s" s="30">
        <v>840</v>
      </c>
    </row>
    <row r="83" ht="18.9" customHeight="1">
      <c r="B83" t="s" s="26">
        <f>IF(OR(AI83="ACTIVE",AI83="AVAILABLE",AI83="reserve",AI83="DNP"),G83,"")</f>
        <v>841</v>
      </c>
      <c r="C83" t="s" s="27">
        <f>$J83&amp;IF($F83="LED"," LED","")&amp;IF($L83="",""," ")&amp;$L83&amp;IF($K83="",""," ")&amp;$K83&amp;IF($M83="",""," ")&amp;$M83&amp;IF($N83="",""," ")&amp;$N83&amp;IF($O83="",""," ")&amp;$O83&amp;IF($R83="",""," ")&amp;$R83&amp;IF($R83="","","mcd")</f>
        <v>842</v>
      </c>
      <c r="D83" t="s" s="28">
        <f>$J83&amp;" "&amp;F83&amp;IF($L83="",""," ")&amp;$L83&amp;IF($K83="",""," ")&amp;$K83&amp;IF($M83="",""," ")&amp;$M83&amp;IF($N83="",""," ")&amp;$N83&amp;IF($O83="",""," ")&amp;$O83&amp;IF($R83="",""," ")&amp;$R83&amp;IF($R83="","","mcd")</f>
        <v>843</v>
      </c>
      <c r="E83" t="s" s="29">
        <f>IF(ISBLANK(AA83),"",HYPERLINK("https://jlcpcb.com/partdetail/"&amp;$AA83,$AA83))</f>
        <v>844</v>
      </c>
      <c r="F83" t="s" s="30">
        <v>797</v>
      </c>
      <c r="G83" t="s" s="67">
        <f>F83&amp;"_"&amp;L83&amp;"_"&amp;O83&amp;"_"&amp;Z83&amp;"_"&amp;J83</f>
        <v>845</v>
      </c>
      <c r="H83" t="s" s="32">
        <v>846</v>
      </c>
      <c r="I83" t="s" s="30">
        <v>8</v>
      </c>
      <c r="J83" t="s" s="30">
        <v>847</v>
      </c>
      <c r="K83" t="s" s="30">
        <v>800</v>
      </c>
      <c r="L83" t="s" s="30">
        <v>801</v>
      </c>
      <c r="M83" t="s" s="30">
        <v>802</v>
      </c>
      <c r="N83" s="30"/>
      <c r="O83" t="s" s="30">
        <v>803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t="s" s="30">
        <v>325</v>
      </c>
      <c r="AA83" t="s" s="55">
        <v>848</v>
      </c>
      <c r="AB83" t="s" s="31">
        <v>829</v>
      </c>
      <c r="AC83" t="s" s="30">
        <v>849</v>
      </c>
      <c r="AD83" t="b" s="35">
        <v>0</v>
      </c>
      <c r="AE83" t="b" s="35">
        <v>1</v>
      </c>
      <c r="AF83" t="s" s="58">
        <v>807</v>
      </c>
      <c r="AG83" t="s" s="37">
        <v>808</v>
      </c>
      <c r="AH83" s="49">
        <v>1</v>
      </c>
      <c r="AI83" t="s" s="39">
        <v>34</v>
      </c>
      <c r="AJ83" t="s" s="52">
        <v>35</v>
      </c>
      <c r="AK83" t="s" s="31">
        <v>176</v>
      </c>
      <c r="AL83" s="53">
        <v>5000</v>
      </c>
      <c r="AM83" s="41">
        <v>5000</v>
      </c>
      <c r="AN83" s="42">
        <v>0.0005</v>
      </c>
      <c r="AO83" s="43">
        <f>AM83*AN83</f>
        <v>2.5</v>
      </c>
      <c r="AP83" t="s" s="30">
        <v>850</v>
      </c>
    </row>
    <row r="84" ht="18.4" customHeight="1">
      <c r="B84" t="s" s="26">
        <f>IF(OR(AI84="ACTIVE",AI84="AVAILABLE",AI84="reserve",AI84="DNP"),G84,"")</f>
        <v>851</v>
      </c>
      <c r="C84" t="s" s="27">
        <f>$J84&amp;IF($F84="LED"," LED","")&amp;IF($L84="",""," ")&amp;$L84&amp;IF($K84="",""," ")&amp;$K84&amp;IF($M84="",""," ")&amp;$M84&amp;IF($N84="",""," ")&amp;$N84&amp;IF($O84="",""," ")&amp;$O84&amp;IF($R84="",""," ")&amp;$R84&amp;IF($R84="","","mcd")</f>
        <v>852</v>
      </c>
      <c r="D84" t="s" s="28">
        <f>$J84&amp;" "&amp;F84&amp;IF($L84="",""," ")&amp;$L84&amp;IF($K84="",""," ")&amp;$K84&amp;IF($M84="",""," ")&amp;$M84&amp;IF($N84="",""," ")&amp;$N84&amp;IF($O84="",""," ")&amp;$O84&amp;IF($R84="",""," ")&amp;$R84&amp;IF($R84="","","mcd")</f>
        <v>853</v>
      </c>
      <c r="E84" t="s" s="29">
        <f>IF(ISBLANK(AA84),"",HYPERLINK("https://jlcpcb.com/partdetail/"&amp;$AA84,$AA84))</f>
        <v>854</v>
      </c>
      <c r="F84" t="s" s="30">
        <v>797</v>
      </c>
      <c r="G84" t="s" s="67">
        <f>F84&amp;"_"&amp;L84&amp;"_"&amp;O84&amp;"_"&amp;Z84&amp;"_"&amp;J84</f>
        <v>855</v>
      </c>
      <c r="H84" t="s" s="32">
        <v>856</v>
      </c>
      <c r="I84" t="s" s="30">
        <v>8</v>
      </c>
      <c r="J84" t="s" s="30">
        <v>857</v>
      </c>
      <c r="K84" t="s" s="30">
        <v>800</v>
      </c>
      <c r="L84" t="s" s="30">
        <v>801</v>
      </c>
      <c r="M84" t="s" s="30">
        <v>802</v>
      </c>
      <c r="N84" s="30"/>
      <c r="O84" t="s" s="30">
        <v>803</v>
      </c>
      <c r="P84" s="30"/>
      <c r="Q84" s="30"/>
      <c r="R84" s="30"/>
      <c r="S84" s="30"/>
      <c r="T84" s="30"/>
      <c r="U84" s="30"/>
      <c r="V84" s="30"/>
      <c r="W84" s="30"/>
      <c r="X84" s="30"/>
      <c r="Y84" s="30"/>
      <c r="Z84" t="s" s="30">
        <v>325</v>
      </c>
      <c r="AA84" t="s" s="30">
        <v>858</v>
      </c>
      <c r="AB84" t="s" s="31">
        <v>829</v>
      </c>
      <c r="AC84" t="s" s="30">
        <v>859</v>
      </c>
      <c r="AD84" t="b" s="35">
        <v>0</v>
      </c>
      <c r="AE84" t="b" s="35">
        <v>1</v>
      </c>
      <c r="AF84" t="s" s="36">
        <v>807</v>
      </c>
      <c r="AG84" t="s" s="37">
        <v>808</v>
      </c>
      <c r="AH84" s="49">
        <v>1</v>
      </c>
      <c r="AI84" t="s" s="39">
        <v>34</v>
      </c>
      <c r="AJ84" t="s" s="52">
        <v>35</v>
      </c>
      <c r="AK84" t="s" s="31">
        <v>332</v>
      </c>
      <c r="AL84" s="40">
        <v>4180</v>
      </c>
      <c r="AM84" s="41">
        <v>5000</v>
      </c>
      <c r="AN84" s="42">
        <v>0.0005</v>
      </c>
      <c r="AO84" s="43">
        <f>AM84*AN84</f>
        <v>2.5</v>
      </c>
      <c r="AP84" t="s" s="30">
        <v>860</v>
      </c>
    </row>
    <row r="85" ht="19.3" customHeight="1">
      <c r="B85" t="s" s="26">
        <f>IF(OR(AI85="ACTIVE",AI85="AVAILABLE",AI85="reserve",AI85="DNP"),G85,"")</f>
        <v>861</v>
      </c>
      <c r="C85" t="s" s="27">
        <f>$J85&amp;IF($F85="LED"," LED","")&amp;IF($L85="",""," ")&amp;$L85&amp;IF($K85="",""," ")&amp;$K85&amp;IF($M85="",""," ")&amp;$M85&amp;IF($N85="",""," ")&amp;$N85&amp;IF($O85="",""," ")&amp;$O85&amp;IF($R85="",""," ")&amp;$R85&amp;IF($R85="","","mcd")</f>
        <v>862</v>
      </c>
      <c r="D85" t="s" s="28">
        <f>$J85&amp;" "&amp;F85&amp;IF($L85="",""," ")&amp;$L85&amp;IF($K85="",""," ")&amp;$K85&amp;IF($M85="",""," ")&amp;$M85&amp;IF($N85="",""," ")&amp;$N85&amp;IF($O85="",""," ")&amp;$O85&amp;IF($R85="",""," ")&amp;$R85&amp;IF($R85="","","mcd")</f>
        <v>863</v>
      </c>
      <c r="E85" t="s" s="29">
        <f>IF(ISBLANK(AA85),"",HYPERLINK("https://jlcpcb.com/partdetail/"&amp;$AA85,$AA85))</f>
        <v>864</v>
      </c>
      <c r="F85" t="s" s="30">
        <v>797</v>
      </c>
      <c r="G85" t="s" s="67">
        <f>F85&amp;"_"&amp;L85&amp;"_"&amp;O85&amp;"_"&amp;Z85&amp;"_"&amp;J85</f>
        <v>865</v>
      </c>
      <c r="H85" t="s" s="32">
        <v>866</v>
      </c>
      <c r="I85" t="s" s="30">
        <v>8</v>
      </c>
      <c r="J85" t="s" s="30">
        <v>867</v>
      </c>
      <c r="K85" t="s" s="30">
        <v>800</v>
      </c>
      <c r="L85" t="s" s="30">
        <v>801</v>
      </c>
      <c r="M85" t="s" s="30">
        <v>802</v>
      </c>
      <c r="N85" s="30"/>
      <c r="O85" t="s" s="30">
        <v>803</v>
      </c>
      <c r="P85" s="30"/>
      <c r="Q85" s="30"/>
      <c r="R85" s="30"/>
      <c r="S85" s="30"/>
      <c r="T85" s="30"/>
      <c r="U85" s="30"/>
      <c r="V85" s="30"/>
      <c r="W85" s="30"/>
      <c r="X85" s="30"/>
      <c r="Y85" s="30"/>
      <c r="Z85" t="s" s="30">
        <v>325</v>
      </c>
      <c r="AA85" t="s" s="30">
        <v>868</v>
      </c>
      <c r="AB85" t="s" s="31">
        <v>829</v>
      </c>
      <c r="AC85" t="s" s="31">
        <v>869</v>
      </c>
      <c r="AD85" t="b" s="35">
        <v>0</v>
      </c>
      <c r="AE85" t="b" s="35">
        <v>1</v>
      </c>
      <c r="AF85" t="s" s="58">
        <v>807</v>
      </c>
      <c r="AG85" t="s" s="37">
        <v>808</v>
      </c>
      <c r="AH85" s="49">
        <v>1</v>
      </c>
      <c r="AI85" t="s" s="39">
        <v>34</v>
      </c>
      <c r="AJ85" t="s" s="52">
        <v>35</v>
      </c>
      <c r="AK85" t="s" s="31">
        <v>176</v>
      </c>
      <c r="AL85" s="53">
        <v>4900</v>
      </c>
      <c r="AM85" s="41">
        <v>5000</v>
      </c>
      <c r="AN85" s="42">
        <v>0.0005</v>
      </c>
      <c r="AO85" s="43">
        <f>AM85*AN85</f>
        <v>2.5</v>
      </c>
      <c r="AP85" t="s" s="30">
        <v>870</v>
      </c>
    </row>
    <row r="86" ht="18.9" customHeight="1">
      <c r="B86" t="s" s="26">
        <f>IF(OR(AI86="ACTIVE",AI86="AVAILABLE",AI86="reserve",AI86="DNP"),G86,"")</f>
        <v>871</v>
      </c>
      <c r="C86" t="s" s="27">
        <f>$J86&amp;IF($F86="LED"," LED","")&amp;IF($L86="",""," ")&amp;$L86&amp;IF($K86="",""," ")&amp;$K86&amp;IF($M86="",""," ")&amp;$M86&amp;IF($N86="",""," ")&amp;$N86&amp;IF($O86="",""," ")&amp;$O86&amp;IF($R86="",""," ")&amp;$R86&amp;IF($R86="","","mcd")</f>
        <v>872</v>
      </c>
      <c r="D86" t="s" s="28">
        <f>$J86&amp;" "&amp;F86&amp;IF($L86="",""," ")&amp;$L86&amp;IF($K86="",""," ")&amp;$K86&amp;IF($M86="",""," ")&amp;$M86&amp;IF($N86="",""," ")&amp;$N86&amp;IF($O86="",""," ")&amp;$O86&amp;IF($R86="",""," ")&amp;$R86&amp;IF($R86="","","mcd")</f>
        <v>873</v>
      </c>
      <c r="E86" t="s" s="29">
        <f>IF(ISBLANK(AA86),"",HYPERLINK("https://jlcpcb.com/partdetail/"&amp;$AA86,$AA86))</f>
        <v>874</v>
      </c>
      <c r="F86" t="s" s="30">
        <v>797</v>
      </c>
      <c r="G86" t="s" s="67">
        <f>F86&amp;"_"&amp;L86&amp;"_"&amp;O86&amp;"_"&amp;Z86&amp;"_"&amp;J86</f>
        <v>875</v>
      </c>
      <c r="H86" t="s" s="32">
        <v>876</v>
      </c>
      <c r="I86" t="s" s="30">
        <v>8</v>
      </c>
      <c r="J86" t="s" s="30">
        <v>877</v>
      </c>
      <c r="K86" t="s" s="30">
        <v>800</v>
      </c>
      <c r="L86" t="s" s="30">
        <v>817</v>
      </c>
      <c r="M86" t="s" s="30">
        <v>802</v>
      </c>
      <c r="N86" s="30"/>
      <c r="O86" t="s" s="30">
        <v>803</v>
      </c>
      <c r="P86" s="30"/>
      <c r="Q86" s="30"/>
      <c r="R86" s="30"/>
      <c r="S86" s="30"/>
      <c r="T86" s="30"/>
      <c r="U86" s="30"/>
      <c r="V86" s="30"/>
      <c r="W86" s="30"/>
      <c r="X86" s="30"/>
      <c r="Y86" s="30"/>
      <c r="Z86" t="s" s="30">
        <v>325</v>
      </c>
      <c r="AA86" t="s" s="30">
        <v>878</v>
      </c>
      <c r="AB86" t="s" s="31">
        <v>805</v>
      </c>
      <c r="AC86" t="s" s="30">
        <v>879</v>
      </c>
      <c r="AD86" t="b" s="35">
        <v>0</v>
      </c>
      <c r="AE86" t="b" s="35">
        <v>0</v>
      </c>
      <c r="AF86" t="s" s="36">
        <v>807</v>
      </c>
      <c r="AG86" t="s" s="37">
        <v>808</v>
      </c>
      <c r="AH86" s="49">
        <v>1</v>
      </c>
      <c r="AI86" t="s" s="39">
        <v>34</v>
      </c>
      <c r="AJ86" t="s" s="50">
        <v>331</v>
      </c>
      <c r="AK86" t="s" s="31">
        <v>332</v>
      </c>
      <c r="AL86" s="40">
        <v>4810</v>
      </c>
      <c r="AM86" s="41">
        <v>5000</v>
      </c>
      <c r="AN86" s="42">
        <v>0.0005</v>
      </c>
      <c r="AO86" s="51">
        <f>AM86*AN86</f>
        <v>2.5</v>
      </c>
      <c r="AP86" t="s" s="30">
        <v>880</v>
      </c>
    </row>
    <row r="87" ht="19.3" customHeight="1">
      <c r="B87" t="s" s="26">
        <f>IF(OR(AI87="ACTIVE",AI87="AVAILABLE",AI87="reserve",AI87="DNP"),G87,"")</f>
        <v>881</v>
      </c>
      <c r="C87" t="s" s="27">
        <f>$J87&amp;IF($F87="LED"," LED","")&amp;IF($L87="",""," ")&amp;$L87&amp;IF($K87="",""," ")&amp;$K87&amp;IF($M87="",""," ")&amp;$M87&amp;IF($N87="",""," ")&amp;$N87&amp;IF($O87="",""," ")&amp;$O87&amp;IF($R87="",""," ")&amp;$R87&amp;IF($R87="","","mcd")</f>
        <v>882</v>
      </c>
      <c r="D87" t="s" s="28">
        <f>$J87&amp;" "&amp;F87&amp;IF($L87="",""," ")&amp;$L87&amp;IF($K87="",""," ")&amp;$K87&amp;IF($M87="",""," ")&amp;$M87&amp;IF($N87="",""," ")&amp;$N87&amp;IF($O87="",""," ")&amp;$O87&amp;IF($R87="",""," ")&amp;$R87&amp;IF($R87="","","mcd")</f>
        <v>883</v>
      </c>
      <c r="E87" t="s" s="29">
        <f>IF(ISBLANK(AA87),"",HYPERLINK("https://jlcpcb.com/partdetail/"&amp;$AA87,$AA87))</f>
        <v>884</v>
      </c>
      <c r="F87" t="s" s="30">
        <v>797</v>
      </c>
      <c r="G87" t="s" s="67">
        <f>F87&amp;"_"&amp;L87&amp;"_"&amp;O87&amp;"_"&amp;Z87&amp;"_"&amp;J87</f>
        <v>885</v>
      </c>
      <c r="H87" t="s" s="32">
        <v>886</v>
      </c>
      <c r="I87" t="s" s="30">
        <v>8</v>
      </c>
      <c r="J87" t="s" s="30">
        <v>877</v>
      </c>
      <c r="K87" t="s" s="30">
        <v>800</v>
      </c>
      <c r="L87" t="s" s="30">
        <v>801</v>
      </c>
      <c r="M87" t="s" s="30">
        <v>802</v>
      </c>
      <c r="N87" s="30"/>
      <c r="O87" t="s" s="30">
        <v>803</v>
      </c>
      <c r="P87" s="30"/>
      <c r="Q87" s="30"/>
      <c r="R87" s="30"/>
      <c r="S87" s="30"/>
      <c r="T87" s="30"/>
      <c r="U87" s="30"/>
      <c r="V87" s="30"/>
      <c r="W87" s="30"/>
      <c r="X87" s="30"/>
      <c r="Y87" s="30"/>
      <c r="Z87" t="s" s="30">
        <v>325</v>
      </c>
      <c r="AA87" t="s" s="30">
        <v>887</v>
      </c>
      <c r="AB87" t="s" s="31">
        <v>829</v>
      </c>
      <c r="AC87" t="s" s="31">
        <v>888</v>
      </c>
      <c r="AD87" t="b" s="35">
        <v>0</v>
      </c>
      <c r="AE87" t="b" s="35">
        <v>1</v>
      </c>
      <c r="AF87" t="s" s="58">
        <v>807</v>
      </c>
      <c r="AG87" t="s" s="37">
        <v>808</v>
      </c>
      <c r="AH87" s="49">
        <v>2</v>
      </c>
      <c r="AI87" t="s" s="39">
        <v>343</v>
      </c>
      <c r="AJ87" t="s" s="31">
        <v>428</v>
      </c>
      <c r="AK87" t="s" s="31">
        <v>176</v>
      </c>
      <c r="AL87" s="53">
        <v>0</v>
      </c>
      <c r="AM87" s="41">
        <v>5000</v>
      </c>
      <c r="AN87" s="42">
        <v>0.0005</v>
      </c>
      <c r="AO87" s="43">
        <f>AM87*AN87</f>
        <v>2.5</v>
      </c>
      <c r="AP87" t="s" s="30">
        <v>889</v>
      </c>
    </row>
    <row r="88" ht="19.3" customHeight="1">
      <c r="B88" t="s" s="26">
        <f>IF(OR(AI88="ACTIVE",AI88="AVAILABLE",AI88="reserve",AI88="DNP"),G88,"")</f>
        <v>890</v>
      </c>
      <c r="C88" t="s" s="27">
        <f>$J88&amp;IF($F88="LED"," LED","")&amp;IF($L88="",""," ")&amp;$L88&amp;IF($K88="",""," ")&amp;$K88&amp;IF($M88="",""," ")&amp;$M88&amp;IF($N88="",""," ")&amp;$N88&amp;IF($O88="",""," ")&amp;$O88&amp;IF($R88="",""," ")&amp;$R88&amp;IF($R88="","","mcd")</f>
        <v>891</v>
      </c>
      <c r="D88" t="s" s="28">
        <f>$J88&amp;" "&amp;F88&amp;IF($L88="",""," ")&amp;$L88&amp;IF($K88="",""," ")&amp;$K88&amp;IF($M88="",""," ")&amp;$M88&amp;IF($N88="",""," ")&amp;$N88&amp;IF($O88="",""," ")&amp;$O88&amp;IF($R88="",""," ")&amp;$R88&amp;IF($R88="","","mcd")</f>
        <v>892</v>
      </c>
      <c r="E88" t="s" s="29">
        <f>IF(ISBLANK(AA88),"",HYPERLINK("https://jlcpcb.com/partdetail/"&amp;$AA88,$AA88))</f>
        <v>893</v>
      </c>
      <c r="F88" t="s" s="30">
        <v>797</v>
      </c>
      <c r="G88" t="s" s="67">
        <f>F88&amp;"_"&amp;L88&amp;"_"&amp;O88&amp;"_"&amp;Z88&amp;"_"&amp;J88</f>
        <v>894</v>
      </c>
      <c r="H88" t="s" s="32">
        <v>895</v>
      </c>
      <c r="I88" t="s" s="30">
        <v>8</v>
      </c>
      <c r="J88" t="s" s="30">
        <v>896</v>
      </c>
      <c r="K88" t="s" s="30">
        <v>800</v>
      </c>
      <c r="L88" t="s" s="30">
        <v>801</v>
      </c>
      <c r="M88" t="s" s="30">
        <v>802</v>
      </c>
      <c r="N88" s="30"/>
      <c r="O88" t="s" s="30">
        <v>803</v>
      </c>
      <c r="P88" s="30"/>
      <c r="Q88" s="30"/>
      <c r="R88" s="30"/>
      <c r="S88" s="30"/>
      <c r="T88" s="30"/>
      <c r="U88" s="30"/>
      <c r="V88" s="30"/>
      <c r="W88" s="30"/>
      <c r="X88" s="30"/>
      <c r="Y88" s="30"/>
      <c r="Z88" t="s" s="30">
        <v>325</v>
      </c>
      <c r="AA88" t="s" s="55">
        <v>897</v>
      </c>
      <c r="AB88" t="s" s="31">
        <v>829</v>
      </c>
      <c r="AC88" t="s" s="31">
        <v>898</v>
      </c>
      <c r="AD88" t="b" s="35">
        <v>0</v>
      </c>
      <c r="AE88" t="b" s="35">
        <v>1</v>
      </c>
      <c r="AF88" t="s" s="58">
        <v>807</v>
      </c>
      <c r="AG88" t="s" s="37">
        <v>808</v>
      </c>
      <c r="AH88" s="49">
        <v>1</v>
      </c>
      <c r="AI88" t="s" s="39">
        <v>34</v>
      </c>
      <c r="AJ88" t="s" s="52">
        <v>35</v>
      </c>
      <c r="AK88" t="s" s="31">
        <v>176</v>
      </c>
      <c r="AL88" s="53">
        <v>5000</v>
      </c>
      <c r="AM88" s="41">
        <v>5000</v>
      </c>
      <c r="AN88" s="42">
        <v>0.0005</v>
      </c>
      <c r="AO88" s="43">
        <f>AM88*AN88</f>
        <v>2.5</v>
      </c>
      <c r="AP88" t="s" s="30">
        <v>899</v>
      </c>
    </row>
    <row r="89" ht="19.3" customHeight="1">
      <c r="B89" t="s" s="26">
        <f>IF(OR(AI89="ACTIVE",AI89="AVAILABLE",AI89="reserve",AI89="DNP"),G89,"")</f>
        <v>900</v>
      </c>
      <c r="C89" t="s" s="27">
        <f>$J89&amp;IF($F89="LED"," LED","")&amp;IF($L89="",""," ")&amp;$L89&amp;IF($K89="",""," ")&amp;$K89&amp;IF($M89="",""," ")&amp;$M89&amp;IF($N89="",""," ")&amp;$N89&amp;IF($O89="",""," ")&amp;$O89&amp;IF($R89="",""," ")&amp;$R89&amp;IF($R89="","","mcd")</f>
        <v>901</v>
      </c>
      <c r="D89" t="s" s="28">
        <f>$J89&amp;" "&amp;F89&amp;IF($L89="",""," ")&amp;$L89&amp;IF($K89="",""," ")&amp;$K89&amp;IF($M89="",""," ")&amp;$M89&amp;IF($N89="",""," ")&amp;$N89&amp;IF($O89="",""," ")&amp;$O89&amp;IF($R89="",""," ")&amp;$R89&amp;IF($R89="","","mcd")</f>
        <v>902</v>
      </c>
      <c r="E89" t="s" s="29">
        <f>IF(ISBLANK(AA89),"",HYPERLINK("https://jlcpcb.com/partdetail/"&amp;$AA89,$AA89))</f>
        <v>903</v>
      </c>
      <c r="F89" t="s" s="30">
        <v>797</v>
      </c>
      <c r="G89" t="s" s="67">
        <f>F89&amp;"_"&amp;L89&amp;"_"&amp;O89&amp;"_"&amp;Z89&amp;"_"&amp;J89</f>
        <v>904</v>
      </c>
      <c r="H89" t="s" s="32">
        <v>905</v>
      </c>
      <c r="I89" t="s" s="30">
        <v>8</v>
      </c>
      <c r="J89" t="s" s="30">
        <v>906</v>
      </c>
      <c r="K89" t="s" s="30">
        <v>800</v>
      </c>
      <c r="L89" t="s" s="30">
        <v>801</v>
      </c>
      <c r="M89" t="s" s="30">
        <v>802</v>
      </c>
      <c r="N89" s="30"/>
      <c r="O89" t="s" s="30">
        <v>803</v>
      </c>
      <c r="P89" s="30"/>
      <c r="Q89" s="30"/>
      <c r="R89" s="30"/>
      <c r="S89" s="30"/>
      <c r="T89" s="30"/>
      <c r="U89" s="30"/>
      <c r="V89" s="30"/>
      <c r="W89" s="30"/>
      <c r="X89" s="30"/>
      <c r="Y89" s="30"/>
      <c r="Z89" t="s" s="30">
        <v>325</v>
      </c>
      <c r="AA89" t="s" s="55">
        <v>907</v>
      </c>
      <c r="AB89" t="s" s="31">
        <v>829</v>
      </c>
      <c r="AC89" t="s" s="31">
        <v>908</v>
      </c>
      <c r="AD89" t="b" s="35">
        <v>0</v>
      </c>
      <c r="AE89" t="b" s="35">
        <v>1</v>
      </c>
      <c r="AF89" t="s" s="58">
        <v>807</v>
      </c>
      <c r="AG89" t="s" s="37">
        <v>808</v>
      </c>
      <c r="AH89" s="49">
        <v>1</v>
      </c>
      <c r="AI89" t="s" s="39">
        <v>34</v>
      </c>
      <c r="AJ89" t="s" s="52">
        <v>35</v>
      </c>
      <c r="AK89" t="s" s="31">
        <v>176</v>
      </c>
      <c r="AL89" s="53">
        <v>5000</v>
      </c>
      <c r="AM89" s="41">
        <v>5000</v>
      </c>
      <c r="AN89" s="42">
        <v>0.0005</v>
      </c>
      <c r="AO89" s="43">
        <f>AM89*AN89</f>
        <v>2.5</v>
      </c>
      <c r="AP89" t="s" s="30">
        <v>909</v>
      </c>
    </row>
    <row r="90" ht="18.9" customHeight="1">
      <c r="B90" t="s" s="26">
        <f>IF(OR(AI90="ACTIVE",AI90="AVAILABLE",AI90="reserve",AI90="DNP"),G90,"")</f>
        <v>910</v>
      </c>
      <c r="C90" t="s" s="27">
        <f>$J90&amp;IF($F90="LED"," LED","")&amp;IF($L90="",""," ")&amp;$L90&amp;IF($K90="",""," ")&amp;$K90&amp;IF($M90="",""," ")&amp;$M90&amp;IF($N90="",""," ")&amp;$N90&amp;IF($O90="",""," ")&amp;$O90&amp;IF($R90="",""," ")&amp;$R90&amp;IF($R90="","","mcd")</f>
        <v>911</v>
      </c>
      <c r="D90" t="s" s="28">
        <f>$J90&amp;" "&amp;F90&amp;IF($L90="",""," ")&amp;$L90&amp;IF($K90="",""," ")&amp;$K90&amp;IF($M90="",""," ")&amp;$M90&amp;IF($N90="",""," ")&amp;$N90&amp;IF($O90="",""," ")&amp;$O90&amp;IF($R90="",""," ")&amp;$R90&amp;IF($R90="","","mcd")</f>
        <v>912</v>
      </c>
      <c r="E90" t="s" s="29">
        <f>IF(ISBLANK(AA90),"",HYPERLINK("https://jlcpcb.com/partdetail/"&amp;$AA90,$AA90))</f>
        <v>913</v>
      </c>
      <c r="F90" t="s" s="30">
        <v>797</v>
      </c>
      <c r="G90" t="s" s="67">
        <f>F90&amp;"_"&amp;L90&amp;"_"&amp;O90&amp;"_"&amp;Z90&amp;"_"&amp;J90</f>
        <v>914</v>
      </c>
      <c r="H90" t="s" s="32">
        <v>915</v>
      </c>
      <c r="I90" t="s" s="30">
        <v>8</v>
      </c>
      <c r="J90" t="s" s="30">
        <v>916</v>
      </c>
      <c r="K90" t="s" s="30">
        <v>800</v>
      </c>
      <c r="L90" t="s" s="30">
        <v>801</v>
      </c>
      <c r="M90" t="s" s="30">
        <v>818</v>
      </c>
      <c r="N90" s="30"/>
      <c r="O90" t="s" s="30">
        <v>803</v>
      </c>
      <c r="P90" s="30"/>
      <c r="Q90" s="30"/>
      <c r="R90" s="30"/>
      <c r="S90" s="30"/>
      <c r="T90" s="30"/>
      <c r="U90" s="30"/>
      <c r="V90" s="30"/>
      <c r="W90" s="30"/>
      <c r="X90" s="30"/>
      <c r="Y90" s="30"/>
      <c r="Z90" t="s" s="30">
        <v>325</v>
      </c>
      <c r="AA90" t="s" s="30">
        <v>917</v>
      </c>
      <c r="AB90" t="s" s="31">
        <v>327</v>
      </c>
      <c r="AC90" t="s" s="30">
        <v>918</v>
      </c>
      <c r="AD90" t="b" s="35">
        <v>0</v>
      </c>
      <c r="AE90" t="b" s="35">
        <v>0</v>
      </c>
      <c r="AF90" t="s" s="36">
        <v>807</v>
      </c>
      <c r="AG90" t="s" s="37">
        <v>808</v>
      </c>
      <c r="AH90" s="49">
        <v>1</v>
      </c>
      <c r="AI90" t="s" s="39">
        <v>34</v>
      </c>
      <c r="AJ90" t="s" s="50">
        <v>331</v>
      </c>
      <c r="AK90" t="s" s="31">
        <v>332</v>
      </c>
      <c r="AL90" s="40">
        <v>9678</v>
      </c>
      <c r="AM90" s="41">
        <v>9678</v>
      </c>
      <c r="AN90" s="42">
        <v>0.0009</v>
      </c>
      <c r="AO90" s="51">
        <f>AM90*AN90</f>
        <v>8.7102</v>
      </c>
      <c r="AP90" t="s" s="30">
        <v>919</v>
      </c>
    </row>
    <row r="91" ht="18.9" customHeight="1">
      <c r="B91" t="s" s="26">
        <f>IF(OR(AI91="ACTIVE",AI91="AVAILABLE",AI91="reserve",AI91="DNP"),G91,"")</f>
        <v>910</v>
      </c>
      <c r="C91" t="s" s="27">
        <f>$J91&amp;IF($F91="LED"," LED","")&amp;IF($L91="",""," ")&amp;$L91&amp;IF($K91="",""," ")&amp;$K91&amp;IF($M91="",""," ")&amp;$M91&amp;IF($N91="",""," ")&amp;$N91&amp;IF($O91="",""," ")&amp;$O91&amp;IF($R91="",""," ")&amp;$R91&amp;IF($R91="","","mcd")</f>
        <v>920</v>
      </c>
      <c r="D91" t="s" s="28">
        <f>$J91&amp;" "&amp;F91&amp;IF($L91="",""," ")&amp;$L91&amp;IF($K91="",""," ")&amp;$K91&amp;IF($M91="",""," ")&amp;$M91&amp;IF($N91="",""," ")&amp;$N91&amp;IF($O91="",""," ")&amp;$O91&amp;IF($R91="",""," ")&amp;$R91&amp;IF($R91="","","mcd")</f>
        <v>921</v>
      </c>
      <c r="E91" t="s" s="29">
        <f>IF(ISBLANK(AA91),"",HYPERLINK("https://jlcpcb.com/partdetail/"&amp;$AA91,$AA91))</f>
        <v>922</v>
      </c>
      <c r="F91" t="s" s="30">
        <v>797</v>
      </c>
      <c r="G91" t="s" s="67">
        <f>F91&amp;"_"&amp;L91&amp;"_"&amp;O91&amp;"_"&amp;Z91&amp;"_"&amp;J91</f>
        <v>914</v>
      </c>
      <c r="H91" t="s" s="32">
        <v>923</v>
      </c>
      <c r="I91" t="s" s="30">
        <v>8</v>
      </c>
      <c r="J91" t="s" s="30">
        <v>916</v>
      </c>
      <c r="K91" t="s" s="30">
        <v>800</v>
      </c>
      <c r="L91" t="s" s="30">
        <v>801</v>
      </c>
      <c r="M91" t="s" s="30">
        <v>802</v>
      </c>
      <c r="N91" s="30"/>
      <c r="O91" t="s" s="30">
        <v>803</v>
      </c>
      <c r="P91" s="30"/>
      <c r="Q91" s="30"/>
      <c r="R91" s="30"/>
      <c r="S91" s="30"/>
      <c r="T91" s="30"/>
      <c r="U91" s="30"/>
      <c r="V91" s="30"/>
      <c r="W91" s="30"/>
      <c r="X91" s="30"/>
      <c r="Y91" s="30"/>
      <c r="Z91" t="s" s="30">
        <v>325</v>
      </c>
      <c r="AA91" t="s" s="30">
        <v>924</v>
      </c>
      <c r="AB91" t="s" s="31">
        <v>805</v>
      </c>
      <c r="AC91" t="s" s="30">
        <v>925</v>
      </c>
      <c r="AD91" t="b" s="35">
        <v>0</v>
      </c>
      <c r="AE91" t="b" s="35">
        <v>0</v>
      </c>
      <c r="AF91" t="s" s="36">
        <v>807</v>
      </c>
      <c r="AG91" t="s" s="37">
        <v>808</v>
      </c>
      <c r="AH91" s="49">
        <v>2</v>
      </c>
      <c r="AI91" t="s" s="39">
        <v>343</v>
      </c>
      <c r="AJ91" t="s" s="50">
        <v>331</v>
      </c>
      <c r="AK91" t="s" s="31">
        <v>332</v>
      </c>
      <c r="AL91" s="40">
        <v>4090</v>
      </c>
      <c r="AM91" s="41">
        <v>5000</v>
      </c>
      <c r="AN91" s="42">
        <v>0.0005</v>
      </c>
      <c r="AO91" s="51">
        <f>AM91*AN91</f>
        <v>2.5</v>
      </c>
      <c r="AP91" t="s" s="30">
        <v>926</v>
      </c>
    </row>
    <row r="92" ht="18.9" customHeight="1">
      <c r="B92" t="s" s="26">
        <f>IF(OR(AI92="ACTIVE",AI92="AVAILABLE",AI92="reserve",AI92="DNP"),G92,"")</f>
        <v>910</v>
      </c>
      <c r="C92" t="s" s="27">
        <f>$J92&amp;IF($F92="LED"," LED","")&amp;IF($L92="",""," ")&amp;$L92&amp;IF($K92="",""," ")&amp;$K92&amp;IF($M92="",""," ")&amp;$M92&amp;IF($N92="",""," ")&amp;$N92&amp;IF($O92="",""," ")&amp;$O92&amp;IF($R92="",""," ")&amp;$R92&amp;IF($R92="","","mcd")</f>
        <v>920</v>
      </c>
      <c r="D92" t="s" s="28">
        <f>$J92&amp;" "&amp;F92&amp;IF($L92="",""," ")&amp;$L92&amp;IF($K92="",""," ")&amp;$K92&amp;IF($M92="",""," ")&amp;$M92&amp;IF($N92="",""," ")&amp;$N92&amp;IF($O92="",""," ")&amp;$O92&amp;IF($R92="",""," ")&amp;$R92&amp;IF($R92="","","mcd")</f>
        <v>921</v>
      </c>
      <c r="E92" t="s" s="29">
        <f>IF(ISBLANK(AA92),"",HYPERLINK("https://jlcpcb.com/partdetail/"&amp;$AA92,$AA92))</f>
        <v>927</v>
      </c>
      <c r="F92" t="s" s="30">
        <v>797</v>
      </c>
      <c r="G92" t="s" s="67">
        <f>F92&amp;"_"&amp;L92&amp;"_"&amp;O92&amp;"_"&amp;Z92&amp;"_"&amp;J92</f>
        <v>914</v>
      </c>
      <c r="H92" t="s" s="32">
        <v>928</v>
      </c>
      <c r="I92" t="s" s="30">
        <v>8</v>
      </c>
      <c r="J92" t="s" s="30">
        <v>916</v>
      </c>
      <c r="K92" t="s" s="30">
        <v>800</v>
      </c>
      <c r="L92" t="s" s="30">
        <v>801</v>
      </c>
      <c r="M92" t="s" s="30">
        <v>802</v>
      </c>
      <c r="N92" s="30"/>
      <c r="O92" t="s" s="30">
        <v>803</v>
      </c>
      <c r="P92" s="30"/>
      <c r="Q92" s="30"/>
      <c r="R92" s="30"/>
      <c r="S92" s="30"/>
      <c r="T92" s="30"/>
      <c r="U92" s="30"/>
      <c r="V92" s="30"/>
      <c r="W92" s="30"/>
      <c r="X92" s="30"/>
      <c r="Y92" s="30"/>
      <c r="Z92" t="s" s="30">
        <v>325</v>
      </c>
      <c r="AA92" t="s" s="30">
        <v>929</v>
      </c>
      <c r="AB92" t="s" s="31">
        <v>829</v>
      </c>
      <c r="AC92" t="s" s="30">
        <v>930</v>
      </c>
      <c r="AD92" t="b" s="35">
        <v>0</v>
      </c>
      <c r="AE92" t="b" s="35">
        <v>1</v>
      </c>
      <c r="AF92" t="s" s="58">
        <v>807</v>
      </c>
      <c r="AG92" t="s" s="37">
        <v>808</v>
      </c>
      <c r="AH92" s="49">
        <v>3</v>
      </c>
      <c r="AI92" t="s" s="39">
        <v>343</v>
      </c>
      <c r="AJ92" t="s" s="31">
        <v>428</v>
      </c>
      <c r="AK92" t="s" s="31">
        <v>176</v>
      </c>
      <c r="AL92" s="53">
        <v>0</v>
      </c>
      <c r="AM92" s="41">
        <v>5000</v>
      </c>
      <c r="AN92" s="42">
        <v>0.0005</v>
      </c>
      <c r="AO92" s="43">
        <f>AM92*AN92</f>
        <v>2.5</v>
      </c>
      <c r="AP92" t="s" s="30">
        <v>926</v>
      </c>
    </row>
    <row r="93" ht="18.9" customHeight="1">
      <c r="B93" t="s" s="26">
        <f>IF(OR(AI93="ACTIVE",AI93="AVAILABLE",AI93="reserve",AI93="DNP"),G93,"")</f>
        <v>931</v>
      </c>
      <c r="C93" t="s" s="27">
        <f>$J93&amp;IF($F93="LED"," LED","")&amp;IF($L93="",""," ")&amp;$L93&amp;IF($K93="",""," ")&amp;$K93&amp;IF($M93="",""," ")&amp;$M93&amp;IF($N93="",""," ")&amp;$N93&amp;IF($O93="",""," ")&amp;$O93&amp;IF($R93="",""," ")&amp;$R93&amp;IF($R93="","","mcd")</f>
        <v>932</v>
      </c>
      <c r="D93" t="s" s="28">
        <f>$J93&amp;" "&amp;F93&amp;IF($L93="",""," ")&amp;$L93&amp;IF($K93="",""," ")&amp;$K93&amp;IF($M93="",""," ")&amp;$M93&amp;IF($N93="",""," ")&amp;$N93&amp;IF($O93="",""," ")&amp;$O93&amp;IF($R93="",""," ")&amp;$R93&amp;IF($R93="","","mcd")</f>
        <v>933</v>
      </c>
      <c r="E93" t="s" s="29">
        <f>IF(ISBLANK(AA93),"",HYPERLINK("https://jlcpcb.com/partdetail/"&amp;$AA93,$AA93))</f>
        <v>934</v>
      </c>
      <c r="F93" t="s" s="30">
        <v>797</v>
      </c>
      <c r="G93" t="s" s="67">
        <f>F93&amp;"_"&amp;L93&amp;"_"&amp;O93&amp;"_"&amp;Z93&amp;"_"&amp;J93</f>
        <v>935</v>
      </c>
      <c r="H93" t="s" s="32">
        <v>936</v>
      </c>
      <c r="I93" t="s" s="30">
        <v>8</v>
      </c>
      <c r="J93" t="s" s="30">
        <v>937</v>
      </c>
      <c r="K93" t="s" s="30">
        <v>800</v>
      </c>
      <c r="L93" t="s" s="30">
        <v>801</v>
      </c>
      <c r="M93" t="s" s="30">
        <v>802</v>
      </c>
      <c r="N93" s="30"/>
      <c r="O93" t="s" s="30">
        <v>803</v>
      </c>
      <c r="P93" s="30"/>
      <c r="Q93" s="30"/>
      <c r="R93" s="30"/>
      <c r="S93" s="30"/>
      <c r="T93" s="30"/>
      <c r="U93" s="30"/>
      <c r="V93" s="30"/>
      <c r="W93" s="30"/>
      <c r="X93" s="30"/>
      <c r="Y93" s="30"/>
      <c r="Z93" t="s" s="30">
        <v>325</v>
      </c>
      <c r="AA93" t="s" s="55">
        <v>938</v>
      </c>
      <c r="AB93" t="s" s="31">
        <v>829</v>
      </c>
      <c r="AC93" t="s" s="30">
        <v>939</v>
      </c>
      <c r="AD93" t="b" s="35">
        <v>0</v>
      </c>
      <c r="AE93" t="b" s="35">
        <v>1</v>
      </c>
      <c r="AF93" t="s" s="58">
        <v>807</v>
      </c>
      <c r="AG93" t="s" s="37">
        <v>808</v>
      </c>
      <c r="AH93" s="49">
        <v>1</v>
      </c>
      <c r="AI93" t="s" s="39">
        <v>34</v>
      </c>
      <c r="AJ93" t="s" s="52">
        <v>35</v>
      </c>
      <c r="AK93" t="s" s="31">
        <v>176</v>
      </c>
      <c r="AL93" s="53">
        <v>5000</v>
      </c>
      <c r="AM93" s="41">
        <v>5000</v>
      </c>
      <c r="AN93" s="42">
        <v>0.0005</v>
      </c>
      <c r="AO93" s="43">
        <f>AM93*AN93</f>
        <v>2.5</v>
      </c>
      <c r="AP93" t="s" s="30">
        <v>940</v>
      </c>
    </row>
    <row r="94" ht="18.9" customHeight="1">
      <c r="B94" t="s" s="26">
        <f>IF(OR(AI94="ACTIVE",AI94="AVAILABLE",AI94="reserve",AI94="DNP"),G94,"")</f>
        <v>941</v>
      </c>
      <c r="C94" t="s" s="27">
        <f>$J94&amp;IF($F94="LED"," LED","")&amp;IF($L94="",""," ")&amp;$L94&amp;IF($K94="",""," ")&amp;$K94&amp;IF($M94="",""," ")&amp;$M94&amp;IF($N94="",""," ")&amp;$N94&amp;IF($O94="",""," ")&amp;$O94&amp;IF($R94="",""," ")&amp;$R94&amp;IF($R94="","","mcd")</f>
        <v>942</v>
      </c>
      <c r="D94" t="s" s="28">
        <f>$J94&amp;" "&amp;F94&amp;IF($L94="",""," ")&amp;$L94&amp;IF($K94="",""," ")&amp;$K94&amp;IF($M94="",""," ")&amp;$M94&amp;IF($N94="",""," ")&amp;$N94&amp;IF($O94="",""," ")&amp;$O94&amp;IF($R94="",""," ")&amp;$R94&amp;IF($R94="","","mcd")</f>
        <v>943</v>
      </c>
      <c r="E94" t="s" s="29">
        <f>IF(ISBLANK(AA94),"",HYPERLINK("https://jlcpcb.com/partdetail/"&amp;$AA94,$AA94))</f>
        <v>944</v>
      </c>
      <c r="F94" t="s" s="30">
        <v>797</v>
      </c>
      <c r="G94" t="s" s="67">
        <f>F94&amp;"_"&amp;L94&amp;"_"&amp;O94&amp;"_"&amp;Z94&amp;"_"&amp;J94</f>
        <v>945</v>
      </c>
      <c r="H94" t="s" s="32">
        <v>946</v>
      </c>
      <c r="I94" t="s" s="30">
        <v>8</v>
      </c>
      <c r="J94" t="s" s="30">
        <v>947</v>
      </c>
      <c r="K94" t="s" s="30">
        <v>800</v>
      </c>
      <c r="L94" t="s" s="30">
        <v>801</v>
      </c>
      <c r="M94" t="s" s="30">
        <v>802</v>
      </c>
      <c r="N94" s="30"/>
      <c r="O94" t="s" s="30">
        <v>803</v>
      </c>
      <c r="P94" s="30"/>
      <c r="Q94" s="30"/>
      <c r="R94" s="30"/>
      <c r="S94" s="30"/>
      <c r="T94" s="30"/>
      <c r="U94" s="30"/>
      <c r="V94" s="30"/>
      <c r="W94" s="30"/>
      <c r="X94" s="30"/>
      <c r="Y94" s="30"/>
      <c r="Z94" t="s" s="30">
        <v>325</v>
      </c>
      <c r="AA94" t="s" s="30">
        <v>948</v>
      </c>
      <c r="AB94" t="s" s="31">
        <v>829</v>
      </c>
      <c r="AC94" t="s" s="30">
        <v>949</v>
      </c>
      <c r="AD94" t="b" s="35">
        <v>0</v>
      </c>
      <c r="AE94" t="b" s="35">
        <v>1</v>
      </c>
      <c r="AF94" t="s" s="58">
        <v>807</v>
      </c>
      <c r="AG94" t="s" s="37">
        <v>808</v>
      </c>
      <c r="AH94" s="49">
        <v>1</v>
      </c>
      <c r="AI94" t="s" s="39">
        <v>34</v>
      </c>
      <c r="AJ94" t="s" s="52">
        <v>35</v>
      </c>
      <c r="AK94" t="s" s="31">
        <v>176</v>
      </c>
      <c r="AL94" s="53">
        <v>5000</v>
      </c>
      <c r="AM94" s="41">
        <v>5000</v>
      </c>
      <c r="AN94" s="42">
        <v>0.0005</v>
      </c>
      <c r="AO94" s="43">
        <f>AM94*AN94</f>
        <v>2.5</v>
      </c>
      <c r="AP94" t="s" s="30">
        <v>950</v>
      </c>
    </row>
    <row r="95" ht="18.9" customHeight="1">
      <c r="B95" t="s" s="26">
        <f>IF(OR(AI95="ACTIVE",AI95="AVAILABLE",AI95="reserve",AI95="DNP"),G95,"")</f>
        <v>951</v>
      </c>
      <c r="C95" t="s" s="27">
        <f>$J95&amp;IF($F95="LED"," LED","")&amp;IF($L95="",""," ")&amp;$L95&amp;IF($K95="",""," ")&amp;$K95&amp;IF($M95="",""," ")&amp;$M95&amp;IF($N95="",""," ")&amp;$N95&amp;IF($O95="",""," ")&amp;$O95&amp;IF($R95="",""," ")&amp;$R95&amp;IF($R95="","","mcd")</f>
        <v>952</v>
      </c>
      <c r="D95" t="s" s="28">
        <f>$J95&amp;" "&amp;F95&amp;IF($L95="",""," ")&amp;$L95&amp;IF($K95="",""," ")&amp;$K95&amp;IF($M95="",""," ")&amp;$M95&amp;IF($N95="",""," ")&amp;$N95&amp;IF($O95="",""," ")&amp;$O95&amp;IF($R95="",""," ")&amp;$R95&amp;IF($R95="","","mcd")</f>
        <v>953</v>
      </c>
      <c r="E95" t="s" s="29">
        <f>IF(ISBLANK(AA95),"",HYPERLINK("https://jlcpcb.com/partdetail/"&amp;$AA95,$AA95))</f>
        <v>954</v>
      </c>
      <c r="F95" t="s" s="30">
        <v>797</v>
      </c>
      <c r="G95" t="s" s="67">
        <f>F95&amp;"_"&amp;L95&amp;"_"&amp;O95&amp;"_"&amp;Z95&amp;"_"&amp;J95</f>
        <v>955</v>
      </c>
      <c r="H95" t="s" s="32">
        <v>956</v>
      </c>
      <c r="I95" t="s" s="30">
        <v>8</v>
      </c>
      <c r="J95" t="s" s="30">
        <v>957</v>
      </c>
      <c r="K95" t="s" s="30">
        <v>800</v>
      </c>
      <c r="L95" t="s" s="30">
        <v>817</v>
      </c>
      <c r="M95" t="s" s="30">
        <v>802</v>
      </c>
      <c r="N95" s="30"/>
      <c r="O95" t="s" s="30">
        <v>803</v>
      </c>
      <c r="P95" s="30"/>
      <c r="Q95" s="30"/>
      <c r="R95" s="30"/>
      <c r="S95" s="30"/>
      <c r="T95" s="30"/>
      <c r="U95" s="30"/>
      <c r="V95" s="30"/>
      <c r="W95" s="30"/>
      <c r="X95" s="30"/>
      <c r="Y95" s="30"/>
      <c r="Z95" t="s" s="30">
        <v>325</v>
      </c>
      <c r="AA95" t="s" s="30">
        <v>958</v>
      </c>
      <c r="AB95" t="s" s="31">
        <v>829</v>
      </c>
      <c r="AC95" t="s" s="30">
        <v>959</v>
      </c>
      <c r="AD95" t="b" s="35">
        <v>0</v>
      </c>
      <c r="AE95" t="b" s="35">
        <v>1</v>
      </c>
      <c r="AF95" t="s" s="36">
        <v>807</v>
      </c>
      <c r="AG95" t="s" s="37">
        <v>808</v>
      </c>
      <c r="AH95" s="49">
        <v>1</v>
      </c>
      <c r="AI95" t="s" s="39">
        <v>34</v>
      </c>
      <c r="AJ95" t="s" s="50">
        <v>331</v>
      </c>
      <c r="AK95" t="s" s="31">
        <v>332</v>
      </c>
      <c r="AL95" s="40">
        <v>10330</v>
      </c>
      <c r="AM95" s="41">
        <f>5000+4711+1000</f>
        <v>10711</v>
      </c>
      <c r="AN95" s="42">
        <v>0.0007</v>
      </c>
      <c r="AO95" s="51">
        <f>AM95*AN95</f>
        <v>7.4977</v>
      </c>
      <c r="AP95" t="s" s="30">
        <v>960</v>
      </c>
    </row>
    <row r="96" ht="17.7" customHeight="1">
      <c r="B96" t="s" s="26">
        <f>IF(OR(AI96="ACTIVE",AI96="AVAILABLE",AI96="reserve",AI96="DNP"),G96,"")</f>
        <v>961</v>
      </c>
      <c r="C96" t="s" s="27">
        <f>$J96&amp;IF($F96="LED"," LED","")&amp;IF($L96="",""," ")&amp;$L96&amp;IF($K96="",""," ")&amp;$K96&amp;IF($M96="",""," ")&amp;$M96&amp;IF($N96="",""," ")&amp;$N96&amp;IF($O96="",""," ")&amp;$O96&amp;IF($R96="",""," ")&amp;$R96&amp;IF($R96="","","mcd")</f>
        <v>962</v>
      </c>
      <c r="D96" t="s" s="28">
        <f>$J96&amp;" "&amp;F96&amp;IF($L96="",""," ")&amp;$L96&amp;IF($K96="",""," ")&amp;$K96&amp;IF($M96="",""," ")&amp;$M96&amp;IF($N96="",""," ")&amp;$N96&amp;IF($O96="",""," ")&amp;$O96&amp;IF($R96="",""," ")&amp;$R96&amp;IF($R96="","","mcd")</f>
        <v>963</v>
      </c>
      <c r="E96" t="s" s="29">
        <f>IF(ISBLANK(AA96),"",HYPERLINK("https://jlcpcb.com/partdetail/"&amp;$AA96,$AA96))</f>
        <v>964</v>
      </c>
      <c r="F96" t="s" s="30">
        <v>797</v>
      </c>
      <c r="G96" t="s" s="67">
        <f>F96&amp;"_"&amp;L96&amp;"_"&amp;O96&amp;"_"&amp;Z96&amp;"_"&amp;J96</f>
        <v>965</v>
      </c>
      <c r="H96" t="s" s="32">
        <v>966</v>
      </c>
      <c r="I96" t="s" s="30">
        <v>8</v>
      </c>
      <c r="J96" t="s" s="30">
        <v>957</v>
      </c>
      <c r="K96" t="s" s="30">
        <v>800</v>
      </c>
      <c r="L96" t="s" s="30">
        <v>801</v>
      </c>
      <c r="M96" t="s" s="30">
        <v>802</v>
      </c>
      <c r="N96" s="30"/>
      <c r="O96" t="s" s="30">
        <v>803</v>
      </c>
      <c r="P96" s="30"/>
      <c r="Q96" s="30"/>
      <c r="R96" s="30"/>
      <c r="S96" s="30"/>
      <c r="T96" s="30"/>
      <c r="U96" s="30"/>
      <c r="V96" s="30"/>
      <c r="W96" s="30"/>
      <c r="X96" s="30"/>
      <c r="Y96" s="30"/>
      <c r="Z96" t="s" s="30">
        <v>325</v>
      </c>
      <c r="AA96" t="s" s="55">
        <v>967</v>
      </c>
      <c r="AB96" t="s" s="31">
        <v>829</v>
      </c>
      <c r="AC96" t="s" s="55">
        <v>968</v>
      </c>
      <c r="AD96" t="b" s="35">
        <v>0</v>
      </c>
      <c r="AE96" t="b" s="35">
        <v>1</v>
      </c>
      <c r="AF96" t="s" s="58">
        <v>807</v>
      </c>
      <c r="AG96" t="s" s="37">
        <v>808</v>
      </c>
      <c r="AH96" s="49">
        <v>2</v>
      </c>
      <c r="AI96" t="s" s="39">
        <v>343</v>
      </c>
      <c r="AJ96" t="s" s="31">
        <v>428</v>
      </c>
      <c r="AK96" t="s" s="31">
        <v>176</v>
      </c>
      <c r="AL96" s="53">
        <v>0</v>
      </c>
      <c r="AM96" s="41">
        <v>5000</v>
      </c>
      <c r="AN96" s="42">
        <v>0.0005</v>
      </c>
      <c r="AO96" s="43">
        <f>AM96*AN96</f>
        <v>2.5</v>
      </c>
      <c r="AP96" t="s" s="30">
        <v>969</v>
      </c>
    </row>
    <row r="97" ht="18.9" customHeight="1">
      <c r="B97" t="s" s="26">
        <f>IF(OR(AI97="ACTIVE",AI97="AVAILABLE",AI97="reserve",AI97="DNP"),G97,"")</f>
        <v>970</v>
      </c>
      <c r="C97" t="s" s="27">
        <f>$J97&amp;IF($F97="LED"," LED","")&amp;IF($L97="",""," ")&amp;$L97&amp;IF($K97="",""," ")&amp;$K97&amp;IF($M97="",""," ")&amp;$M97&amp;IF($N97="",""," ")&amp;$N97&amp;IF($O97="",""," ")&amp;$O97&amp;IF($R97="",""," ")&amp;$R97&amp;IF($R97="","","mcd")</f>
        <v>971</v>
      </c>
      <c r="D97" t="s" s="28">
        <f>$J97&amp;" "&amp;F97&amp;IF($L97="",""," ")&amp;$L97&amp;IF($K97="",""," ")&amp;$K97&amp;IF($M97="",""," ")&amp;$M97&amp;IF($N97="",""," ")&amp;$N97&amp;IF($O97="",""," ")&amp;$O97&amp;IF($R97="",""," ")&amp;$R97&amp;IF($R97="","","mcd")</f>
        <v>972</v>
      </c>
      <c r="E97" t="s" s="29">
        <f>IF(ISBLANK(AA97),"",HYPERLINK("https://jlcpcb.com/partdetail/"&amp;$AA97,$AA97))</f>
        <v>973</v>
      </c>
      <c r="F97" t="s" s="30">
        <v>797</v>
      </c>
      <c r="G97" t="s" s="67">
        <f>F97&amp;"_"&amp;L97&amp;"_"&amp;O97&amp;"_"&amp;Z97&amp;"_"&amp;J97</f>
        <v>974</v>
      </c>
      <c r="H97" t="s" s="32">
        <v>975</v>
      </c>
      <c r="I97" t="s" s="30">
        <v>8</v>
      </c>
      <c r="J97" t="s" s="30">
        <v>976</v>
      </c>
      <c r="K97" t="s" s="30">
        <v>800</v>
      </c>
      <c r="L97" t="s" s="30">
        <v>801</v>
      </c>
      <c r="M97" t="s" s="30">
        <v>802</v>
      </c>
      <c r="N97" s="30"/>
      <c r="O97" t="s" s="30">
        <v>803</v>
      </c>
      <c r="P97" s="30"/>
      <c r="Q97" s="30"/>
      <c r="R97" s="30"/>
      <c r="S97" s="30"/>
      <c r="T97" s="30"/>
      <c r="U97" s="30"/>
      <c r="V97" s="30"/>
      <c r="W97" s="30"/>
      <c r="X97" s="30"/>
      <c r="Y97" s="30"/>
      <c r="Z97" t="s" s="30">
        <v>325</v>
      </c>
      <c r="AA97" t="s" s="30">
        <v>977</v>
      </c>
      <c r="AB97" t="s" s="31">
        <v>829</v>
      </c>
      <c r="AC97" t="s" s="30">
        <v>978</v>
      </c>
      <c r="AD97" t="b" s="35">
        <v>0</v>
      </c>
      <c r="AE97" t="b" s="35">
        <v>1</v>
      </c>
      <c r="AF97" t="s" s="36">
        <v>807</v>
      </c>
      <c r="AG97" t="s" s="37">
        <v>808</v>
      </c>
      <c r="AH97" s="49">
        <v>3</v>
      </c>
      <c r="AI97" t="s" s="39">
        <v>34</v>
      </c>
      <c r="AJ97" t="s" s="52">
        <v>35</v>
      </c>
      <c r="AK97" t="s" s="31">
        <v>332</v>
      </c>
      <c r="AL97" s="40">
        <v>4630</v>
      </c>
      <c r="AM97" s="41">
        <v>5000</v>
      </c>
      <c r="AN97" s="42">
        <v>0.0005999999999999999</v>
      </c>
      <c r="AO97" s="43">
        <f>AM97*AN97</f>
        <v>3</v>
      </c>
      <c r="AP97" t="s" s="30">
        <v>979</v>
      </c>
    </row>
    <row r="98" ht="18.9" customHeight="1">
      <c r="B98" t="s" s="26">
        <f>IF(OR(AI98="ACTIVE",AI98="AVAILABLE",AI98="reserve",AI98="DNP"),G98,"")</f>
        <v>970</v>
      </c>
      <c r="C98" t="s" s="27">
        <f>$J98&amp;IF($F98="LED"," LED","")&amp;IF($L98="",""," ")&amp;$L98&amp;IF($K98="",""," ")&amp;$K98&amp;IF($M98="",""," ")&amp;$M98&amp;IF($N98="",""," ")&amp;$N98&amp;IF($O98="",""," ")&amp;$O98&amp;IF($R98="",""," ")&amp;$R98&amp;IF($R98="","","mcd")</f>
        <v>980</v>
      </c>
      <c r="D98" t="s" s="28">
        <f>$J98&amp;" "&amp;F98&amp;IF($L98="",""," ")&amp;$L98&amp;IF($K98="",""," ")&amp;$K98&amp;IF($M98="",""," ")&amp;$M98&amp;IF($N98="",""," ")&amp;$N98&amp;IF($O98="",""," ")&amp;$O98&amp;IF($R98="",""," ")&amp;$R98&amp;IF($R98="","","mcd")</f>
        <v>981</v>
      </c>
      <c r="E98" t="s" s="29">
        <f>IF(ISBLANK(AA98),"",HYPERLINK("https://jlcpcb.com/partdetail/"&amp;$AA98,$AA98))</f>
        <v>982</v>
      </c>
      <c r="F98" t="s" s="30">
        <v>797</v>
      </c>
      <c r="G98" t="s" s="67">
        <f>F98&amp;"_"&amp;L98&amp;"_"&amp;O98&amp;"_"&amp;Z98&amp;"_"&amp;J98</f>
        <v>974</v>
      </c>
      <c r="H98" t="s" s="32">
        <v>983</v>
      </c>
      <c r="I98" t="s" s="30">
        <v>8</v>
      </c>
      <c r="J98" t="s" s="30">
        <v>976</v>
      </c>
      <c r="K98" t="s" s="30">
        <v>800</v>
      </c>
      <c r="L98" t="s" s="30">
        <v>801</v>
      </c>
      <c r="M98" t="s" s="30">
        <v>339</v>
      </c>
      <c r="N98" s="30"/>
      <c r="O98" t="s" s="30">
        <v>803</v>
      </c>
      <c r="P98" s="30"/>
      <c r="Q98" s="30"/>
      <c r="R98" s="30"/>
      <c r="S98" s="30"/>
      <c r="T98" s="30"/>
      <c r="U98" s="30"/>
      <c r="V98" s="30"/>
      <c r="W98" s="30"/>
      <c r="X98" s="30"/>
      <c r="Y98" s="30"/>
      <c r="Z98" t="s" s="30">
        <v>325</v>
      </c>
      <c r="AA98" t="s" s="30">
        <v>984</v>
      </c>
      <c r="AB98" t="s" s="31">
        <v>985</v>
      </c>
      <c r="AC98" t="s" s="30">
        <v>986</v>
      </c>
      <c r="AD98" t="b" s="35">
        <v>0</v>
      </c>
      <c r="AE98" t="b" s="35">
        <v>0</v>
      </c>
      <c r="AF98" t="s" s="58">
        <v>807</v>
      </c>
      <c r="AG98" t="s" s="37">
        <v>808</v>
      </c>
      <c r="AH98" s="49">
        <v>1</v>
      </c>
      <c r="AI98" t="s" s="39">
        <v>343</v>
      </c>
      <c r="AJ98" t="s" s="50">
        <v>331</v>
      </c>
      <c r="AK98" t="s" s="31">
        <v>332</v>
      </c>
      <c r="AL98" s="40">
        <v>5000</v>
      </c>
      <c r="AM98" s="41">
        <v>5000</v>
      </c>
      <c r="AN98" s="42">
        <v>0.0008</v>
      </c>
      <c r="AO98" s="51">
        <f>AM98*AN98</f>
        <v>4</v>
      </c>
      <c r="AP98" t="s" s="30">
        <v>987</v>
      </c>
    </row>
    <row r="99" ht="18.9" customHeight="1">
      <c r="B99" t="s" s="68">
        <f>IF(OR(AI99="ACTIVE",AI99="AVAILABLE",AI99="reserve",AI99="DNP"),G99,"")</f>
        <v>970</v>
      </c>
      <c r="C99" t="s" s="69">
        <f>$J99&amp;IF($F99="LED"," LED","")&amp;IF($L99="",""," ")&amp;$L99&amp;IF($K99="",""," ")&amp;$K99&amp;IF($M99="",""," ")&amp;$M99&amp;IF($N99="",""," ")&amp;$N99&amp;IF($O99="",""," ")&amp;$O99&amp;IF($R99="",""," ")&amp;$R99&amp;IF($R99="","","mcd")</f>
        <v>971</v>
      </c>
      <c r="D99" t="s" s="70">
        <f>$J99&amp;" "&amp;F99&amp;IF($L99="",""," ")&amp;$L99&amp;IF($K99="",""," ")&amp;$K99&amp;IF($M99="",""," ")&amp;$M99&amp;IF($N99="",""," ")&amp;$N99&amp;IF($O99="",""," ")&amp;$O99&amp;IF($R99="",""," ")&amp;$R99&amp;IF($R99="","","mcd")</f>
        <v>972</v>
      </c>
      <c r="E99" t="s" s="71">
        <f>IF(ISBLANK(AA99),"",HYPERLINK("https://jlcpcb.com/partdetail/"&amp;$AA99,$AA99))</f>
        <v>973</v>
      </c>
      <c r="F99" t="s" s="72">
        <v>797</v>
      </c>
      <c r="G99" t="s" s="73">
        <f>F99&amp;"_"&amp;L99&amp;"_"&amp;O99&amp;"_"&amp;Z99&amp;"_"&amp;J99</f>
        <v>974</v>
      </c>
      <c r="H99" t="s" s="74">
        <v>975</v>
      </c>
      <c r="I99" t="s" s="72">
        <v>8</v>
      </c>
      <c r="J99" t="s" s="72">
        <v>976</v>
      </c>
      <c r="K99" t="s" s="72">
        <v>800</v>
      </c>
      <c r="L99" t="s" s="72">
        <v>801</v>
      </c>
      <c r="M99" t="s" s="72">
        <v>802</v>
      </c>
      <c r="N99" s="72"/>
      <c r="O99" t="s" s="72">
        <v>803</v>
      </c>
      <c r="P99" s="72"/>
      <c r="Q99" s="72"/>
      <c r="R99" s="72"/>
      <c r="S99" s="72"/>
      <c r="T99" s="72"/>
      <c r="U99" s="72"/>
      <c r="V99" s="72"/>
      <c r="W99" s="72"/>
      <c r="X99" s="72"/>
      <c r="Y99" s="72"/>
      <c r="Z99" t="s" s="72">
        <v>325</v>
      </c>
      <c r="AA99" t="s" s="72">
        <v>977</v>
      </c>
      <c r="AB99" t="s" s="75">
        <v>829</v>
      </c>
      <c r="AC99" t="s" s="72">
        <v>978</v>
      </c>
      <c r="AD99" t="b" s="76">
        <v>0</v>
      </c>
      <c r="AE99" t="b" s="76">
        <v>0</v>
      </c>
      <c r="AF99" t="s" s="77">
        <v>807</v>
      </c>
      <c r="AG99" t="s" s="78">
        <v>808</v>
      </c>
      <c r="AH99" s="79">
        <v>2</v>
      </c>
      <c r="AI99" t="s" s="80">
        <v>343</v>
      </c>
      <c r="AJ99" t="s" s="81">
        <v>331</v>
      </c>
      <c r="AK99" t="s" s="75">
        <v>332</v>
      </c>
      <c r="AL99" s="82">
        <v>4630</v>
      </c>
      <c r="AM99" s="83">
        <v>5000</v>
      </c>
      <c r="AN99" s="84">
        <v>0.0005999999999999999</v>
      </c>
      <c r="AO99" s="85">
        <f>AM99*AN99</f>
        <v>3</v>
      </c>
      <c r="AP99" t="s" s="72">
        <v>979</v>
      </c>
    </row>
    <row r="100" ht="31" customHeight="1">
      <c r="B100" s="86"/>
      <c r="C100" s="87"/>
      <c r="D100" s="87"/>
      <c r="E100" s="87"/>
      <c r="F100" s="87"/>
      <c r="G100" s="86"/>
      <c r="H100" s="88"/>
      <c r="I100" s="87"/>
      <c r="J100" s="87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7"/>
      <c r="AB100" s="87"/>
      <c r="AC100" s="87"/>
      <c r="AD100" s="87"/>
      <c r="AE100" s="87"/>
      <c r="AF100" s="87"/>
      <c r="AG100" s="87"/>
      <c r="AH100" s="87"/>
      <c r="AI100" s="89"/>
      <c r="AJ100" s="87"/>
      <c r="AK100" s="87"/>
      <c r="AL100" s="90"/>
      <c r="AM100" s="91"/>
      <c r="AN100" s="87"/>
      <c r="AO100" s="92">
        <f>SUM(AO4:AO99)</f>
        <v>1465.6337</v>
      </c>
      <c r="AP100" s="87"/>
    </row>
  </sheetData>
  <mergeCells count="1">
    <mergeCell ref="B2:AP2"/>
  </mergeCells>
  <conditionalFormatting sqref="AJ4:AJ39 AJ41 AJ43 AJ47:AJ50 AJ53 AJ59:AJ66 AJ68:AJ71 AJ73 AJ79:AJ81 AJ86:AJ87 AJ90:AJ92 AJ95:AJ96 AJ98:AJ99">
    <cfRule type="containsText" dxfId="0" priority="1" stopIfTrue="1" text="no">
      <formula>NOT(ISERROR(FIND(UPPER("no"),UPPER(AJ4))))</formula>
      <formula>"no"</formula>
    </cfRule>
  </conditionalFormatting>
  <dataValidations count="7">
    <dataValidation type="list" allowBlank="1" showInputMessage="1" showErrorMessage="1" sqref="F3 F100">
      <formula1>",Category,SLK,CON,CAP,DIO,IC,LED,Q,RES"</formula1>
    </dataValidation>
    <dataValidation type="list" allowBlank="1" showInputMessage="1" showErrorMessage="1" sqref="AJ3 AJ47:AJ50 AJ53 AJ62:AJ63 AJ66 AJ68:AJ71 AJ73 AJ81 AJ87 AJ92 AJ96 AJ100">
      <formula1>",Reorder,Available,No,-na-,Need to Order"</formula1>
    </dataValidation>
    <dataValidation type="list" allowBlank="1" showInputMessage="1" showErrorMessage="1" sqref="AK3 AK100">
      <formula1>",GFL,GFL &amp; JLC,Available,Location,JLC"</formula1>
    </dataValidation>
    <dataValidation type="list" allowBlank="1" showInputMessage="1" showErrorMessage="1" sqref="F4:F51 F53:F99">
      <formula1>",Category,SLK,CON,CAP,DIO,IC,LED,Q,RES,ANA,IND,MCU,REG,OSC,RLY,SWI"</formula1>
    </dataValidation>
    <dataValidation type="list" allowBlank="1" showInputMessage="1" showErrorMessage="1" sqref="AI4:AI35 AI38:AI99">
      <formula1>",DNP,ACTIVE,reserve,Available"</formula1>
    </dataValidation>
    <dataValidation type="list" allowBlank="1" showInputMessage="1" showErrorMessage="1" sqref="AJ4:AJ46 AJ51:AJ52 AJ54:AJ61 AJ64:AJ65 AJ67 AJ72 AJ74:AJ80 AJ82:AJ86 AJ88:AJ91 AJ93:AJ95 AJ97:AJ99">
      <formula1>",Reorder,Available,No,-na-"</formula1>
    </dataValidation>
    <dataValidation type="list" allowBlank="1" showInputMessage="1" showErrorMessage="1" sqref="AK4:AK99">
      <formula1>",GFL,GFL &amp; JLC,Available,Location,JLC,SPCoast,MRCS"</formula1>
    </dataValidation>
  </dataValidations>
  <hyperlinks>
    <hyperlink ref="E20" r:id="rId1" location="" tooltip="" display="C840579"/>
    <hyperlink ref="AP20" r:id="rId2" location="" tooltip="" display="https://wmsc.lcsc.com/wmsc/upload/file/pdf/v2/lcsc/2311231642_ECE-EDG104S33_C840579.pdf"/>
    <hyperlink ref="E21" r:id="rId3" location="" tooltip="" display="C5340138"/>
    <hyperlink ref="AP21" r:id="rId4" location="" tooltip="" display="https://wmsc.lcsc.com/wmsc/upload/file/pdf/v2/lcsc/2212291730_hanxia-HX-TS666CJ-250gf-009_C5340138.pdf"/>
    <hyperlink ref="E22" r:id="rId5" location="" tooltip="" display="C5340123"/>
    <hyperlink ref="AP22" r:id="rId6" location="" tooltip="" display="https://wmsc.lcsc.com/wmsc/upload/file/pdf/v2/lcsc/2212271430_hanxia-HX-TS666TP-250gf-009_C5340123.pdf"/>
    <hyperlink ref="AP36" r:id="rId7" location="" tooltip="" display="https://www.amazon.com/DWEII-WT32-ETH01-Bluetooth-Development-Converter/dp/B0B1V2RSLY/ref=sr_1_6?crid=314KW0BPPVKW8&amp;dib=eyJ2IjoiMSJ9.G-jwgG2jf14TIyjtM6gPyYH3hjQUHKrQfu5_H3L9tC5jQFWRvQDq9e6MLIQJ2c_4zpV9VRvg39dGowOt8Ju3zdg0lPeXEKqTTXnLnach_267rAAC7T58mNYeH4anDT2My3U9K8OfvWwLEeqER44Jda4kDCnkxc14_Mbmi_gna2cnePF20jCunUNQWGwMVCvjp-UtBf86MK56FFjlFtjp1z2Aq4rvOP806BaqqU8Oo38.ev-u-C0T1GFgjLgimXKb_ZAMLnonoSzJ6AzhzPd1w-4&amp;dib_tag=se&amp;keywords=WT32-eth01&amp;qid=1736014651&amp;sprefix=wt32-eth01,aps,160&amp;sr=8-6&amp;th=1"/>
    <hyperlink ref="AP37" r:id="rId8" location="" tooltip="" display="https://mischianti.org/wp-content/uploads/2020/11/ESP32-DOIT-DEV-KIT-v1-pinout-mischianti.png"/>
    <hyperlink ref="E38" r:id="rId9" location="" tooltip="" display="C1852832"/>
    <hyperlink ref="AP38" r:id="rId10" location="" tooltip="" display="https://wmsc.lcsc.com/wmsc/upload/file/pdf/v2/lcsc/2201271000_YAGEO-CC0603KPX7R8BB103_C1852832.pdf"/>
    <hyperlink ref="E39" r:id="rId11" location="" tooltip="" display="C3910010"/>
    <hyperlink ref="E40" r:id="rId12" location="" tooltip="" display="C100042"/>
    <hyperlink ref="AP40" r:id="rId13" location="" tooltip="" display="https://www.lcsc.com/datasheet/lcsc_datasheet_2304140030_YAGEO-CC0603KRX7R9BB103_C100042.pdf"/>
    <hyperlink ref="E41" r:id="rId14" location="" tooltip="" display="C3853265"/>
    <hyperlink ref="E42" r:id="rId15" location="" tooltip="" display="C14663"/>
    <hyperlink ref="AP42" r:id="rId16" location="" tooltip="" display="https://www.lcsc.com/datasheet/lcsc_datasheet_2211101700_YAGEO-CC0603KRX7R9BB104_C14663.pdf"/>
    <hyperlink ref="E43" r:id="rId17" location="" tooltip="" display="C2169859"/>
    <hyperlink ref="AP43" r:id="rId18" location="" tooltip="" display="https://wmsc.lcsc.com/wmsc/upload/file/pdf/v2/lcsc/2309051403_Taiyo-Yuden-GMK107BJ105KAHT_C2169859.pdf"/>
    <hyperlink ref="E44" r:id="rId19" location="" tooltip="" display="C15849"/>
    <hyperlink ref="AP44" r:id="rId20" location="" tooltip="" display="https://www.lcsc.com/datasheet/lcsc_datasheet_2304140030_Samsung-Electro-Mechanics-CL10A105KB8NNNC_C15849.pdf"/>
    <hyperlink ref="E45" r:id="rId21" location="" tooltip="" display="C13585"/>
    <hyperlink ref="AP45" r:id="rId22" location="" tooltip="" display="https://www.lcsc.com/datasheet/lcsc_datasheet_2304140030_Samsung-Electro-Mechanics-CL31A106KBHNNNE_C13585.pdf"/>
    <hyperlink ref="E46" r:id="rId23" location="" tooltip="" display="C136294"/>
    <hyperlink ref="AP46" r:id="rId24" location="" tooltip="" display="https://www.lcsc.com/datasheet/lcsc_datasheet_1808312007_Nichicon-UCD1V221MNL1GS_C136294.pdf"/>
    <hyperlink ref="E47" r:id="rId25" location="" tooltip="" display="C353517"/>
    <hyperlink ref="AP47" r:id="rId26" location="" tooltip="" display="https://www.lcsc.com/datasheet/lcsc_datasheet_2304140030_Shandong-Jingdao-Microelectronics-BZT52C4V7S_C353517.pdf"/>
    <hyperlink ref="E48" r:id="rId27" location="" tooltip="" display="C5261070"/>
    <hyperlink ref="AP48" r:id="rId28" location="" tooltip="" display="https://wmsc.lcsc.com/wmsc/upload/file/pdf/v2/lcsc/2406051353_HXY-MOSFET-BAT54_C5261070.pdf"/>
    <hyperlink ref="E49" r:id="rId29" location="" tooltip="" display="C2926172"/>
    <hyperlink ref="AP49" r:id="rId30" location="" tooltip="" display="https://wmsc.lcsc.com/wmsc/upload/file/pdf/v2/lcsc/2112031830_FOSAN-BAT54A_C2926172.pdf"/>
    <hyperlink ref="E50" r:id="rId31" location="" tooltip="" display="C2926174"/>
    <hyperlink ref="AP50" r:id="rId32" location="" tooltip="" display="https://wmsc.lcsc.com/wmsc/upload/file/pdf/v2/lcsc/2112031830_FOSAN-BAT54S_C2926174.pdf"/>
    <hyperlink ref="E51" r:id="rId33" location="" tooltip="" display="C408388"/>
    <hyperlink ref="AP51" r:id="rId34" location="" tooltip="" display="https://www.lcsc.com/datasheet/lcsc_datasheet_2407101108_MDD-Microdiode-Semiconductor-BAT54C_C408388.pdf"/>
    <hyperlink ref="E52" r:id="rId35" location="" tooltip="" display="C2683482"/>
    <hyperlink ref="AP52" r:id="rId36" location="" tooltip="" display="https://www.lcsc.com/datasheet/lcsc_datasheet_2403081523_IDCHIP-LM358D_C2683482.pdf"/>
    <hyperlink ref="E53" r:id="rId37" location="" tooltip="" display="C5145392"/>
    <hyperlink ref="AP53" r:id="rId38" location="" tooltip="" display="https://wmsc.lcsc.com/wmsc/upload/file/pdf/v2/lcsc/2209290930_HANSCHIP-semiconductor-NE556DRG_C5145392.pdf"/>
    <hyperlink ref="E54" r:id="rId39" location="" tooltip="" display="C629440"/>
    <hyperlink ref="AP54" r:id="rId40" location="" tooltip="" display="https://wmsc.lcsc.com/wmsc/upload/file/pdf/v2/lcsc/2203221230_Microchip-Tech-MCP23017T-E-SO_C629440.pdf"/>
    <hyperlink ref="E55" r:id="rId41" location="" tooltip="" display="C2678753"/>
    <hyperlink ref="AP55" r:id="rId42" location="" tooltip="" display="https://www.lcsc.com/datasheet/lcsc_datasheet_2405281434_NXP-Semicon-PCA9685PW-118_C2678753.pdf"/>
    <hyperlink ref="E56" r:id="rId43" location="" tooltip="" display="C965807"/>
    <hyperlink ref="AP56" r:id="rId44" location="" tooltip="" display="https://wmsc.lcsc.com/wmsc/upload/file/pdf/v2/lcsc/2402181505_XINGLIGHT-XL-1608UBC-04_C965807.pdf"/>
    <hyperlink ref="E57" r:id="rId45" location="" tooltip="" display="C965808"/>
    <hyperlink ref="AP57" r:id="rId46" location="" tooltip="" display="https://wmsc.lcsc.com/wmsc/upload/file/pdf/v2/lcsc/2402181505_XINGLIGHT-XL-1608UWC-04_C965808.pdf"/>
    <hyperlink ref="E58" r:id="rId47" location="" tooltip="" display="C965804"/>
    <hyperlink ref="AP58" r:id="rId48" location="" tooltip="" display="https://wmsc.lcsc.com/wmsc/upload/file/pdf/v2/lcsc/2402181505_XINGLIGHT-XL-1608UGC-04_C965804.pdf"/>
    <hyperlink ref="E59" r:id="rId49" location="" tooltip="" display="C965806"/>
    <hyperlink ref="AP59" r:id="rId50" location="" tooltip="" display="https://wmsc.lcsc.com/wmsc/upload/file/pdf/v2/lcsc/2402181505_XINGLIGHT-XL-1608SYGC-04_C965806.pdf"/>
    <hyperlink ref="E60" r:id="rId51" location="" tooltip="" display="C22371303"/>
    <hyperlink ref="AP60" r:id="rId52" location="" tooltip="" display="https://wmsc.lcsc.com/wmsc/upload/file/pdf/v2/lcsc/2403281522_HONGLITRONIC-Hongli-Zhihui--HONGLITRONIC-HL-PSC-1608S25OC-G4_C22371303.pdf"/>
    <hyperlink ref="E61" r:id="rId53" location="" tooltip="" display="C965800"/>
    <hyperlink ref="AP61" r:id="rId54" location="" tooltip="" display="https://wmsc.lcsc.com/wmsc/upload/file/pdf/v2/lcsc/2402181505_XINGLIGHT-XL-1608UOC-06_C965800.pdf"/>
    <hyperlink ref="E62" r:id="rId55" location="" tooltip="" display="C965801"/>
    <hyperlink ref="AP62" r:id="rId56" location="" tooltip="" display="https://wmsc.lcsc.com/wmsc/upload/file/pdf/v2/lcsc/2402181505_XINGLIGHT-XL-1608UOC-06_C965800.pdf"/>
    <hyperlink ref="E63" r:id="rId57" location="" tooltip="" display="C965803"/>
    <hyperlink ref="AP63" r:id="rId58" location="" tooltip="" display="https://wmsc.lcsc.com/wmsc/upload/file/pdf/v2/lcsc/2402181505_XINGLIGHT-XL-1608UOC-04_C965801.pdf"/>
    <hyperlink ref="E64" r:id="rId59" location="" tooltip="" display="C7288939"/>
    <hyperlink ref="AP64" r:id="rId60" location="" tooltip="" display="https://wmsc.lcsc.com/wmsc/upload/file/pdf/v2/lcsc/2404241146_Inolux-IN-S63ASR_C7288939.pdf"/>
    <hyperlink ref="E65" r:id="rId61" location="" tooltip="" display="C965799"/>
    <hyperlink ref="AP65" r:id="rId62" location="" tooltip="" display="https://wmsc.lcsc.com/wmsc/upload/file/pdf/v2/lcsc/2402181505_XINGLIGHT-XL-1608SURC-06_C965799.pdf"/>
    <hyperlink ref="E66" r:id="rId63" location="" tooltip="" display="C965798"/>
    <hyperlink ref="AP66" r:id="rId64" location="" tooltip="" display="https://wmsc.lcsc.com/wmsc/upload/file/pdf/v2/lcsc/2402181505_XINGLIGHT-XL-1608SURC-04_C965798.pdf"/>
    <hyperlink ref="E67" r:id="rId65" location="" tooltip="" display="C2843785"/>
    <hyperlink ref="AP67" r:id="rId66" location="" tooltip="" display="https://www.lcsc.com/datasheet/lcsc_datasheet_2404120946_XINGLIGHT-XL-5050RGBC-WS2812B_C2843785.pdf"/>
    <hyperlink ref="E68" r:id="rId67" location="" tooltip="" display="C5345985"/>
    <hyperlink ref="AP68" r:id="rId68" location="" tooltip="" display="https://wmsc.lcsc.com/wmsc/upload/file/pdf/v2/lcsc/2301120930_HXY-MOSFET-AMS1117-ADJ_C5345985.pdf"/>
    <hyperlink ref="E69" r:id="rId69" location="" tooltip="" display="C5345982"/>
    <hyperlink ref="AP69" r:id="rId70" location="" tooltip="" display="https://wmsc.lcsc.com/wmsc/upload/file/pdf/v2/lcsc/2301120930_HXY-MOSFET-AMS1117-3-3_C5345982.pdf"/>
    <hyperlink ref="E70" r:id="rId71" location="" tooltip="" display="C5345984"/>
    <hyperlink ref="AP70" r:id="rId72" location="" tooltip="" display="https://wmsc.lcsc.com/wmsc/upload/file/pdf/v2/lcsc/2301120930_HXY-MOSFET-AMS1117-5-0_C5345984.pdf"/>
    <hyperlink ref="AP72" r:id="rId73" location="" tooltip="" display="https://omronfs.omron.com/en_US/ecb/products/pdf/en-g2rl.pdf"/>
    <hyperlink ref="E74" r:id="rId74" location="" tooltip="" display="C5184404"/>
    <hyperlink ref="AP74" r:id="rId75" location="" tooltip="" display="https://wmsc.lcsc.com/wmsc/upload/file/pdf/v2/lcsc/2407151447_HXY-MOSFET-MMBT3904_C5184404.pdf"/>
    <hyperlink ref="E75" r:id="rId76" location="" tooltip="" display="C5184433"/>
    <hyperlink ref="AP75" r:id="rId77" location="" tooltip="" display="https://wmsc.lcsc.com/wmsc/upload/file/pdf/v2/lcsc/2303091430_HXY-MOSFET-BC807-40_C5184433.pdf"/>
    <hyperlink ref="E76" r:id="rId78" location="" tooltip="" display="C5224215"/>
    <hyperlink ref="AP76" r:id="rId79" location="" tooltip="" display="https://wmsc.lcsc.com/wmsc/upload/file/pdf/v2/lcsc/2210271630_ElecSuper-2N7002_C5224215.pdf"/>
    <hyperlink ref="E77" r:id="rId80" location="" tooltip="" display="C878901"/>
    <hyperlink ref="AP77" r:id="rId81" location="" tooltip="" display="https://www.diodes.com/assets/Datasheets/ds31773.pdf"/>
    <hyperlink ref="E78" r:id="rId82" location="" tooltip="" display="C7499856"/>
    <hyperlink ref="AP78" r:id="rId83" location="" tooltip="" display="https://wmsc.lcsc.com/wmsc/upload/file/pdf/v2/lcsc/2310251707_HL-2301V_C7499856.pdf"/>
    <hyperlink ref="E79" r:id="rId84" location="" tooltip="" display="C2907123"/>
    <hyperlink ref="AP79" r:id="rId85" location="" tooltip="" display="https://wmsc.lcsc.com/wmsc/upload/file/pdf/v2/lcsc/2308241947_FOJAN-FRC0603J201-TS_C2907123.pdf"/>
    <hyperlink ref="E80" r:id="rId86" location="" tooltip="" display="C5842375"/>
    <hyperlink ref="AP80" r:id="rId87" location="" tooltip="" display="https://wmsc.lcsc.com/wmsc/upload/file/pdf/v2/lcsc/2312030915_YAGEO-RC0603FR-13220RL_C5842375.pdf"/>
    <hyperlink ref="E81" r:id="rId88" location="" tooltip="" display="C1226"/>
    <hyperlink ref="AP81" r:id="rId89" location="" tooltip="" display="https://www.lcsc.com/datasheet/lcsc_datasheet_2206010230_UNI-ROYAL-Uniroyal-Elec-0603WAJ0221T5E_C1226.pdf"/>
    <hyperlink ref="E82" r:id="rId90" location="" tooltip="" display="C25231"/>
    <hyperlink ref="AP82" r:id="rId91" location="" tooltip="" display="https://www.lcsc.com/datasheet/lcsc_datasheet_2205311845_UNI-ROYAL-Uniroyal-Elec-0603WAJ0331T5E_C25231.pdf"/>
    <hyperlink ref="E83" r:id="rId92" location="" tooltip="" display="C25241"/>
    <hyperlink ref="AP83" r:id="rId93" location="" tooltip="" display="https://www.lcsc.com/datasheet/lcsc_datasheet_2205311845_UNI-ROYAL-Uniroyal-Elec-0603WAJ0471T5E_C25241.pdf"/>
    <hyperlink ref="E84" r:id="rId94" location="" tooltip="" display="C25585"/>
    <hyperlink ref="AP84" r:id="rId95" location="" tooltip="" display="https://www.lcsc.com/datasheet/lcsc_datasheet_2206010100_UNI-ROYAL-Uniroyal-Elec-0603WAJ0102T5E_C25585.pdf"/>
    <hyperlink ref="E85" r:id="rId96" location="" tooltip="" display="C25992"/>
    <hyperlink ref="AP85" r:id="rId97" location="" tooltip="" display="https://www.lcsc.com/datasheet/lcsc_datasheet_2206010045_UNI-ROYAL-Uniroyal-Elec-0603WAJ0222T5E_C25992.pdf"/>
    <hyperlink ref="E86" r:id="rId98" location="" tooltip="" display="C2907023"/>
    <hyperlink ref="AP86" r:id="rId99" location="" tooltip="" display="https://wmsc.lcsc.com/wmsc/upload/file/pdf/v2/lcsc/2308241947_FOJAN-FRC0603F3301TS_C2907023.pdf"/>
    <hyperlink ref="E87" r:id="rId100" location="" tooltip="" display="C25995"/>
    <hyperlink ref="AP87" r:id="rId101" location="" tooltip="" display="https://www.lcsc.com/datasheet/lcsc_datasheet_2206010045_UNI-ROYAL-Uniroyal-Elec-0603WAJ0332T5E_C25995.pdf"/>
    <hyperlink ref="E88" r:id="rId102" location="" tooltip="" display="C25999"/>
    <hyperlink ref="AP88" r:id="rId103" location="" tooltip="" display="https://www.lcsc.com/datasheet/lcsc_datasheet_2206010045_UNI-ROYAL-Uniroyal-Elec-0603WAJ0472T5E_C25999.pdf"/>
    <hyperlink ref="E89" r:id="rId104" location="" tooltip="" display="C26001"/>
    <hyperlink ref="AP89" r:id="rId105" location="" tooltip="" display="https://www.lcsc.com/datasheet/lcsc_datasheet_2206010045_UNI-ROYAL-Uniroyal-Elec-0603WAJ0562T5E_C26001.pdf"/>
    <hyperlink ref="E90" r:id="rId106" location="" tooltip="" display="C4118381"/>
    <hyperlink ref="AP90" r:id="rId107" location="" tooltip="" display="https://wmsc.lcsc.com/wmsc/upload/file/pdf/v2/lcsc/2404101024_YAGEO-RC0603JR-1310KL_C4118381.pdf"/>
    <hyperlink ref="E91" r:id="rId108" location="" tooltip="" display="C2930027"/>
    <hyperlink ref="AP91" r:id="rId109" location="" tooltip="" display="https://wmsc.lcsc.com/wmsc/upload/file/pdf/v2/lcsc/2308241009_FOJAN-FRC0603J103TS_C2930027.pdf"/>
    <hyperlink ref="E92" r:id="rId110" location="" tooltip="" display="C15401"/>
    <hyperlink ref="AP92" r:id="rId111" location="" tooltip="" display="https://wmsc.lcsc.com/wmsc/upload/file/pdf/v2/lcsc/2308241009_FOJAN-FRC0603J103TS_C2930027.pdf"/>
    <hyperlink ref="E93" r:id="rId112" location="" tooltip="" display="C23344"/>
    <hyperlink ref="AP93" r:id="rId113" location="" tooltip="" display="https://www.lcsc.com/datasheet/lcsc_datasheet_2206010100_UNI-ROYAL-Uniroyal-Elec-0603WAJ0223T5E_C23344.pdf"/>
    <hyperlink ref="E94" r:id="rId114" location="" tooltip="" display="C15458"/>
    <hyperlink ref="AP94" r:id="rId115" location="" tooltip="" display="https://www.lcsc.com/datasheet/lcsc_datasheet_2206010216_UNI-ROYAL-Uniroyal-Elec-0603WAJ0104T5E_C15458.pdf"/>
    <hyperlink ref="E95" r:id="rId116" location="" tooltip="" display="C22935"/>
    <hyperlink ref="AP95" r:id="rId117" location="" tooltip="" display="https://www.lcsc.com/datasheet/lcsc_datasheet_2206010130_UNI-ROYAL-Uniroyal-Elec-0603WAF1004T5E_C22935.pdf"/>
    <hyperlink ref="E96" r:id="rId118" location="" tooltip="" display="C26098"/>
    <hyperlink ref="AP96" r:id="rId119" location="" tooltip="" display="https://www.lcsc.com/datasheet/lcsc_datasheet_2206010030_UNI-ROYAL-Uniroyal-Elec-0603WAJ0105T5E_C26098.pdf"/>
    <hyperlink ref="E97" r:id="rId120" location="" tooltip="" display="C18679"/>
    <hyperlink ref="AP97" r:id="rId121" location="" tooltip="" display="https://www.lcsc.com/datasheet/lcsc_datasheet_2206010145_UNI-ROYAL-Uniroyal-Elec-0603WAJ0225T5E_C18679.pdf"/>
    <hyperlink ref="E98" r:id="rId122" location="" tooltip="" display="C403986"/>
    <hyperlink ref="AP98" r:id="rId123" location="" tooltip="" display="https://wmsc.lcsc.com/wmsc/upload/file/pdf/v2/lcsc/2304140030_FH--Guangdong-Fenghua-Advanced-Tech-RS-03L225JJT_C403986.pdf"/>
    <hyperlink ref="E99" r:id="rId124" location="" tooltip="" display="C18679"/>
    <hyperlink ref="AP99" r:id="rId125" location="" tooltip="" display="https://www.lcsc.com/datasheet/lcsc_datasheet_2206010145_UNI-ROYAL-Uniroyal-Elec-0603WAJ0225T5E_C18679.pdf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