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<sst xmlns="http://schemas.openxmlformats.org/spreadsheetml/2006/main" uniqueCount="1333">
  <si>
    <t>SPCoast Part Inventory</t>
  </si>
  <si>
    <t>IPN</t>
  </si>
  <si>
    <t>ComponentName</t>
  </si>
  <si>
    <t>Keywords</t>
  </si>
  <si>
    <t>LCSC Link</t>
  </si>
  <si>
    <t>Value</t>
  </si>
  <si>
    <t>Category</t>
  </si>
  <si>
    <t>Name</t>
  </si>
  <si>
    <t>DNP</t>
  </si>
  <si>
    <t>Aliases</t>
  </si>
  <si>
    <t>SMD</t>
  </si>
  <si>
    <t>Type</t>
  </si>
  <si>
    <t>LCSC</t>
  </si>
  <si>
    <t>Description</t>
  </si>
  <si>
    <t>Resistance</t>
  </si>
  <si>
    <t>Capacitance</t>
  </si>
  <si>
    <t>Inductance</t>
  </si>
  <si>
    <t>Package</t>
  </si>
  <si>
    <t>Form</t>
  </si>
  <si>
    <t>Pins</t>
  </si>
  <si>
    <t>Pitch</t>
  </si>
  <si>
    <t>Tolerance</t>
  </si>
  <si>
    <t>V</t>
  </si>
  <si>
    <t>A</t>
  </si>
  <si>
    <t>W</t>
  </si>
  <si>
    <t>Angle</t>
  </si>
  <si>
    <t>Wavelength</t>
  </si>
  <si>
    <t>mcd</t>
  </si>
  <si>
    <t>Frequency</t>
  </si>
  <si>
    <t>Mouser</t>
  </si>
  <si>
    <t>Mouser Link</t>
  </si>
  <si>
    <t>Priority</t>
  </si>
  <si>
    <t>Status</t>
  </si>
  <si>
    <t>Manufacturer</t>
  </si>
  <si>
    <t>MPN</t>
  </si>
  <si>
    <t>Symbol</t>
  </si>
  <si>
    <t>Footprint</t>
  </si>
  <si>
    <t>Datasheet</t>
  </si>
  <si>
    <r>
      <rPr>
        <sz val="10"/>
        <color indexed="8"/>
        <rFont val="Arial"/>
      </rPr>
      <t>CAP_0.01uF_X7R_0603_50V</t>
    </r>
  </si>
  <si>
    <r>
      <rPr>
        <sz val="10"/>
        <color indexed="8"/>
        <rFont val="Arial"/>
      </rPr>
      <t>0.01uF 10% X7R 50V</t>
    </r>
  </si>
  <si>
    <r>
      <rPr>
        <sz val="10"/>
        <color indexed="8"/>
        <rFont val="Arial"/>
      </rPr>
      <t>0.01uF CAP 10% X7R 50V</t>
    </r>
  </si>
  <si>
    <r>
      <rPr>
        <u val="single"/>
        <sz val="10"/>
        <color indexed="8"/>
        <rFont val="Arial"/>
      </rPr>
      <t>C100042</t>
    </r>
  </si>
  <si>
    <r>
      <rPr>
        <sz val="10"/>
        <color indexed="8"/>
        <rFont val="Arial"/>
      </rPr>
      <t>0.01uF</t>
    </r>
  </si>
  <si>
    <t>CAP</t>
  </si>
  <si>
    <t>X7R</t>
  </si>
  <si>
    <t>C100042</t>
  </si>
  <si>
    <t>50V 10nF X7R ±10% 0603 Multilayer Ceramic Capacitors MLCC</t>
  </si>
  <si>
    <t>0.01uF</t>
  </si>
  <si>
    <t>0603</t>
  </si>
  <si>
    <t>10%</t>
  </si>
  <si>
    <t>50V</t>
  </si>
  <si>
    <t>Available</t>
  </si>
  <si>
    <t>YAGEO</t>
  </si>
  <si>
    <t>CC0603KRX7R9BB103</t>
  </si>
  <si>
    <t>Device:C</t>
  </si>
  <si>
    <t>SPCoast:0603-CAP</t>
  </si>
  <si>
    <r>
      <rPr>
        <u val="single"/>
        <sz val="10"/>
        <color indexed="8"/>
        <rFont val="Arial"/>
      </rPr>
      <t>https://www.lcsc.com/datasheet/lcsc_datasheet_2304140030_YAGEO-CC0603KRX7R9BB103_C100042.pdf</t>
    </r>
  </si>
  <si>
    <r>
      <rPr>
        <sz val="10"/>
        <color indexed="8"/>
        <rFont val="Arial"/>
      </rPr>
      <t>CAP_0.01uF_X7R_0603_25V</t>
    </r>
  </si>
  <si>
    <r>
      <rPr>
        <sz val="10"/>
        <color indexed="8"/>
        <rFont val="Arial"/>
      </rPr>
      <t>0.01uF 10% X7R 25V</t>
    </r>
  </si>
  <si>
    <r>
      <rPr>
        <sz val="10"/>
        <color indexed="8"/>
        <rFont val="Arial"/>
      </rPr>
      <t>0.01uF CAP 10% X7R 25V</t>
    </r>
  </si>
  <si>
    <r>
      <rPr>
        <u val="single"/>
        <sz val="10"/>
        <color indexed="8"/>
        <rFont val="Arial"/>
      </rPr>
      <t>C1852832</t>
    </r>
  </si>
  <si>
    <t>C1852832</t>
  </si>
  <si>
    <t>25V 10nF X7R ±10% 0603 Multilayer Ceramic Capacitors MLCC</t>
  </si>
  <si>
    <t>25V</t>
  </si>
  <si>
    <t>Retired</t>
  </si>
  <si>
    <t>CC0603KPX7R8BB103</t>
  </si>
  <si>
    <r>
      <rPr>
        <u val="single"/>
        <sz val="10"/>
        <color indexed="8"/>
        <rFont val="Arial"/>
      </rPr>
      <t>https://wmsc.lcsc.com/wmsc/upload/file/pdf/v2/lcsc/2201271000_YAGEO-CC0603KPX7R8BB103_C1852832.pdf</t>
    </r>
  </si>
  <si>
    <r>
      <rPr>
        <sz val="10"/>
        <color indexed="8"/>
        <rFont val="Arial"/>
      </rPr>
      <t>CAP_0.01uF_X5R_0603_50V</t>
    </r>
  </si>
  <si>
    <r>
      <rPr>
        <sz val="10"/>
        <color indexed="8"/>
        <rFont val="Arial"/>
      </rPr>
      <t>0.01uF 10% X5R 50V</t>
    </r>
  </si>
  <si>
    <r>
      <rPr>
        <sz val="10"/>
        <color indexed="8"/>
        <rFont val="Arial"/>
      </rPr>
      <t>0.01uF CAP 10% X5R 50V</t>
    </r>
  </si>
  <si>
    <r>
      <rPr>
        <u val="single"/>
        <sz val="10"/>
        <color indexed="8"/>
        <rFont val="Arial"/>
      </rPr>
      <t>C3910010</t>
    </r>
  </si>
  <si>
    <t>X5R</t>
  </si>
  <si>
    <t>C3910010</t>
  </si>
  <si>
    <t>50V 10nF X5R ±10% 0603 Multilayer Ceramic Capacitors MLCC</t>
  </si>
  <si>
    <t>CAL-CHIP</t>
  </si>
  <si>
    <t>GMC10X5R103K50NT</t>
  </si>
  <si>
    <t>-na-</t>
  </si>
  <si>
    <r>
      <rPr>
        <sz val="10"/>
        <color indexed="8"/>
        <rFont val="Arial"/>
      </rPr>
      <t>CAP_0.1uF_X7R_0603_50V</t>
    </r>
  </si>
  <si>
    <r>
      <rPr>
        <sz val="10"/>
        <color indexed="8"/>
        <rFont val="Arial"/>
      </rPr>
      <t>0.1uF 10% X7R 50V</t>
    </r>
  </si>
  <si>
    <r>
      <rPr>
        <sz val="10"/>
        <color indexed="8"/>
        <rFont val="Arial"/>
      </rPr>
      <t>0.1uF CAP 10% X7R 50V</t>
    </r>
  </si>
  <si>
    <r>
      <rPr>
        <u val="single"/>
        <sz val="10"/>
        <color indexed="8"/>
        <rFont val="Arial"/>
      </rPr>
      <t>C14663</t>
    </r>
  </si>
  <si>
    <r>
      <rPr>
        <sz val="10"/>
        <color indexed="8"/>
        <rFont val="Arial"/>
      </rPr>
      <t>0.1uF</t>
    </r>
  </si>
  <si>
    <t>C14663</t>
  </si>
  <si>
    <t>50V 100nF X7R ±10% 0603 Multilayer Ceramic Capacitors MLCC</t>
  </si>
  <si>
    <t>0.1uF</t>
  </si>
  <si>
    <t>CC0603KRX7R9BB104</t>
  </si>
  <si>
    <r>
      <rPr>
        <u val="single"/>
        <sz val="10"/>
        <color indexed="8"/>
        <rFont val="Arial"/>
      </rPr>
      <t>https://www.lcsc.com/datasheet/lcsc_datasheet_2211101700_YAGEO-CC0603KRX7R9BB104_C14663.pdf</t>
    </r>
  </si>
  <si>
    <r>
      <rPr>
        <sz val="10"/>
        <color indexed="8"/>
        <rFont val="Arial"/>
      </rPr>
      <t>CAP_0.1uF_X5R_0603_25V</t>
    </r>
  </si>
  <si>
    <r>
      <rPr>
        <sz val="10"/>
        <color indexed="8"/>
        <rFont val="Arial"/>
      </rPr>
      <t>0.1uF 10% X5R 25V</t>
    </r>
  </si>
  <si>
    <r>
      <rPr>
        <sz val="10"/>
        <color indexed="8"/>
        <rFont val="Arial"/>
      </rPr>
      <t>0.1uF CAP 10% X5R 25V</t>
    </r>
  </si>
  <si>
    <r>
      <rPr>
        <u val="single"/>
        <sz val="10"/>
        <color indexed="8"/>
        <rFont val="Arial"/>
      </rPr>
      <t>C3853265</t>
    </r>
  </si>
  <si>
    <t>C3853265</t>
  </si>
  <si>
    <t>25V 100nF X5R ±10% 0603 Multilayer Ceramic Capacitors MLCC</t>
  </si>
  <si>
    <t>GMC10X5R104K25NT</t>
  </si>
  <si>
    <r>
      <rPr>
        <sz val="10"/>
        <color indexed="8"/>
        <rFont val="Arial"/>
      </rPr>
      <t>CAP_1000uF_Electrolytic_10x10.2</t>
    </r>
  </si>
  <si>
    <r>
      <rPr>
        <sz val="10"/>
        <color indexed="8"/>
        <rFont val="Arial"/>
      </rPr>
      <t>1000uF 20% Electrolytic 16V</t>
    </r>
  </si>
  <si>
    <r>
      <rPr>
        <sz val="10"/>
        <color indexed="8"/>
        <rFont val="Arial"/>
      </rPr>
      <t>1000uF CAP 20% Electrolytic 16V</t>
    </r>
  </si>
  <si>
    <r>
      <rPr>
        <u val="single"/>
        <sz val="10"/>
        <color indexed="8"/>
        <rFont val="Arial"/>
      </rPr>
      <t>C970714</t>
    </r>
  </si>
  <si>
    <r>
      <rPr>
        <sz val="10"/>
        <color indexed="8"/>
        <rFont val="Arial"/>
      </rPr>
      <t>1000uF</t>
    </r>
  </si>
  <si>
    <t>Electrolytic</t>
  </si>
  <si>
    <t>C970714</t>
  </si>
  <si>
    <t>Aluminum Electrolytic Capacitors - Radial Leaded 1000uF 16V -55-105c 347mA@120hz 20% D10xL10.2</t>
  </si>
  <si>
    <t>1000uF</t>
  </si>
  <si>
    <t>10x10.2</t>
  </si>
  <si>
    <t>20%</t>
  </si>
  <si>
    <t>16V</t>
  </si>
  <si>
    <t>DMBJ</t>
  </si>
  <si>
    <t>RVT1C102M1010 1000UF 16V</t>
  </si>
  <si>
    <t>Device:C_Polarized_US</t>
  </si>
  <si>
    <t>Capacitor_SMD:CP_Elec_10x10</t>
  </si>
  <si>
    <r>
      <rPr>
        <u val="single"/>
        <sz val="10"/>
        <color indexed="8"/>
        <rFont val="Arial"/>
      </rPr>
      <t>https://jlcpcb.com/api/file/downloadByFileSystemAccessId/8590911073887604736</t>
    </r>
  </si>
  <si>
    <r>
      <rPr>
        <sz val="10"/>
        <color indexed="8"/>
        <rFont val="Arial"/>
      </rPr>
      <t>CAP_1000uF_Electrolytic_8x11.5</t>
    </r>
  </si>
  <si>
    <r>
      <rPr>
        <sz val="10"/>
        <color indexed="8"/>
        <rFont val="Arial"/>
      </rPr>
      <t>1000uF 20% Electrolytic 6.3V</t>
    </r>
  </si>
  <si>
    <r>
      <rPr>
        <sz val="10"/>
        <color indexed="8"/>
        <rFont val="Arial"/>
      </rPr>
      <t>1000uF CAP 20% Electrolytic 6.3V</t>
    </r>
  </si>
  <si>
    <t>PTH</t>
  </si>
  <si>
    <t>Aluminum Electrolytic Capacitors - Radial Leaded 1000uF 6.3V 85c</t>
  </si>
  <si>
    <t>8x11.5</t>
  </si>
  <si>
    <t>6.3V</t>
  </si>
  <si>
    <t>647-UVR0J102MPD1TD</t>
  </si>
  <si>
    <r>
      <rPr>
        <u val="single"/>
        <sz val="10"/>
        <color indexed="8"/>
        <rFont val="Arial"/>
      </rPr>
      <t>https://www.mouser.com/ProductDetail/Nichicon/UVR0J102MPD1TD</t>
    </r>
  </si>
  <si>
    <r>
      <rPr>
        <sz val="10"/>
        <color indexed="8"/>
        <rFont val="Arial"/>
      </rPr>
      <t>CAP_10uF_X5R_1206_50V</t>
    </r>
  </si>
  <si>
    <r>
      <rPr>
        <sz val="10"/>
        <color indexed="8"/>
        <rFont val="Arial"/>
      </rPr>
      <t>10uF 10% X5R 50V</t>
    </r>
  </si>
  <si>
    <r>
      <rPr>
        <sz val="10"/>
        <color indexed="8"/>
        <rFont val="Arial"/>
      </rPr>
      <t>10uF CAP 10% X5R 50V</t>
    </r>
  </si>
  <si>
    <r>
      <rPr>
        <u val="single"/>
        <sz val="10"/>
        <color indexed="8"/>
        <rFont val="Arial"/>
      </rPr>
      <t>C13585</t>
    </r>
  </si>
  <si>
    <r>
      <rPr>
        <sz val="10"/>
        <color indexed="8"/>
        <rFont val="Arial"/>
      </rPr>
      <t>10uF</t>
    </r>
  </si>
  <si>
    <t>C13585</t>
  </si>
  <si>
    <t>50V 10uF X5R ±10% 1206 Multilayer Ceramic Capacitors MLCC</t>
  </si>
  <si>
    <t>10uF</t>
  </si>
  <si>
    <t>1206</t>
  </si>
  <si>
    <t>Samsung</t>
  </si>
  <si>
    <t>CL31A106KBHNNNE</t>
  </si>
  <si>
    <t>SPCoast:1206-CAP</t>
  </si>
  <si>
    <r>
      <rPr>
        <u val="single"/>
        <sz val="10"/>
        <color indexed="8"/>
        <rFont val="Arial"/>
      </rPr>
      <t>https://www.lcsc.com/datasheet/lcsc_datasheet_2304140030_Samsung-Electro-Mechanics-CL31A106KBHNNNE_C13585.pdf</t>
    </r>
  </si>
  <si>
    <r>
      <rPr>
        <sz val="10"/>
        <color indexed="8"/>
        <rFont val="Arial"/>
      </rPr>
      <t>CAP_1uF_X5R_0603_50V</t>
    </r>
  </si>
  <si>
    <r>
      <rPr>
        <sz val="10"/>
        <color indexed="8"/>
        <rFont val="Arial"/>
      </rPr>
      <t>1uF 10% X5R 50V</t>
    </r>
  </si>
  <si>
    <r>
      <rPr>
        <sz val="10"/>
        <color indexed="8"/>
        <rFont val="Arial"/>
      </rPr>
      <t>1uF CAP 10% X5R 50V</t>
    </r>
  </si>
  <si>
    <r>
      <rPr>
        <u val="single"/>
        <sz val="10"/>
        <color indexed="8"/>
        <rFont val="Arial"/>
      </rPr>
      <t>C15849</t>
    </r>
  </si>
  <si>
    <r>
      <rPr>
        <sz val="10"/>
        <color indexed="8"/>
        <rFont val="Arial"/>
      </rPr>
      <t>1uF</t>
    </r>
  </si>
  <si>
    <t>C15849</t>
  </si>
  <si>
    <t>50V 1uF X5R ±10% 0603 Multilayer Ceramic Capacitors MLCC</t>
  </si>
  <si>
    <t>1uF</t>
  </si>
  <si>
    <t>CL10A105KB8NNNC</t>
  </si>
  <si>
    <r>
      <rPr>
        <u val="single"/>
        <sz val="10"/>
        <color indexed="8"/>
        <rFont val="Arial"/>
      </rPr>
      <t>https://www.lcsc.com/datasheet/lcsc_datasheet_2304140030_Samsung-Electro-Mechanics-CL10A105KB8NNNC_C15849.pdf</t>
    </r>
  </si>
  <si>
    <r>
      <rPr>
        <sz val="10"/>
        <color indexed="8"/>
        <rFont val="Arial"/>
      </rPr>
      <t>CAP_1uF_X5R_0603_25V</t>
    </r>
  </si>
  <si>
    <r>
      <rPr>
        <sz val="10"/>
        <color indexed="8"/>
        <rFont val="Arial"/>
      </rPr>
      <t>1uF 10% X5R 25V</t>
    </r>
  </si>
  <si>
    <r>
      <rPr>
        <sz val="10"/>
        <color indexed="8"/>
        <rFont val="Arial"/>
      </rPr>
      <t>1uF CAP 10% X5R 25V</t>
    </r>
  </si>
  <si>
    <r>
      <rPr>
        <u val="single"/>
        <sz val="10"/>
        <color indexed="8"/>
        <rFont val="Arial"/>
      </rPr>
      <t>C2169859</t>
    </r>
  </si>
  <si>
    <t>C2169859</t>
  </si>
  <si>
    <t>35V 1uF X5R ±10% 0603 Multilayer Ceramic Capacitors MLCC</t>
  </si>
  <si>
    <t>Taiyo Yuden</t>
  </si>
  <si>
    <t>GMK107BJ105KAHT</t>
  </si>
  <si>
    <r>
      <rPr>
        <u val="single"/>
        <sz val="10"/>
        <color indexed="8"/>
        <rFont val="Arial"/>
      </rPr>
      <t>https://wmsc.lcsc.com/wmsc/upload/file/pdf/v2/lcsc/2309051403_Taiyo-Yuden-GMK107BJ105KAHT_C2169859.pdf</t>
    </r>
  </si>
  <si>
    <r>
      <rPr>
        <sz val="10"/>
        <color indexed="8"/>
        <rFont val="Arial"/>
      </rPr>
      <t>CAP_220uF_Electrolytic_8x10</t>
    </r>
  </si>
  <si>
    <r>
      <rPr>
        <sz val="10"/>
        <color indexed="8"/>
        <rFont val="Arial"/>
      </rPr>
      <t>220uF 20% Electrolytic 35V</t>
    </r>
  </si>
  <si>
    <r>
      <rPr>
        <sz val="10"/>
        <color indexed="8"/>
        <rFont val="Arial"/>
      </rPr>
      <t>220uF CAP 20% Electrolytic 35V</t>
    </r>
  </si>
  <si>
    <r>
      <rPr>
        <u val="single"/>
        <sz val="10"/>
        <color indexed="8"/>
        <rFont val="Arial"/>
      </rPr>
      <t>C136294</t>
    </r>
  </si>
  <si>
    <r>
      <rPr>
        <sz val="10"/>
        <color indexed="8"/>
        <rFont val="Arial"/>
      </rPr>
      <t>220uF</t>
    </r>
  </si>
  <si>
    <t>C136294</t>
  </si>
  <si>
    <t>220uF 35V 300mA@120Hz ±20% SMD D8xL10mm Aluminum Electrolytic Capacitor</t>
  </si>
  <si>
    <t>220uF</t>
  </si>
  <si>
    <t>8x10</t>
  </si>
  <si>
    <t>35V</t>
  </si>
  <si>
    <t>Nichicon</t>
  </si>
  <si>
    <t>UCD1V221MNL1GS</t>
  </si>
  <si>
    <t>SPCoast:CP_Elec_8x10</t>
  </si>
  <si>
    <r>
      <rPr>
        <u val="single"/>
        <sz val="10"/>
        <color indexed="8"/>
        <rFont val="Arial"/>
      </rPr>
      <t>https://www.lcsc.com/datasheet/lcsc_datasheet_1808312007_Nichicon-UCD1V221MNL1GS_C136294.pdf</t>
    </r>
  </si>
  <si>
    <r>
      <rPr>
        <sz val="10"/>
        <color indexed="8"/>
        <rFont val="Arial"/>
      </rPr>
      <t>CON_1x02-0.100</t>
    </r>
  </si>
  <si>
    <r>
      <rPr>
        <sz val="10"/>
        <color indexed="8"/>
        <rFont val="Arial"/>
      </rPr>
      <t>1x02-0.100 Male Header</t>
    </r>
  </si>
  <si>
    <r>
      <rPr>
        <sz val="10"/>
        <color indexed="8"/>
        <rFont val="Arial"/>
      </rPr>
      <t>1x02-0.100 CON Male Header</t>
    </r>
  </si>
  <si>
    <r>
      <rPr>
        <sz val="10"/>
        <color indexed="8"/>
        <rFont val="Arial"/>
      </rPr>
      <t>1x02-0.100</t>
    </r>
  </si>
  <si>
    <t>CON</t>
  </si>
  <si>
    <t>1x02-0.100</t>
  </si>
  <si>
    <t>Male Header</t>
  </si>
  <si>
    <t>1x02 0.100 / 2.54mm Header</t>
  </si>
  <si>
    <t>1x2</t>
  </si>
  <si>
    <t>2.54mm</t>
  </si>
  <si>
    <t>SPCoast:Conn_01x02</t>
  </si>
  <si>
    <t>SPCoast:Connector_01x02_V</t>
  </si>
  <si>
    <r>
      <rPr>
        <sz val="10"/>
        <color indexed="8"/>
        <rFont val="Arial"/>
      </rPr>
      <t>CON_1x02-0.100-screw</t>
    </r>
  </si>
  <si>
    <r>
      <rPr>
        <sz val="10"/>
        <color indexed="8"/>
        <rFont val="Arial"/>
      </rPr>
      <t>1x02-0.100-screw</t>
    </r>
  </si>
  <si>
    <r>
      <rPr>
        <sz val="10"/>
        <color indexed="8"/>
        <rFont val="Arial"/>
      </rPr>
      <t>1x02-0.100-screw CON</t>
    </r>
  </si>
  <si>
    <r>
      <rPr>
        <u val="single"/>
        <sz val="10"/>
        <color indexed="8"/>
        <rFont val="Arial"/>
      </rPr>
      <t>C3029316</t>
    </r>
  </si>
  <si>
    <t>1x02-0.100-screw</t>
  </si>
  <si>
    <t>C3029316</t>
  </si>
  <si>
    <t>1x02 0.100 / 2.54mm Terminal Block</t>
  </si>
  <si>
    <r>
      <rPr>
        <sz val="10"/>
        <color indexed="8"/>
        <rFont val="Arial"/>
      </rPr>
      <t>CON_1x02-0.100-socket</t>
    </r>
  </si>
  <si>
    <r>
      <rPr>
        <sz val="10"/>
        <color indexed="8"/>
        <rFont val="Arial"/>
      </rPr>
      <t>1x02-0.100-socket Female Header 3A</t>
    </r>
  </si>
  <si>
    <r>
      <rPr>
        <sz val="10"/>
        <color indexed="8"/>
        <rFont val="Arial"/>
      </rPr>
      <t>1x02-0.100-socket CON Female Header 3A</t>
    </r>
  </si>
  <si>
    <r>
      <rPr>
        <u val="single"/>
        <sz val="10"/>
        <color indexed="8"/>
        <rFont val="Arial"/>
      </rPr>
      <t>C429966</t>
    </r>
  </si>
  <si>
    <r>
      <rPr>
        <sz val="10"/>
        <color indexed="8"/>
        <rFont val="Arial"/>
      </rPr>
      <t>1x02-0.100-socket</t>
    </r>
  </si>
  <si>
    <t>1x02-0.100-socket</t>
  </si>
  <si>
    <t>Female Header</t>
  </si>
  <si>
    <t>C429966</t>
  </si>
  <si>
    <t>1x02 0.100 / 2.54mm 8.5mm Square Hole Top Female Header Brass Gold</t>
  </si>
  <si>
    <t>8.5mm</t>
  </si>
  <si>
    <t>3A</t>
  </si>
  <si>
    <t>JILN</t>
  </si>
  <si>
    <t>22850102ANG1SYA02</t>
  </si>
  <si>
    <r>
      <rPr>
        <sz val="10"/>
        <color indexed="8"/>
        <rFont val="Arial"/>
      </rPr>
      <t>CON_1x02-0.200-block</t>
    </r>
  </si>
  <si>
    <r>
      <rPr>
        <sz val="10"/>
        <color indexed="8"/>
        <rFont val="Arial"/>
      </rPr>
      <t>1x02-0.200-block Push-Pull 300V 15A</t>
    </r>
  </si>
  <si>
    <r>
      <rPr>
        <sz val="10"/>
        <color indexed="8"/>
        <rFont val="Arial"/>
      </rPr>
      <t>1x02-0.200-block CON Push-Pull 300V 15A</t>
    </r>
  </si>
  <si>
    <r>
      <rPr>
        <u val="single"/>
        <sz val="10"/>
        <color indexed="8"/>
        <rFont val="Arial"/>
      </rPr>
      <t>C42378069</t>
    </r>
  </si>
  <si>
    <r>
      <rPr>
        <sz val="10"/>
        <color indexed="8"/>
        <rFont val="Arial"/>
      </rPr>
      <t>1x02-0.200-block</t>
    </r>
  </si>
  <si>
    <t>1x02-0.200-block</t>
  </si>
  <si>
    <t>MSTB</t>
  </si>
  <si>
    <t>Push-Pull</t>
  </si>
  <si>
    <t>C42378069</t>
  </si>
  <si>
    <t>1x02 0.200 / 5.08mm Board Side/Socket - Closed Green Right-Angle Push-Pull, Pluggable System Terminal Block</t>
  </si>
  <si>
    <t>5.08mm</t>
  </si>
  <si>
    <t>300V</t>
  </si>
  <si>
    <t>15A</t>
  </si>
  <si>
    <t>Megastar</t>
  </si>
  <si>
    <t>ZX-DGRC-5.08-2P</t>
  </si>
  <si>
    <t>Connector_Phoenix_MSTB:PhoenixContact_MSTBA_2,5_2-G-5,08_1x02_P5.08mm_Horizontal</t>
  </si>
  <si>
    <r>
      <rPr>
        <sz val="10"/>
        <color indexed="8"/>
        <rFont val="Arial"/>
      </rPr>
      <t>CON_1x03-0.100</t>
    </r>
  </si>
  <si>
    <r>
      <rPr>
        <sz val="10"/>
        <color indexed="8"/>
        <rFont val="Arial"/>
      </rPr>
      <t>1x03-0.100 Male Header</t>
    </r>
  </si>
  <si>
    <r>
      <rPr>
        <sz val="10"/>
        <color indexed="8"/>
        <rFont val="Arial"/>
      </rPr>
      <t>1x03-0.100 CON Male Header</t>
    </r>
  </si>
  <si>
    <r>
      <rPr>
        <sz val="10"/>
        <color indexed="8"/>
        <rFont val="Arial"/>
      </rPr>
      <t>1x03-0.100</t>
    </r>
  </si>
  <si>
    <t>1x03-0.100</t>
  </si>
  <si>
    <t>1x03 0.100 / 2.54mm Header</t>
  </si>
  <si>
    <t>1x3</t>
  </si>
  <si>
    <t>SPCoast:Conn_01x03</t>
  </si>
  <si>
    <t>SPCoast:Connector_01x03_V</t>
  </si>
  <si>
    <r>
      <rPr>
        <sz val="10"/>
        <color indexed="8"/>
        <rFont val="Arial"/>
      </rPr>
      <t>CON_1x04-0.100</t>
    </r>
  </si>
  <si>
    <r>
      <rPr>
        <sz val="10"/>
        <color indexed="8"/>
        <rFont val="Arial"/>
      </rPr>
      <t>1x04-0.100 Male Header</t>
    </r>
  </si>
  <si>
    <r>
      <rPr>
        <sz val="10"/>
        <color indexed="8"/>
        <rFont val="Arial"/>
      </rPr>
      <t>1x04-0.100 CON Male Header</t>
    </r>
  </si>
  <si>
    <r>
      <rPr>
        <u val="single"/>
        <sz val="10"/>
        <color indexed="8"/>
        <rFont val="Arial"/>
      </rPr>
      <t>C2691448</t>
    </r>
  </si>
  <si>
    <r>
      <rPr>
        <sz val="10"/>
        <color indexed="8"/>
        <rFont val="Arial"/>
      </rPr>
      <t>1x04-0.100</t>
    </r>
  </si>
  <si>
    <t>1x04-0.100</t>
  </si>
  <si>
    <t>C2691448</t>
  </si>
  <si>
    <t>1x04 0.100 / 2.54mm Header</t>
  </si>
  <si>
    <t>1x4</t>
  </si>
  <si>
    <t>XFCN</t>
  </si>
  <si>
    <t>PZ254V-11-04P</t>
  </si>
  <si>
    <t>SPCoast:Conn_01x04</t>
  </si>
  <si>
    <t>SPCoast:Connector_01x04_V</t>
  </si>
  <si>
    <r>
      <rPr>
        <sz val="10"/>
        <color indexed="8"/>
        <rFont val="Arial"/>
      </rPr>
      <t>CON_1x04-0.100-RA</t>
    </r>
  </si>
  <si>
    <r>
      <rPr>
        <sz val="10"/>
        <color indexed="8"/>
        <rFont val="Arial"/>
      </rPr>
      <t>1x04-0.100-RA Male Header</t>
    </r>
  </si>
  <si>
    <r>
      <rPr>
        <sz val="10"/>
        <color indexed="8"/>
        <rFont val="Arial"/>
      </rPr>
      <t>1x04-0.100-RA CON Male Header</t>
    </r>
  </si>
  <si>
    <r>
      <rPr>
        <u val="single"/>
        <sz val="10"/>
        <color indexed="8"/>
        <rFont val="Arial"/>
      </rPr>
      <t>C18214184</t>
    </r>
  </si>
  <si>
    <r>
      <rPr>
        <sz val="10"/>
        <color indexed="8"/>
        <rFont val="Arial"/>
      </rPr>
      <t>1x04-0.100-RA</t>
    </r>
  </si>
  <si>
    <t>1x04-0.100-RA</t>
  </si>
  <si>
    <t>C18214184</t>
  </si>
  <si>
    <t>1x04 0.100 / 2.54mm  Right Angle</t>
  </si>
  <si>
    <t>CST</t>
  </si>
  <si>
    <t>1110-1x4(L11.5)PA6T</t>
  </si>
  <si>
    <r>
      <rPr>
        <sz val="10"/>
        <color indexed="8"/>
        <rFont val="Arial"/>
      </rPr>
      <t>CON_1x04-0.100-screw</t>
    </r>
  </si>
  <si>
    <r>
      <rPr>
        <sz val="10"/>
        <color indexed="8"/>
        <rFont val="Arial"/>
      </rPr>
      <t>1x04-0.100-screw Screw Header</t>
    </r>
  </si>
  <si>
    <r>
      <rPr>
        <sz val="10"/>
        <color indexed="8"/>
        <rFont val="Arial"/>
      </rPr>
      <t>1x04-0.100-screw CON Screw Header</t>
    </r>
  </si>
  <si>
    <r>
      <rPr>
        <u val="single"/>
        <sz val="10"/>
        <color indexed="8"/>
        <rFont val="Arial"/>
      </rPr>
      <t>C3816889</t>
    </r>
  </si>
  <si>
    <r>
      <rPr>
        <sz val="10"/>
        <color indexed="8"/>
        <rFont val="Arial"/>
      </rPr>
      <t>1x04-0.100-screw</t>
    </r>
  </si>
  <si>
    <t>1x04-0.100-screw</t>
  </si>
  <si>
    <t>Screw Header</t>
  </si>
  <si>
    <t>C3816889</t>
  </si>
  <si>
    <t>1x04 0.100 / 2.54mm Terminal Block</t>
  </si>
  <si>
    <r>
      <rPr>
        <sz val="10"/>
        <color indexed="8"/>
        <rFont val="Arial"/>
      </rPr>
      <t>CON_1x04-0.100-SSD1306</t>
    </r>
  </si>
  <si>
    <r>
      <rPr>
        <sz val="10"/>
        <color indexed="8"/>
        <rFont val="Arial"/>
      </rPr>
      <t>1x04-0.100-SSD1306 Male Header</t>
    </r>
  </si>
  <si>
    <r>
      <rPr>
        <sz val="10"/>
        <color indexed="8"/>
        <rFont val="Arial"/>
      </rPr>
      <t>1x04-0.100-SSD1306 CON Male Header</t>
    </r>
  </si>
  <si>
    <r>
      <rPr>
        <sz val="10"/>
        <color indexed="8"/>
        <rFont val="Arial"/>
      </rPr>
      <t>1x04-0.100-SSD1306</t>
    </r>
  </si>
  <si>
    <t>1x04-0.100-SSD1306</t>
  </si>
  <si>
    <t>1x04 0.100 / 2.54mm I2C SSD1306 OLED Connector</t>
  </si>
  <si>
    <t>SPCoast:Conn_I2C-OLED</t>
  </si>
  <si>
    <t>SPCoast:Connector_I2C-OLED</t>
  </si>
  <si>
    <r>
      <rPr>
        <sz val="10"/>
        <color indexed="8"/>
        <rFont val="Arial"/>
      </rPr>
      <t>CON_1x04-0.200-block</t>
    </r>
  </si>
  <si>
    <r>
      <rPr>
        <sz val="10"/>
        <color indexed="8"/>
        <rFont val="Arial"/>
      </rPr>
      <t>1x04-0.200-block Push-Pull 300V 15A</t>
    </r>
  </si>
  <si>
    <r>
      <rPr>
        <sz val="10"/>
        <color indexed="8"/>
        <rFont val="Arial"/>
      </rPr>
      <t>1x04-0.200-block CON Push-Pull 300V 15A</t>
    </r>
  </si>
  <si>
    <r>
      <rPr>
        <u val="single"/>
        <sz val="10"/>
        <color indexed="8"/>
        <rFont val="Arial"/>
      </rPr>
      <t>C42378071</t>
    </r>
  </si>
  <si>
    <r>
      <rPr>
        <sz val="10"/>
        <color indexed="8"/>
        <rFont val="Arial"/>
      </rPr>
      <t>1x04-0.200-block</t>
    </r>
  </si>
  <si>
    <t>1x04-0.200-block</t>
  </si>
  <si>
    <t>C42378071</t>
  </si>
  <si>
    <t>1x04 0.200 / 5.08mm Board Side/Socket - Closed Green Right-Angle Push-Pull, Pluggable System Terminal Block</t>
  </si>
  <si>
    <t>ZX-DGRC-5.08-4P</t>
  </si>
  <si>
    <t>Connector_Phoenix_MSTB:PhoenixContact_MSTBA_2,5_4-G-5,08_1x04_P5.08mm_Horizontal</t>
  </si>
  <si>
    <r>
      <rPr>
        <sz val="10"/>
        <color indexed="8"/>
        <rFont val="Arial"/>
      </rPr>
      <t>CON_1x05-3.5-screw</t>
    </r>
  </si>
  <si>
    <r>
      <rPr>
        <sz val="10"/>
        <color indexed="8"/>
        <rFont val="Arial"/>
      </rPr>
      <t>1x05-3.5-screw Screw Header</t>
    </r>
  </si>
  <si>
    <r>
      <rPr>
        <sz val="10"/>
        <color indexed="8"/>
        <rFont val="Arial"/>
      </rPr>
      <t>1x05-3.5-screw CON Screw Header</t>
    </r>
  </si>
  <si>
    <r>
      <rPr>
        <u val="single"/>
        <sz val="10"/>
        <color indexed="8"/>
        <rFont val="Arial"/>
      </rPr>
      <t>C3646874</t>
    </r>
  </si>
  <si>
    <r>
      <rPr>
        <sz val="10"/>
        <color indexed="8"/>
        <rFont val="Arial"/>
      </rPr>
      <t>1x05-3.5-screw</t>
    </r>
  </si>
  <si>
    <t>1x05-3.5-screw</t>
  </si>
  <si>
    <t>C3646874</t>
  </si>
  <si>
    <t>1x05 3.5mm Terminal Block</t>
  </si>
  <si>
    <t>1x5</t>
  </si>
  <si>
    <t>3.5mm</t>
  </si>
  <si>
    <r>
      <rPr>
        <sz val="10"/>
        <color indexed="8"/>
        <rFont val="Arial"/>
      </rPr>
      <t>CON_1x06-0.100</t>
    </r>
  </si>
  <si>
    <r>
      <rPr>
        <sz val="10"/>
        <color indexed="8"/>
        <rFont val="Arial"/>
      </rPr>
      <t>1x06-0.100 Male Header</t>
    </r>
  </si>
  <si>
    <r>
      <rPr>
        <sz val="10"/>
        <color indexed="8"/>
        <rFont val="Arial"/>
      </rPr>
      <t>1x06-0.100 CON Male Header</t>
    </r>
  </si>
  <si>
    <r>
      <rPr>
        <sz val="10"/>
        <color indexed="8"/>
        <rFont val="Arial"/>
      </rPr>
      <t>1x06-0.100</t>
    </r>
  </si>
  <si>
    <t>1x06-0.100</t>
  </si>
  <si>
    <t>1x06 0.100 / 2.54mm Header</t>
  </si>
  <si>
    <t>1x6</t>
  </si>
  <si>
    <t>SPCoast:Conn_01x06</t>
  </si>
  <si>
    <t>SPCoast:Connector_01x06_V</t>
  </si>
  <si>
    <r>
      <rPr>
        <sz val="10"/>
        <color indexed="8"/>
        <rFont val="Arial"/>
      </rPr>
      <t>CON_1x08-0.100-socket</t>
    </r>
  </si>
  <si>
    <r>
      <rPr>
        <sz val="10"/>
        <color indexed="8"/>
        <rFont val="Arial"/>
      </rPr>
      <t>1x08-0.100-socket Female Header 3A</t>
    </r>
  </si>
  <si>
    <r>
      <rPr>
        <sz val="10"/>
        <color indexed="8"/>
        <rFont val="Arial"/>
      </rPr>
      <t>1x08-0.100-socket CON Female Header 3A</t>
    </r>
  </si>
  <si>
    <r>
      <rPr>
        <u val="single"/>
        <sz val="10"/>
        <color indexed="8"/>
        <rFont val="Arial"/>
      </rPr>
      <t>C27438</t>
    </r>
  </si>
  <si>
    <r>
      <rPr>
        <sz val="10"/>
        <color indexed="8"/>
        <rFont val="Arial"/>
      </rPr>
      <t>1x08-0.100-socket</t>
    </r>
  </si>
  <si>
    <t>1x08-0.100-socket</t>
  </si>
  <si>
    <t>C27438</t>
  </si>
  <si>
    <t>1x08 0.100 / 2.54mm 8.5mm Square Hole Top Female Header Brass Gold</t>
  </si>
  <si>
    <t>1x8</t>
  </si>
  <si>
    <r>
      <rPr>
        <sz val="10"/>
        <color indexed="8"/>
        <rFont val="Arial"/>
      </rPr>
      <t>CON_1x12-0.100-socket</t>
    </r>
  </si>
  <si>
    <r>
      <rPr>
        <sz val="10"/>
        <color indexed="8"/>
        <rFont val="Arial"/>
      </rPr>
      <t>1x12-0.100-socket Female Header 3A</t>
    </r>
  </si>
  <si>
    <r>
      <rPr>
        <sz val="10"/>
        <color indexed="8"/>
        <rFont val="Arial"/>
      </rPr>
      <t>1x12-0.100-socket CON Female Header 3A</t>
    </r>
  </si>
  <si>
    <r>
      <rPr>
        <u val="single"/>
        <sz val="10"/>
        <color indexed="8"/>
        <rFont val="Arial"/>
      </rPr>
      <t>C2905419</t>
    </r>
  </si>
  <si>
    <r>
      <rPr>
        <sz val="10"/>
        <color indexed="8"/>
        <rFont val="Arial"/>
      </rPr>
      <t>1x12-0.100-socket</t>
    </r>
  </si>
  <si>
    <t>1x12-0.100-socket</t>
  </si>
  <si>
    <t>C2905419</t>
  </si>
  <si>
    <t>1x12 0.100 / 2.54mm 8.5mm Square Hole Top Female Header</t>
  </si>
  <si>
    <t>1x12</t>
  </si>
  <si>
    <r>
      <rPr>
        <sz val="10"/>
        <color indexed="8"/>
        <rFont val="Arial"/>
      </rPr>
      <t>CON_DCJ0202</t>
    </r>
  </si>
  <si>
    <r>
      <rPr>
        <sz val="10"/>
        <color indexed="8"/>
        <rFont val="Arial"/>
      </rPr>
      <t>DCJ0202 Power Connector</t>
    </r>
  </si>
  <si>
    <r>
      <rPr>
        <sz val="10"/>
        <color indexed="8"/>
        <rFont val="Arial"/>
      </rPr>
      <t>DCJ0202 CON Power Connector</t>
    </r>
  </si>
  <si>
    <r>
      <rPr>
        <sz val="10"/>
        <color indexed="8"/>
        <rFont val="Arial"/>
      </rPr>
      <t>DCJ0202</t>
    </r>
  </si>
  <si>
    <t>Power Connector</t>
  </si>
  <si>
    <t>DC Jack 0202</t>
  </si>
  <si>
    <t>3x</t>
  </si>
  <si>
    <t>DCJ0202</t>
  </si>
  <si>
    <t>SPCoast:Conn_DC_POWER</t>
  </si>
  <si>
    <t>SPCoast:DCJ0202</t>
  </si>
  <si>
    <r>
      <rPr>
        <sz val="10"/>
        <color indexed="8"/>
        <rFont val="Arial"/>
      </rPr>
      <t>CON_DIP-14</t>
    </r>
  </si>
  <si>
    <r>
      <rPr>
        <sz val="10"/>
        <color indexed="8"/>
        <rFont val="Arial"/>
      </rPr>
      <t>DIP-14 Socket</t>
    </r>
  </si>
  <si>
    <r>
      <rPr>
        <sz val="10"/>
        <color indexed="8"/>
        <rFont val="Arial"/>
      </rPr>
      <t>DIP-14 CON Socket</t>
    </r>
  </si>
  <si>
    <r>
      <rPr>
        <u val="single"/>
        <sz val="10"/>
        <color indexed="8"/>
        <rFont val="Arial"/>
      </rPr>
      <t>C2325</t>
    </r>
  </si>
  <si>
    <t>DIP-14</t>
  </si>
  <si>
    <t>Socket</t>
  </si>
  <si>
    <t>C2325</t>
  </si>
  <si>
    <t>14P DIP Tin Square Hole 0.300 / 7.62mm 0.100 / 2.54mm DIP-14 IC Socket</t>
  </si>
  <si>
    <t>0.3"</t>
  </si>
  <si>
    <t>2x7</t>
  </si>
  <si>
    <t>BOOMELE(Boom Precision Elec)</t>
  </si>
  <si>
    <t>IC-14P</t>
  </si>
  <si>
    <t>Package_DIP:DIP-14_W7.62mm_Socket</t>
  </si>
  <si>
    <r>
      <rPr>
        <sz val="10"/>
        <color indexed="8"/>
        <rFont val="Arial"/>
      </rPr>
      <t>CON_FTDI-1x6-0.100</t>
    </r>
  </si>
  <si>
    <r>
      <rPr>
        <sz val="10"/>
        <color indexed="8"/>
        <rFont val="Arial"/>
      </rPr>
      <t>FTDI-1x6-0.100 Male Header</t>
    </r>
  </si>
  <si>
    <r>
      <rPr>
        <sz val="10"/>
        <color indexed="8"/>
        <rFont val="Arial"/>
      </rPr>
      <t>FTDI-1x6-0.100 CON Male Header</t>
    </r>
  </si>
  <si>
    <r>
      <rPr>
        <sz val="10"/>
        <color indexed="8"/>
        <rFont val="Arial"/>
      </rPr>
      <t>FTDI-1x6-0.100</t>
    </r>
  </si>
  <si>
    <t>FTDI-1x6-0.100</t>
  </si>
  <si>
    <t>1x06 0.100 / 2.54mm FTDI Programming Connector</t>
  </si>
  <si>
    <t>SPCoast:Conn_Programmer-FTDI</t>
  </si>
  <si>
    <t>SPCoast:Connector_FTDI-DEVICE-SIDE</t>
  </si>
  <si>
    <r>
      <rPr>
        <sz val="10"/>
        <color indexed="8"/>
        <rFont val="Arial"/>
      </rPr>
      <t>CON_M5-1x6-0.100</t>
    </r>
  </si>
  <si>
    <r>
      <rPr>
        <sz val="10"/>
        <color indexed="8"/>
        <rFont val="Arial"/>
      </rPr>
      <t>M5-1x6-0.100 Female Header</t>
    </r>
  </si>
  <si>
    <r>
      <rPr>
        <sz val="10"/>
        <color indexed="8"/>
        <rFont val="Arial"/>
      </rPr>
      <t>M5-1x6-0.100 CON Female Header</t>
    </r>
  </si>
  <si>
    <r>
      <rPr>
        <sz val="10"/>
        <color indexed="8"/>
        <rFont val="Arial"/>
      </rPr>
      <t>M5-1x6-0.100</t>
    </r>
  </si>
  <si>
    <t>M5-1x6-0.100</t>
  </si>
  <si>
    <t>1x06 0.100 / 2.54mm M5 Programming Connector</t>
  </si>
  <si>
    <t>SPCoast:Conn_Programmer-M5</t>
  </si>
  <si>
    <t>SPCoast:Connector_M5-DEVICE-SIDE</t>
  </si>
  <si>
    <r>
      <rPr>
        <sz val="10"/>
        <color indexed="8"/>
        <rFont val="Arial"/>
      </rPr>
      <t>CON_RJ12</t>
    </r>
  </si>
  <si>
    <r>
      <rPr>
        <sz val="10"/>
        <color indexed="8"/>
        <rFont val="Arial"/>
      </rPr>
      <t>RJ12 RJ12</t>
    </r>
  </si>
  <si>
    <r>
      <rPr>
        <sz val="10"/>
        <color indexed="8"/>
        <rFont val="Arial"/>
      </rPr>
      <t>RJ12 CON RJ12</t>
    </r>
  </si>
  <si>
    <r>
      <rPr>
        <u val="single"/>
        <sz val="10"/>
        <color indexed="8"/>
        <rFont val="Arial"/>
      </rPr>
      <t>C3097718</t>
    </r>
  </si>
  <si>
    <t>RJ12</t>
  </si>
  <si>
    <t>RJ11 RJ11-6P6C RJ12-6P6C RJ25 RJ25-6P6C</t>
  </si>
  <si>
    <t>C3097718</t>
  </si>
  <si>
    <t>Jack Modular Connector RJ12 Through Hole 0.250 / 6.35mm</t>
  </si>
  <si>
    <t>6.35mm</t>
  </si>
  <si>
    <t>6/6</t>
  </si>
  <si>
    <t>EVERCOM</t>
  </si>
  <si>
    <t>5303-6P6C</t>
  </si>
  <si>
    <t>Connector:6P6C</t>
  </si>
  <si>
    <t>RJ12_Amphenol_54601-x06_Horizontal</t>
  </si>
  <si>
    <r>
      <rPr>
        <u val="single"/>
        <sz val="10"/>
        <color indexed="8"/>
        <rFont val="Arial"/>
      </rPr>
      <t>https://cdn.amphenol-cs.com/media/wysiwyg/files/drawing/c-bmj-0082.pdf</t>
    </r>
  </si>
  <si>
    <t>Jack Modular Connector RJ12 Through Hole 0.350 / 8.89mm</t>
  </si>
  <si>
    <t>8.89mm</t>
  </si>
  <si>
    <t>MJEA-66</t>
  </si>
  <si>
    <t>RJ25_Wayconn_MJEA-660X1_Horizontal</t>
  </si>
  <si>
    <r>
      <rPr>
        <u val="single"/>
        <sz val="10"/>
        <color indexed="8"/>
        <rFont val="Arial"/>
      </rPr>
      <t>https://www.wayconn.com/wp-content/uploads/datasheet/MJIC-660XXX-RJ11-RJ12-RJ25-PCB-Jack-without-Panel.pdf</t>
    </r>
  </si>
  <si>
    <r>
      <rPr>
        <sz val="10"/>
        <color indexed="8"/>
        <rFont val="Arial"/>
      </rPr>
      <t>CON_RJ45</t>
    </r>
  </si>
  <si>
    <r>
      <rPr>
        <sz val="10"/>
        <color indexed="8"/>
        <rFont val="Arial"/>
      </rPr>
      <t>RJ45 RJ45</t>
    </r>
  </si>
  <si>
    <r>
      <rPr>
        <sz val="10"/>
        <color indexed="8"/>
        <rFont val="Arial"/>
      </rPr>
      <t>RJ45 CON RJ45</t>
    </r>
  </si>
  <si>
    <r>
      <rPr>
        <u val="single"/>
        <sz val="10"/>
        <color indexed="8"/>
        <rFont val="Arial"/>
      </rPr>
      <t>C7205130</t>
    </r>
  </si>
  <si>
    <t>RJ45</t>
  </si>
  <si>
    <t>RJ45-8P8C</t>
  </si>
  <si>
    <t>C7205130</t>
  </si>
  <si>
    <t>Jack Modular Connector RJ45 Through Hole</t>
  </si>
  <si>
    <t>8/8</t>
  </si>
  <si>
    <t>FG</t>
  </si>
  <si>
    <t>RJ-052-1-6</t>
  </si>
  <si>
    <t>Connector:8P8C</t>
  </si>
  <si>
    <t>Connector_RJ:RJ45_OST_PJ012-8P8CX_Vertical</t>
  </si>
  <si>
    <r>
      <rPr>
        <u val="single"/>
        <sz val="10"/>
        <color indexed="8"/>
        <rFont val="Arial"/>
      </rPr>
      <t>https://www.lcsc.com/datasheet/C7205130.pdf?spm=wm.sxq.inf.ggs___wm.ssy.bg.20.cbh&amp;lcsc_vid=QVZeA1dfQFALX1AFTlJbVAcFR1ldAgAEQVILVlZfRwcxVlNRQ1hXUFBQQVNdUzsOAxUeFF5JWBYZEEoKFBINSQcJGk4eFQsCAgIaSgADAwAHC0slRVJcUkoOAwwC</t>
    </r>
  </si>
  <si>
    <r>
      <rPr>
        <sz val="10"/>
        <color indexed="8"/>
        <rFont val="Arial"/>
      </rPr>
      <t>CON_TC2030-FP</t>
    </r>
  </si>
  <si>
    <r>
      <rPr>
        <sz val="10"/>
        <color indexed="8"/>
        <rFont val="Arial"/>
      </rPr>
      <t>TC2030-FP SilkScreen &amp; Pads</t>
    </r>
  </si>
  <si>
    <r>
      <rPr>
        <sz val="10"/>
        <color indexed="8"/>
        <rFont val="Arial"/>
      </rPr>
      <t>TC2030-FP CON SilkScreen &amp; Pads</t>
    </r>
  </si>
  <si>
    <r>
      <rPr>
        <sz val="10"/>
        <color indexed="8"/>
        <rFont val="Arial"/>
      </rPr>
      <t>TC2030-FP</t>
    </r>
  </si>
  <si>
    <t>Other</t>
  </si>
  <si>
    <t>SilkScreen &amp; Pads</t>
  </si>
  <si>
    <t>Tag Connect “With Legs” 6-pin Plug-of-Nails™ programming cable with a 6-pin 0.1″ pitch ribbon connector.</t>
  </si>
  <si>
    <t>Legs</t>
  </si>
  <si>
    <t>2x3</t>
  </si>
  <si>
    <t>Tag Connect</t>
  </si>
  <si>
    <t>TC2030-FP</t>
  </si>
  <si>
    <t>SPCoast:TC2030-IDC</t>
  </si>
  <si>
    <t>SPCoast:Tag-Connect_TC2030-IDC-FP_2x03_P1.27mm_Vertical</t>
  </si>
  <si>
    <r>
      <rPr>
        <sz val="10"/>
        <color indexed="8"/>
        <rFont val="Arial"/>
      </rPr>
      <t>CON_TC2030-NL</t>
    </r>
  </si>
  <si>
    <r>
      <rPr>
        <sz val="10"/>
        <color indexed="8"/>
        <rFont val="Arial"/>
      </rPr>
      <t>TC2030-NL SilkScreen &amp; Pads</t>
    </r>
  </si>
  <si>
    <r>
      <rPr>
        <sz val="10"/>
        <color indexed="8"/>
        <rFont val="Arial"/>
      </rPr>
      <t>TC2030-NL CON SilkScreen &amp; Pads</t>
    </r>
  </si>
  <si>
    <r>
      <rPr>
        <sz val="10"/>
        <color indexed="8"/>
        <rFont val="Arial"/>
      </rPr>
      <t>TC2030-NL</t>
    </r>
  </si>
  <si>
    <t>Tag Connect “No Legs” 6-pin Plug-of-Nails™ programming cable with a 6-pin 0.1″ pitch ribbon connector.</t>
  </si>
  <si>
    <t>NL</t>
  </si>
  <si>
    <t>TC2030-NL</t>
  </si>
  <si>
    <t>SPCoast:Tag-Connect_TC2030-IDC-NL_2x03_P1.27mm_Vertical</t>
  </si>
  <si>
    <r>
      <rPr>
        <sz val="10"/>
        <color indexed="8"/>
        <rFont val="Arial"/>
      </rPr>
      <t>CON_TC2050-FP</t>
    </r>
  </si>
  <si>
    <r>
      <rPr>
        <sz val="10"/>
        <color indexed="8"/>
        <rFont val="Arial"/>
      </rPr>
      <t>TC2050-FP SilkScreen &amp; Pads</t>
    </r>
  </si>
  <si>
    <r>
      <rPr>
        <sz val="10"/>
        <color indexed="8"/>
        <rFont val="Arial"/>
      </rPr>
      <t>TC2050-FP CON SilkScreen &amp; Pads</t>
    </r>
  </si>
  <si>
    <r>
      <rPr>
        <sz val="10"/>
        <color indexed="8"/>
        <rFont val="Arial"/>
      </rPr>
      <t>TC2050-FP</t>
    </r>
  </si>
  <si>
    <t>Tag Connect “With Legs” 10-pin Plug-of-Nails™ programming cable with a10-pin 0.1″ pitch ribbon connector.</t>
  </si>
  <si>
    <t>2x5</t>
  </si>
  <si>
    <t>TC2050-FP</t>
  </si>
  <si>
    <t>SPCoast:TC2050-IDC</t>
  </si>
  <si>
    <t>SPCoast:Tag-Connect_TC2050-IDC-FP_2x05_P1.27mm_Vertical</t>
  </si>
  <si>
    <r>
      <rPr>
        <sz val="10"/>
        <color indexed="8"/>
        <rFont val="Arial"/>
      </rPr>
      <t>CON_TC2050-NL</t>
    </r>
  </si>
  <si>
    <r>
      <rPr>
        <sz val="10"/>
        <color indexed="8"/>
        <rFont val="Arial"/>
      </rPr>
      <t>TC2050-NL SilkScreen &amp; Pads</t>
    </r>
  </si>
  <si>
    <r>
      <rPr>
        <sz val="10"/>
        <color indexed="8"/>
        <rFont val="Arial"/>
      </rPr>
      <t>TC2050-NL CON SilkScreen &amp; Pads</t>
    </r>
  </si>
  <si>
    <r>
      <rPr>
        <sz val="10"/>
        <color indexed="8"/>
        <rFont val="Arial"/>
      </rPr>
      <t>TC2050-NL</t>
    </r>
  </si>
  <si>
    <t>Tag Connect “No Legs”10-pin Plug-of-Nails™ programming cable with a 10-pin 0.1″ pitch ribbon connector.</t>
  </si>
  <si>
    <t>TC2050-NL</t>
  </si>
  <si>
    <t>SPCoast:Tag-Connect_TC2050-IDC-NL_2x05_P1.27mm_Vertical</t>
  </si>
  <si>
    <r>
      <rPr>
        <sz val="10"/>
        <color indexed="8"/>
        <rFont val="Arial"/>
      </rPr>
      <t>CON_TC2070-FP</t>
    </r>
  </si>
  <si>
    <r>
      <rPr>
        <sz val="10"/>
        <color indexed="8"/>
        <rFont val="Arial"/>
      </rPr>
      <t>TC2070-FP SilkScreen &amp; Pads</t>
    </r>
  </si>
  <si>
    <r>
      <rPr>
        <sz val="10"/>
        <color indexed="8"/>
        <rFont val="Arial"/>
      </rPr>
      <t>TC2070-FP CON SilkScreen &amp; Pads</t>
    </r>
  </si>
  <si>
    <r>
      <rPr>
        <sz val="10"/>
        <color indexed="8"/>
        <rFont val="Arial"/>
      </rPr>
      <t>TC2070-FP</t>
    </r>
  </si>
  <si>
    <t>Tag Connect “With Legs” 14-pin Plug-of-Nails™ programming cable with a 14-pin 0.1″ pitch ribbon connector.</t>
  </si>
  <si>
    <t>TC2070-FP</t>
  </si>
  <si>
    <t>SPCoast:TC2070-IDC</t>
  </si>
  <si>
    <t>SPCoast:Tag-Connect_TC2070-IDC-FP_2x07_P1.27mm_Vertical</t>
  </si>
  <si>
    <r>
      <rPr>
        <sz val="10"/>
        <color indexed="8"/>
        <rFont val="Arial"/>
      </rPr>
      <t>DIO_4.7V_SOD-323</t>
    </r>
  </si>
  <si>
    <r>
      <rPr>
        <sz val="10"/>
        <color indexed="8"/>
        <rFont val="Arial"/>
      </rPr>
      <t>4.7V zener 4.7V 5mA 200mW</t>
    </r>
  </si>
  <si>
    <r>
      <rPr>
        <sz val="10"/>
        <color indexed="8"/>
        <rFont val="Arial"/>
      </rPr>
      <t>4.7V DIO zener 4.7V 5mA 200mW</t>
    </r>
  </si>
  <si>
    <r>
      <rPr>
        <u val="single"/>
        <sz val="10"/>
        <color indexed="8"/>
        <rFont val="Arial"/>
      </rPr>
      <t>C353517</t>
    </r>
  </si>
  <si>
    <r>
      <rPr>
        <sz val="10"/>
        <color indexed="8"/>
        <rFont val="Arial"/>
      </rPr>
      <t>4.7V</t>
    </r>
  </si>
  <si>
    <t>DIO</t>
  </si>
  <si>
    <t>4.7V</t>
  </si>
  <si>
    <t>zener</t>
  </si>
  <si>
    <t>C353517</t>
  </si>
  <si>
    <t>4.7V SOD-323 Zener Diode -W7</t>
  </si>
  <si>
    <t>SOD-323</t>
  </si>
  <si>
    <t>5mA</t>
  </si>
  <si>
    <t>200mW</t>
  </si>
  <si>
    <t>Shandong Jingdao</t>
  </si>
  <si>
    <t>BZT52C4V7S</t>
  </si>
  <si>
    <t>SPCoast:D_Zener_Filled</t>
  </si>
  <si>
    <t>SPCoast:SOD-323</t>
  </si>
  <si>
    <r>
      <rPr>
        <u val="single"/>
        <sz val="10"/>
        <color indexed="8"/>
        <rFont val="Arial"/>
      </rPr>
      <t>https://www.lcsc.com/datasheet/lcsc_datasheet_2304140030_Shandong-Jingdao-Microelectronics-BZT52C4V7S_C353517.pdf</t>
    </r>
  </si>
  <si>
    <r>
      <rPr>
        <sz val="10"/>
        <color indexed="8"/>
        <rFont val="Arial"/>
      </rPr>
      <t>DIO_BAT54_SOT-23</t>
    </r>
  </si>
  <si>
    <r>
      <rPr>
        <sz val="10"/>
        <color indexed="8"/>
        <rFont val="Arial"/>
      </rPr>
      <t>BAT54 single Schottkey 30V</t>
    </r>
  </si>
  <si>
    <r>
      <rPr>
        <sz val="10"/>
        <color indexed="8"/>
        <rFont val="Arial"/>
      </rPr>
      <t>BAT54 DIO single Schottkey 30V</t>
    </r>
  </si>
  <si>
    <r>
      <rPr>
        <u val="single"/>
        <sz val="10"/>
        <color indexed="8"/>
        <rFont val="Arial"/>
      </rPr>
      <t>C5261070</t>
    </r>
  </si>
  <si>
    <r>
      <rPr>
        <sz val="10"/>
        <color indexed="8"/>
        <rFont val="Arial"/>
      </rPr>
      <t>BAT54</t>
    </r>
  </si>
  <si>
    <t>single Schottkey</t>
  </si>
  <si>
    <t>C5261070</t>
  </si>
  <si>
    <t>BAT54  Single Schottky 30V 200mA</t>
  </si>
  <si>
    <t>SOT-23</t>
  </si>
  <si>
    <t>30V</t>
  </si>
  <si>
    <t>HXY</t>
  </si>
  <si>
    <t>BAT54</t>
  </si>
  <si>
    <t>Diode:BAT54</t>
  </si>
  <si>
    <t>SPCoast:SOT-23</t>
  </si>
  <si>
    <r>
      <rPr>
        <u val="single"/>
        <sz val="10"/>
        <color indexed="8"/>
        <rFont val="Arial"/>
      </rPr>
      <t>https://wmsc.lcsc.com/wmsc/upload/file/pdf/v2/lcsc/2406051353_HXY-MOSFET-BAT54_C5261070.pdf</t>
    </r>
  </si>
  <si>
    <r>
      <rPr>
        <sz val="10"/>
        <color indexed="8"/>
        <rFont val="Arial"/>
      </rPr>
      <t>DIO_BAT54A_SOT-23</t>
    </r>
  </si>
  <si>
    <r>
      <rPr>
        <sz val="10"/>
        <color indexed="8"/>
        <rFont val="Arial"/>
      </rPr>
      <t>BAT54A dual Schottkey common anode 30V</t>
    </r>
  </si>
  <si>
    <r>
      <rPr>
        <sz val="10"/>
        <color indexed="8"/>
        <rFont val="Arial"/>
      </rPr>
      <t>BAT54A DIO dual Schottkey common anode 30V</t>
    </r>
  </si>
  <si>
    <r>
      <rPr>
        <u val="single"/>
        <sz val="10"/>
        <color indexed="8"/>
        <rFont val="Arial"/>
      </rPr>
      <t>C2926172</t>
    </r>
  </si>
  <si>
    <r>
      <rPr>
        <sz val="10"/>
        <color indexed="8"/>
        <rFont val="Arial"/>
      </rPr>
      <t>BAT54A</t>
    </r>
  </si>
  <si>
    <t>dual Schottkey common anode</t>
  </si>
  <si>
    <t>C2926172</t>
  </si>
  <si>
    <t>BAT54A Dual Schottky 30V 200mA Common Anode</t>
  </si>
  <si>
    <t>FOSAN</t>
  </si>
  <si>
    <t>BAT54A</t>
  </si>
  <si>
    <t>Diode:BAT54A</t>
  </si>
  <si>
    <r>
      <rPr>
        <u val="single"/>
        <sz val="10"/>
        <color indexed="8"/>
        <rFont val="Arial"/>
      </rPr>
      <t>https://wmsc.lcsc.com/wmsc/upload/file/pdf/v2/lcsc/2112031830_FOSAN-BAT54A_C2926172.pdf</t>
    </r>
  </si>
  <si>
    <r>
      <rPr>
        <sz val="10"/>
        <color indexed="8"/>
        <rFont val="Arial"/>
      </rPr>
      <t>DIO_BAT54C_SOT-23</t>
    </r>
  </si>
  <si>
    <r>
      <rPr>
        <sz val="10"/>
        <color indexed="8"/>
        <rFont val="Arial"/>
      </rPr>
      <t>BAT54C dual Schottkey common cathode 30V</t>
    </r>
  </si>
  <si>
    <r>
      <rPr>
        <sz val="10"/>
        <color indexed="8"/>
        <rFont val="Arial"/>
      </rPr>
      <t>BAT54C DIO dual Schottkey common cathode 30V</t>
    </r>
  </si>
  <si>
    <r>
      <rPr>
        <u val="single"/>
        <sz val="10"/>
        <color indexed="8"/>
        <rFont val="Arial"/>
      </rPr>
      <t>C408388</t>
    </r>
  </si>
  <si>
    <r>
      <rPr>
        <sz val="10"/>
        <color indexed="8"/>
        <rFont val="Arial"/>
      </rPr>
      <t>BAT54C</t>
    </r>
  </si>
  <si>
    <t>dual Schottkey common cathode</t>
  </si>
  <si>
    <t>C408388</t>
  </si>
  <si>
    <t>30V 1 pair of common cathodes 1V@100mA 200mA SOT-23 Schottky Diodes</t>
  </si>
  <si>
    <t>Microdiode</t>
  </si>
  <si>
    <t>BAT54C</t>
  </si>
  <si>
    <t>Diode:BAT54C</t>
  </si>
  <si>
    <r>
      <rPr>
        <u val="single"/>
        <sz val="10"/>
        <color indexed="8"/>
        <rFont val="Arial"/>
      </rPr>
      <t>https://www.lcsc.com/datasheet/lcsc_datasheet_2407101108_MDD-Microdiode-Semiconductor-BAT54C_C408388.pdf</t>
    </r>
  </si>
  <si>
    <r>
      <rPr>
        <sz val="10"/>
        <color indexed="8"/>
        <rFont val="Arial"/>
      </rPr>
      <t>DIO_BAT54S_SOT-23</t>
    </r>
  </si>
  <si>
    <r>
      <rPr>
        <sz val="10"/>
        <color indexed="8"/>
        <rFont val="Arial"/>
      </rPr>
      <t>BAT54S dual Schottkey series 30V</t>
    </r>
  </si>
  <si>
    <r>
      <rPr>
        <sz val="10"/>
        <color indexed="8"/>
        <rFont val="Arial"/>
      </rPr>
      <t>BAT54S DIO dual Schottkey series 30V</t>
    </r>
  </si>
  <si>
    <r>
      <rPr>
        <u val="single"/>
        <sz val="10"/>
        <color indexed="8"/>
        <rFont val="Arial"/>
      </rPr>
      <t>C2926174</t>
    </r>
  </si>
  <si>
    <r>
      <rPr>
        <sz val="10"/>
        <color indexed="8"/>
        <rFont val="Arial"/>
      </rPr>
      <t>BAT54S</t>
    </r>
  </si>
  <si>
    <t>dual Schottkey series</t>
  </si>
  <si>
    <t>C2926174</t>
  </si>
  <si>
    <t>BAT54S Dual Schottky 30V 200mA Series</t>
  </si>
  <si>
    <t>BAT54S</t>
  </si>
  <si>
    <t>Diode:BAT54S</t>
  </si>
  <si>
    <r>
      <rPr>
        <u val="single"/>
        <sz val="10"/>
        <color indexed="8"/>
        <rFont val="Arial"/>
      </rPr>
      <t>https://wmsc.lcsc.com/wmsc/upload/file/pdf/v2/lcsc/2112031830_FOSAN-BAT54S_C2926174.pdf</t>
    </r>
  </si>
  <si>
    <r>
      <rPr>
        <sz val="10"/>
        <color indexed="8"/>
        <rFont val="Arial"/>
      </rPr>
      <t>DIO_BAV99_SOT-23</t>
    </r>
  </si>
  <si>
    <r>
      <rPr>
        <sz val="10"/>
        <color indexed="8"/>
        <rFont val="Arial"/>
      </rPr>
      <t>BAV99 dual switching diode 100V</t>
    </r>
  </si>
  <si>
    <r>
      <rPr>
        <sz val="10"/>
        <color indexed="8"/>
        <rFont val="Arial"/>
      </rPr>
      <t>BAV99 DIO dual switching diode 100V</t>
    </r>
  </si>
  <si>
    <r>
      <rPr>
        <u val="single"/>
        <sz val="10"/>
        <color indexed="8"/>
        <rFont val="Arial"/>
      </rPr>
      <t>C2500</t>
    </r>
  </si>
  <si>
    <r>
      <rPr>
        <sz val="10"/>
        <color indexed="8"/>
        <rFont val="Arial"/>
      </rPr>
      <t>BAV99</t>
    </r>
  </si>
  <si>
    <t>BAV99</t>
  </si>
  <si>
    <t>dual switching diode</t>
  </si>
  <si>
    <t>C2500</t>
  </si>
  <si>
    <t xml:space="preserve">1 Pair Series Connection 1.25V@150mA 100V 215mA 250mW 4A 4ns 500nA@80V SOT-23 Switching Diodes </t>
  </si>
  <si>
    <t>100V</t>
  </si>
  <si>
    <t>Nexperia</t>
  </si>
  <si>
    <t>BAV99,215</t>
  </si>
  <si>
    <t>Diode:BAV99</t>
  </si>
  <si>
    <t>https://www.lcsc.com/datasheet/lcsc_datasheet_2407250951_Nexperia-BAV99-215_C2500.pdf</t>
  </si>
  <si>
    <r>
      <rPr>
        <sz val="9"/>
        <color indexed="8"/>
        <rFont val="Arial"/>
      </rPr>
      <t>IC_SMD-6P_4N28SM</t>
    </r>
  </si>
  <si>
    <r>
      <rPr>
        <sz val="10"/>
        <color indexed="8"/>
        <rFont val="Arial"/>
      </rPr>
      <t>4N28SM Phototransistor 0 0.010A</t>
    </r>
  </si>
  <si>
    <r>
      <rPr>
        <sz val="10"/>
        <color indexed="8"/>
        <rFont val="Arial"/>
      </rPr>
      <t>4N28SM IC Phototransistor 0 0.010A</t>
    </r>
  </si>
  <si>
    <r>
      <rPr>
        <u val="single"/>
        <sz val="10"/>
        <color indexed="8"/>
        <rFont val="Arial"/>
      </rPr>
      <t>C898949</t>
    </r>
  </si>
  <si>
    <r>
      <rPr>
        <sz val="10"/>
        <color indexed="8"/>
        <rFont val="Arial"/>
      </rPr>
      <t>4N28SM</t>
    </r>
  </si>
  <si>
    <t>IC</t>
  </si>
  <si>
    <t>Phototransistor</t>
  </si>
  <si>
    <t>C898949</t>
  </si>
  <si>
    <t>4.17kV 6V Phototransistor SMD-6P Transistor Photovoltaic Output Optoisolators -40c+10c 1 1.18V 10% 10mA 30V</t>
  </si>
  <si>
    <t>SMD-6P</t>
  </si>
  <si>
    <t>6</t>
  </si>
  <si>
    <t>0.100</t>
  </si>
  <si>
    <t>0</t>
  </si>
  <si>
    <t>0.010A</t>
  </si>
  <si>
    <t>ONSemi</t>
  </si>
  <si>
    <t>4N28SM</t>
  </si>
  <si>
    <t>Isolator:4N28</t>
  </si>
  <si>
    <t>Package_DIP:SMDIP-6_W7.62mm</t>
  </si>
  <si>
    <r>
      <rPr>
        <u val="single"/>
        <sz val="10"/>
        <color indexed="8"/>
        <rFont val="Arial"/>
      </rPr>
      <t>https://jlcpcb.com/api/file/downloadByFileSystemAccessId/8588917274006720512</t>
    </r>
  </si>
  <si>
    <r>
      <rPr>
        <sz val="10"/>
        <color indexed="8"/>
        <rFont val="Arial"/>
      </rPr>
      <t>IC_LM358D_SOP-8</t>
    </r>
  </si>
  <si>
    <r>
      <rPr>
        <sz val="10"/>
        <color indexed="8"/>
        <rFont val="Arial"/>
      </rPr>
      <t>LM358D dual OpAmp ±15V or +30V</t>
    </r>
  </si>
  <si>
    <r>
      <rPr>
        <sz val="10"/>
        <color indexed="8"/>
        <rFont val="Arial"/>
      </rPr>
      <t>LM358D IC dual OpAmp ±15V or +30V</t>
    </r>
  </si>
  <si>
    <r>
      <rPr>
        <u val="single"/>
        <sz val="10"/>
        <color indexed="8"/>
        <rFont val="Arial"/>
      </rPr>
      <t>C2683482</t>
    </r>
  </si>
  <si>
    <r>
      <rPr>
        <sz val="10"/>
        <color indexed="8"/>
        <rFont val="Arial"/>
      </rPr>
      <t>LM358D</t>
    </r>
  </si>
  <si>
    <t>LM6132A TLV272CS-13</t>
  </si>
  <si>
    <t>dual OpAmp</t>
  </si>
  <si>
    <t>C2683482</t>
  </si>
  <si>
    <t>SOP-8 Operational Amplifier</t>
  </si>
  <si>
    <t>SOP-8</t>
  </si>
  <si>
    <t>±15V or +30V</t>
  </si>
  <si>
    <t>IDCHIP</t>
  </si>
  <si>
    <t>LM358D</t>
  </si>
  <si>
    <t>SPCoast:LM358</t>
  </si>
  <si>
    <t>SPCoast:SOIC-8_3.9x4.9mm_P1.27mm;Package_SO:SOIC-8_3.9x4.9mm_P1.27mm</t>
  </si>
  <si>
    <r>
      <rPr>
        <u val="single"/>
        <sz val="10"/>
        <color indexed="8"/>
        <rFont val="Arial"/>
      </rPr>
      <t>https://www.lcsc.com/datasheet/lcsc_datasheet_2403081523_IDCHIP-LM358D_C2683482.pdf</t>
    </r>
  </si>
  <si>
    <r>
      <rPr>
        <sz val="10"/>
        <color indexed="8"/>
        <rFont val="Arial"/>
      </rPr>
      <t>IC_MCP23017_SOIC-28-300mil</t>
    </r>
  </si>
  <si>
    <r>
      <rPr>
        <sz val="10"/>
        <color indexed="8"/>
        <rFont val="Arial"/>
      </rPr>
      <t>MCP23017 I2C 16-bit I/O Expander</t>
    </r>
  </si>
  <si>
    <r>
      <rPr>
        <sz val="10"/>
        <color indexed="8"/>
        <rFont val="Arial"/>
      </rPr>
      <t>MCP23017 IC I2C 16-bit I/O Expander</t>
    </r>
  </si>
  <si>
    <r>
      <rPr>
        <u val="single"/>
        <sz val="10"/>
        <color indexed="8"/>
        <rFont val="Arial"/>
      </rPr>
      <t>C629440</t>
    </r>
  </si>
  <si>
    <r>
      <rPr>
        <sz val="10"/>
        <color indexed="8"/>
        <rFont val="Arial"/>
      </rPr>
      <t>MCP23017</t>
    </r>
  </si>
  <si>
    <t>MCP23017</t>
  </si>
  <si>
    <t>I2C 16-bit I/O Expander</t>
  </si>
  <si>
    <t>C629440</t>
  </si>
  <si>
    <t>MCP23017 I2C 16 bit I/O Expander</t>
  </si>
  <si>
    <t>SOIC-28-300mil</t>
  </si>
  <si>
    <t>Microchip</t>
  </si>
  <si>
    <t>MCP23017T-E/SO</t>
  </si>
  <si>
    <t>SPCoast:MCP23017_SO</t>
  </si>
  <si>
    <t>SPCoast:SOIC-28W_7.5x17.9mm</t>
  </si>
  <si>
    <r>
      <rPr>
        <u val="single"/>
        <sz val="10"/>
        <color indexed="8"/>
        <rFont val="Arial"/>
      </rPr>
      <t>https://wmsc.lcsc.com/wmsc/upload/file/pdf/v2/lcsc/2203221230_Microchip-Tech-MCP23017T-E-SO_C629440.pdf</t>
    </r>
  </si>
  <si>
    <r>
      <rPr>
        <sz val="10"/>
        <color indexed="8"/>
        <rFont val="Arial"/>
      </rPr>
      <t>IC_NE555D_SOP-8</t>
    </r>
  </si>
  <si>
    <r>
      <rPr>
        <sz val="10"/>
        <color indexed="8"/>
        <rFont val="Arial"/>
      </rPr>
      <t>NE555D 16v</t>
    </r>
  </si>
  <si>
    <r>
      <rPr>
        <sz val="10"/>
        <color indexed="8"/>
        <rFont val="Arial"/>
      </rPr>
      <t>NE555D IC 16v</t>
    </r>
  </si>
  <si>
    <r>
      <rPr>
        <u val="single"/>
        <sz val="10"/>
        <color indexed="8"/>
        <rFont val="Arial"/>
      </rPr>
      <t>C695838</t>
    </r>
  </si>
  <si>
    <r>
      <rPr>
        <sz val="10"/>
        <color indexed="8"/>
        <rFont val="Arial"/>
      </rPr>
      <t>NE555D</t>
    </r>
  </si>
  <si>
    <t>NE555D</t>
  </si>
  <si>
    <t>C695838</t>
  </si>
  <si>
    <t>100kHz 4.5V~16V SOP-8 555 Timers / Counters</t>
  </si>
  <si>
    <t>16v</t>
  </si>
  <si>
    <t>UMW(Youtai Semiconductor Co., Ltd.)</t>
  </si>
  <si>
    <t>NE555DR</t>
  </si>
  <si>
    <t>Timer:NE555</t>
  </si>
  <si>
    <t>Package_SO:SOIC-8_3.9x4.9mm_P1.27mm</t>
  </si>
  <si>
    <t>https://www.lcsc.com/datasheet/lcsc_datasheet_2311091107_UMW-Youtai-Semiconductor-Co---Ltd--NE555DR_C695838.pdf</t>
  </si>
  <si>
    <r>
      <rPr>
        <sz val="10"/>
        <color indexed="8"/>
        <rFont val="Arial"/>
      </rPr>
      <t>IC_NE556_SOP-14</t>
    </r>
  </si>
  <si>
    <r>
      <rPr>
        <sz val="10"/>
        <color indexed="8"/>
        <rFont val="Arial"/>
      </rPr>
      <t>NE556 Dual Timer 16V 600mW</t>
    </r>
  </si>
  <si>
    <r>
      <rPr>
        <sz val="10"/>
        <color indexed="8"/>
        <rFont val="Arial"/>
      </rPr>
      <t>NE556 IC Dual Timer 16V 600mW</t>
    </r>
  </si>
  <si>
    <r>
      <rPr>
        <u val="single"/>
        <sz val="10"/>
        <color indexed="8"/>
        <rFont val="Arial"/>
      </rPr>
      <t>C5145392</t>
    </r>
  </si>
  <si>
    <r>
      <rPr>
        <sz val="10"/>
        <color indexed="8"/>
        <rFont val="Arial"/>
      </rPr>
      <t>NE556</t>
    </r>
  </si>
  <si>
    <t>NE556</t>
  </si>
  <si>
    <t>Dual Timer</t>
  </si>
  <si>
    <t>C5145392</t>
  </si>
  <si>
    <t>NE556 100kHz Dual Timer</t>
  </si>
  <si>
    <t>SOP-14</t>
  </si>
  <si>
    <t>600mW</t>
  </si>
  <si>
    <t>HANSCHIP</t>
  </si>
  <si>
    <t>NE556DRG</t>
  </si>
  <si>
    <t>Timer:NE556</t>
  </si>
  <si>
    <t>SPCoast:SOP_14;Package_SO:SOIC-14_3.9x8.7mm_P1.27mm</t>
  </si>
  <si>
    <r>
      <rPr>
        <u val="single"/>
        <sz val="10"/>
        <color indexed="8"/>
        <rFont val="Arial"/>
      </rPr>
      <t>https://wmsc.lcsc.com/wmsc/upload/file/pdf/v2/lcsc/2209290930_HANSCHIP-semiconductor-NE556DRG_C5145392.pdf</t>
    </r>
  </si>
  <si>
    <r>
      <rPr>
        <sz val="10"/>
        <color indexed="8"/>
        <rFont val="Arial"/>
      </rPr>
      <t>IC_PCA9685_TSSOP-28</t>
    </r>
  </si>
  <si>
    <r>
      <rPr>
        <sz val="10"/>
        <color indexed="8"/>
        <rFont val="Arial"/>
      </rPr>
      <t>PCA9685 I2C 16-bit PWM LED Driver</t>
    </r>
  </si>
  <si>
    <r>
      <rPr>
        <sz val="10"/>
        <color indexed="8"/>
        <rFont val="Arial"/>
      </rPr>
      <t>PCA9685 IC I2C 16-bit PWM LED Driver</t>
    </r>
  </si>
  <si>
    <r>
      <rPr>
        <u val="single"/>
        <sz val="10"/>
        <color indexed="8"/>
        <rFont val="Arial"/>
      </rPr>
      <t>C2678753</t>
    </r>
  </si>
  <si>
    <r>
      <rPr>
        <sz val="10"/>
        <color indexed="8"/>
        <rFont val="Arial"/>
      </rPr>
      <t>PCA9685</t>
    </r>
  </si>
  <si>
    <t>PCA9685</t>
  </si>
  <si>
    <t>I2C 16-bit PWM LED Driver</t>
  </si>
  <si>
    <t>C2678753</t>
  </si>
  <si>
    <t>5.5V 100kHz~1MHz PWM 16 25mA 2.3V~5.5V TSSOP-28 LED Driver</t>
  </si>
  <si>
    <t>TSSOP-28</t>
  </si>
  <si>
    <t>NXP</t>
  </si>
  <si>
    <t>PCA9685PW,118</t>
  </si>
  <si>
    <t>SPCoast:PCA9685PW</t>
  </si>
  <si>
    <t>Package_SO:TSSOP-28_4.4x9.7mm_P0.65mm</t>
  </si>
  <si>
    <r>
      <rPr>
        <u val="single"/>
        <sz val="10"/>
        <color indexed="8"/>
        <rFont val="Arial"/>
      </rPr>
      <t>https://www.lcsc.com/datasheet/lcsc_datasheet_2405281434_NXP-Semicon-PCA9685PW-118_C2678753.pdf</t>
    </r>
  </si>
  <si>
    <r>
      <rPr>
        <sz val="9"/>
        <color indexed="8"/>
        <rFont val="Arial"/>
      </rPr>
      <t>IND_17.2x9.5mm_FIS121NL</t>
    </r>
  </si>
  <si>
    <r>
      <rPr>
        <sz val="10"/>
        <color indexed="8"/>
        <rFont val="Arial"/>
      </rPr>
      <t>FIS121NL Pulse Transformer</t>
    </r>
  </si>
  <si>
    <r>
      <rPr>
        <sz val="10"/>
        <color indexed="8"/>
        <rFont val="Arial"/>
      </rPr>
      <t>FIS121NL IND Pulse Transformer</t>
    </r>
  </si>
  <si>
    <r>
      <rPr>
        <u val="single"/>
        <sz val="10"/>
        <color indexed="8"/>
        <rFont val="Arial"/>
      </rPr>
      <t>C6555619</t>
    </r>
  </si>
  <si>
    <r>
      <rPr>
        <sz val="10"/>
        <color indexed="8"/>
        <rFont val="Arial"/>
      </rPr>
      <t>FIS121NL</t>
    </r>
  </si>
  <si>
    <t>IND</t>
  </si>
  <si>
    <t>FIS121</t>
  </si>
  <si>
    <t>Pulse Transformer</t>
  </si>
  <si>
    <t>C6555619</t>
  </si>
  <si>
    <t>Current Sense Transformer 1:200 4.5 ohm</t>
  </si>
  <si>
    <t>4.5</t>
  </si>
  <si>
    <t>17.2x9.5mm</t>
  </si>
  <si>
    <t>1/200</t>
  </si>
  <si>
    <t>0.500</t>
  </si>
  <si>
    <t>&lt;200kHz</t>
  </si>
  <si>
    <t>Pulse Elec</t>
  </si>
  <si>
    <t>FIS121NL</t>
  </si>
  <si>
    <r>
      <rPr>
        <u val="single"/>
        <sz val="10"/>
        <color indexed="8"/>
        <rFont val="Arial"/>
      </rPr>
      <t>https://wmsc.lcsc.com/wmsc/upload/file/pdf/v2/lcsc/2312131723_Pulse-Elec-FIS121NL_C6555619.pdf</t>
    </r>
  </si>
  <si>
    <r>
      <rPr>
        <sz val="10"/>
        <color indexed="8"/>
        <rFont val="Arial"/>
      </rPr>
      <t>LED_Blue_0603_20mA</t>
    </r>
  </si>
  <si>
    <r>
      <rPr>
        <sz val="10"/>
        <color indexed="8"/>
        <rFont val="Arial"/>
      </rPr>
      <t>Blue LED clear 3.3V 20mA 240mcd</t>
    </r>
  </si>
  <si>
    <r>
      <rPr>
        <u val="single"/>
        <sz val="10"/>
        <color indexed="8"/>
        <rFont val="Arial"/>
      </rPr>
      <t>C965807</t>
    </r>
  </si>
  <si>
    <r>
      <rPr>
        <sz val="10"/>
        <color indexed="8"/>
        <rFont val="Arial"/>
      </rPr>
      <t>Blue</t>
    </r>
  </si>
  <si>
    <t>LED</t>
  </si>
  <si>
    <t>Blue</t>
  </si>
  <si>
    <t>B</t>
  </si>
  <si>
    <t>clear</t>
  </si>
  <si>
    <t>C965807</t>
  </si>
  <si>
    <t>20mA 240mcd Colorless and transparent -20℃~+85℃ Positive Stick 455nm~475nm Blue 120° 70mW 3.3V 0603 LED Indication</t>
  </si>
  <si>
    <t>3.3V</t>
  </si>
  <si>
    <t>20mA</t>
  </si>
  <si>
    <t>120°</t>
  </si>
  <si>
    <t>455nm~475nm</t>
  </si>
  <si>
    <t>240</t>
  </si>
  <si>
    <t>XINGLIGHT</t>
  </si>
  <si>
    <t>XL-1608UBC-04</t>
  </si>
  <si>
    <t>Device:LED</t>
  </si>
  <si>
    <t>SPCoast:0603-LED</t>
  </si>
  <si>
    <r>
      <rPr>
        <u val="single"/>
        <sz val="10"/>
        <color indexed="8"/>
        <rFont val="Arial"/>
      </rPr>
      <t>https://wmsc.lcsc.com/wmsc/upload/file/pdf/v2/lcsc/2402181505_XINGLIGHT-XL-1608UBC-04_C965807.pdf</t>
    </r>
  </si>
  <si>
    <r>
      <rPr>
        <sz val="10"/>
        <color indexed="8"/>
        <rFont val="Arial"/>
      </rPr>
      <t>LED_Green Emerald_0603_20mA</t>
    </r>
  </si>
  <si>
    <r>
      <rPr>
        <sz val="10"/>
        <color indexed="8"/>
        <rFont val="Arial"/>
      </rPr>
      <t>Green Emerald LED clear 3.3V 20mA 810mcd</t>
    </r>
  </si>
  <si>
    <r>
      <rPr>
        <u val="single"/>
        <sz val="10"/>
        <color indexed="8"/>
        <rFont val="Arial"/>
      </rPr>
      <t>C965804</t>
    </r>
  </si>
  <si>
    <r>
      <rPr>
        <sz val="10"/>
        <color indexed="8"/>
        <rFont val="Arial"/>
      </rPr>
      <t>Green Emerald</t>
    </r>
  </si>
  <si>
    <t>Green Emerald</t>
  </si>
  <si>
    <t>G</t>
  </si>
  <si>
    <t>C965804</t>
  </si>
  <si>
    <t>20mA 810mcd Colorless transparent  515nm~535nm -20℃~+85℃ Positive Stick Emerald Green 120° 70mW 3.3V 0603 LED Indication</t>
  </si>
  <si>
    <t>515nm~535nm</t>
  </si>
  <si>
    <t>810</t>
  </si>
  <si>
    <t>XL-1608UGC-04</t>
  </si>
  <si>
    <r>
      <rPr>
        <u val="single"/>
        <sz val="10"/>
        <color indexed="8"/>
        <rFont val="Arial"/>
      </rPr>
      <t>https://wmsc.lcsc.com/wmsc/upload/file/pdf/v2/lcsc/2402181505_XINGLIGHT-XL-1608UGC-04_C965804.pdf</t>
    </r>
  </si>
  <si>
    <r>
      <rPr>
        <sz val="10"/>
        <color indexed="8"/>
        <rFont val="Arial"/>
      </rPr>
      <t>LED_Orange_0603_10mA</t>
    </r>
  </si>
  <si>
    <r>
      <rPr>
        <sz val="10"/>
        <color indexed="8"/>
        <rFont val="Arial"/>
      </rPr>
      <t>Orange LED clear 2.2V 10mA 70mcd</t>
    </r>
  </si>
  <si>
    <r>
      <rPr>
        <u val="single"/>
        <sz val="10"/>
        <color indexed="8"/>
        <rFont val="Arial"/>
      </rPr>
      <t>C22371303</t>
    </r>
  </si>
  <si>
    <r>
      <rPr>
        <sz val="10"/>
        <color indexed="8"/>
        <rFont val="Arial"/>
      </rPr>
      <t>Orange</t>
    </r>
  </si>
  <si>
    <t>Orange</t>
  </si>
  <si>
    <t>O</t>
  </si>
  <si>
    <t>C22371303</t>
  </si>
  <si>
    <t>10mA Orange 0603 LED Indication</t>
  </si>
  <si>
    <t>2.2V</t>
  </si>
  <si>
    <t>10mA</t>
  </si>
  <si>
    <t>600nm~612nm</t>
  </si>
  <si>
    <t>70</t>
  </si>
  <si>
    <t>HONGLITRONIC</t>
  </si>
  <si>
    <t>HL-PSC-1608S25OC-G4</t>
  </si>
  <si>
    <r>
      <rPr>
        <u val="single"/>
        <sz val="10"/>
        <color indexed="8"/>
        <rFont val="Arial"/>
      </rPr>
      <t>https://wmsc.lcsc.com/wmsc/upload/file/pdf/v2/lcsc/2403281522_HONGLITRONIC-Hongli-Zhihui--HONGLITRONIC-HL-PSC-1608S25OC-G4_C22371303.pdf</t>
    </r>
  </si>
  <si>
    <r>
      <rPr>
        <sz val="10"/>
        <color indexed="8"/>
        <rFont val="Arial"/>
      </rPr>
      <t>LED_Orange_0603_20mA</t>
    </r>
  </si>
  <si>
    <r>
      <rPr>
        <sz val="10"/>
        <color indexed="8"/>
        <rFont val="Arial"/>
      </rPr>
      <t>Orange LED clear 2.3V 20mA 315mcd</t>
    </r>
  </si>
  <si>
    <r>
      <rPr>
        <u val="single"/>
        <sz val="10"/>
        <color indexed="8"/>
        <rFont val="Arial"/>
      </rPr>
      <t>C965800</t>
    </r>
  </si>
  <si>
    <t>C965800</t>
  </si>
  <si>
    <t>20mA 315mcd Colorless transparent -20℃~+85℃ 600nm~610nm Positive Stick Orange 120° 50mW 2.3V 0603 LED Indication</t>
  </si>
  <si>
    <t>2.3V</t>
  </si>
  <si>
    <t>315</t>
  </si>
  <si>
    <t>XL-1608UOC-06</t>
  </si>
  <si>
    <r>
      <rPr>
        <u val="single"/>
        <sz val="10"/>
        <color indexed="8"/>
        <rFont val="Arial"/>
      </rPr>
      <t>https://wmsc.lcsc.com/wmsc/upload/file/pdf/v2/lcsc/2402181505_XINGLIGHT-XL-1608UOC-06_C965800.pdf</t>
    </r>
  </si>
  <si>
    <r>
      <rPr>
        <u val="single"/>
        <sz val="10"/>
        <color indexed="8"/>
        <rFont val="Arial"/>
      </rPr>
      <t>C965801</t>
    </r>
  </si>
  <si>
    <t>C965801</t>
  </si>
  <si>
    <t>600nm~610nm</t>
  </si>
  <si>
    <t>XL-1608UOC-04</t>
  </si>
  <si>
    <r>
      <rPr>
        <sz val="10"/>
        <color indexed="8"/>
        <rFont val="Arial"/>
      </rPr>
      <t>LED_Red_0603_20mA</t>
    </r>
  </si>
  <si>
    <r>
      <rPr>
        <sz val="10"/>
        <color indexed="8"/>
        <rFont val="Arial"/>
      </rPr>
      <t>Red LED clear 2.2V 20mA 150mcd</t>
    </r>
  </si>
  <si>
    <r>
      <rPr>
        <u val="single"/>
        <sz val="10"/>
        <color indexed="8"/>
        <rFont val="Arial"/>
      </rPr>
      <t>C7288939</t>
    </r>
  </si>
  <si>
    <r>
      <rPr>
        <sz val="10"/>
        <color indexed="8"/>
        <rFont val="Arial"/>
      </rPr>
      <t>Red</t>
    </r>
  </si>
  <si>
    <t>Red</t>
  </si>
  <si>
    <t>R</t>
  </si>
  <si>
    <t>C7288939</t>
  </si>
  <si>
    <t>20mA 150mcd 622nm Red 120° 2.2V 0603 LED Indication</t>
  </si>
  <si>
    <t>150</t>
  </si>
  <si>
    <t>Inolux</t>
  </si>
  <si>
    <t>IN-S63ASR</t>
  </si>
  <si>
    <r>
      <rPr>
        <u val="single"/>
        <sz val="10"/>
        <color indexed="8"/>
        <rFont val="Arial"/>
      </rPr>
      <t>https://wmsc.lcsc.com/wmsc/upload/file/pdf/v2/lcsc/2404241146_Inolux-IN-S63ASR_C7288939.pdf</t>
    </r>
  </si>
  <si>
    <r>
      <rPr>
        <sz val="10"/>
        <color indexed="8"/>
        <rFont val="Arial"/>
      </rPr>
      <t>Red LED clear 2.4V 20mA 360mcd</t>
    </r>
  </si>
  <si>
    <r>
      <rPr>
        <u val="single"/>
        <sz val="10"/>
        <color indexed="8"/>
        <rFont val="Arial"/>
      </rPr>
      <t>C965798</t>
    </r>
  </si>
  <si>
    <t>C965798</t>
  </si>
  <si>
    <t>20mA 360mcd Colorless transparent 615nm~625nm -20℃~+85℃ Positive Stick Red 120° 50mW 2.4V 0603 LED Indication</t>
  </si>
  <si>
    <t>2.4V</t>
  </si>
  <si>
    <t>615nm~625nm</t>
  </si>
  <si>
    <t>360</t>
  </si>
  <si>
    <t xml:space="preserve">XL-1608SURC-04
</t>
  </si>
  <si>
    <r>
      <rPr>
        <u val="single"/>
        <sz val="10"/>
        <color indexed="8"/>
        <rFont val="Arial"/>
      </rPr>
      <t>https://wmsc.lcsc.com/wmsc/upload/file/pdf/v2/lcsc/2402181505_XINGLIGHT-XL-1608SURC-04_C965798.pdf</t>
    </r>
  </si>
  <si>
    <r>
      <rPr>
        <sz val="10"/>
        <color indexed="8"/>
        <rFont val="Arial"/>
      </rPr>
      <t>Red LED clear 2.3V 20mA 330mcd</t>
    </r>
  </si>
  <si>
    <r>
      <rPr>
        <u val="single"/>
        <sz val="10"/>
        <color indexed="8"/>
        <rFont val="Arial"/>
      </rPr>
      <t>C965799</t>
    </r>
  </si>
  <si>
    <t>C965799</t>
  </si>
  <si>
    <t>20mA 330mcd Colorless transparent -20℃~+85℃ Positive Stick 620nm~630nm Red 120° 50mW 2.3V 0603 LED Indication</t>
  </si>
  <si>
    <t>330</t>
  </si>
  <si>
    <t>XL-1608SURC-06</t>
  </si>
  <si>
    <r>
      <rPr>
        <u val="single"/>
        <sz val="10"/>
        <color indexed="8"/>
        <rFont val="Arial"/>
      </rPr>
      <t>https://wmsc.lcsc.com/wmsc/upload/file/pdf/v2/lcsc/2402181505_XINGLIGHT-XL-1608SURC-06_C965799.pdf</t>
    </r>
  </si>
  <si>
    <r>
      <rPr>
        <sz val="10"/>
        <color indexed="8"/>
        <rFont val="Arial"/>
      </rPr>
      <t>LED_UltraViolet_0603_</t>
    </r>
  </si>
  <si>
    <r>
      <rPr>
        <sz val="10"/>
        <color indexed="8"/>
        <rFont val="Arial"/>
      </rPr>
      <t>UltraViolet LED clear 3.4V</t>
    </r>
  </si>
  <si>
    <r>
      <rPr>
        <u val="single"/>
        <sz val="10"/>
        <color indexed="8"/>
        <rFont val="Arial"/>
      </rPr>
      <t>C7371898</t>
    </r>
  </si>
  <si>
    <r>
      <rPr>
        <sz val="10"/>
        <color indexed="8"/>
        <rFont val="Arial"/>
      </rPr>
      <t>UltraViolet</t>
    </r>
  </si>
  <si>
    <t>UltraViolet</t>
  </si>
  <si>
    <t>UV</t>
  </si>
  <si>
    <t>C7371898</t>
  </si>
  <si>
    <t>5mA 60mcd  Purple Top-mount Water Clear -40℃~+85℃ 120° 3.4V 390nm~429nm 405nm 100mW 0603 LED Indication</t>
  </si>
  <si>
    <t>3.4V</t>
  </si>
  <si>
    <t>390nm~429nm</t>
  </si>
  <si>
    <t>XL-1608UVC-04</t>
  </si>
  <si>
    <r>
      <rPr>
        <u val="single"/>
        <sz val="10"/>
        <color indexed="8"/>
        <rFont val="Arial"/>
      </rPr>
      <t>https://wmsc.lcsc.com/wmsc/upload/file/pdf/v2/lcsc/2402181501_XINGLIGHT-XL-1608UVC-04_C7371898.pdf</t>
    </r>
  </si>
  <si>
    <r>
      <rPr>
        <sz val="10"/>
        <color indexed="8"/>
        <rFont val="Arial"/>
      </rPr>
      <t>LED_White_0603_20mA</t>
    </r>
  </si>
  <si>
    <r>
      <rPr>
        <sz val="10"/>
        <color indexed="8"/>
        <rFont val="Arial"/>
      </rPr>
      <t>White LED warm 2.7V 20mA 130mcd</t>
    </r>
  </si>
  <si>
    <r>
      <rPr>
        <u val="single"/>
        <sz val="10"/>
        <color indexed="8"/>
        <rFont val="Arial"/>
      </rPr>
      <t>C965808</t>
    </r>
  </si>
  <si>
    <r>
      <rPr>
        <sz val="10"/>
        <color indexed="8"/>
        <rFont val="Arial"/>
      </rPr>
      <t>White</t>
    </r>
  </si>
  <si>
    <t>White</t>
  </si>
  <si>
    <t>W WW</t>
  </si>
  <si>
    <t>warm</t>
  </si>
  <si>
    <t>C965808</t>
  </si>
  <si>
    <t>20mA 13700K~33000K 130mcd WarmWhite -20℃~+85℃ Positive Stick White 120° 70mW 2.7V 0603 LED Indication</t>
  </si>
  <si>
    <t>2.7V</t>
  </si>
  <si>
    <t>13700 - 33000 K</t>
  </si>
  <si>
    <t>130</t>
  </si>
  <si>
    <t>XL-1608UWC-04</t>
  </si>
  <si>
    <r>
      <rPr>
        <u val="single"/>
        <sz val="10"/>
        <color indexed="8"/>
        <rFont val="Arial"/>
      </rPr>
      <t>https://wmsc.lcsc.com/wmsc/upload/file/pdf/v2/lcsc/2402181505_XINGLIGHT-XL-1608UWC-04_C965808.pdf</t>
    </r>
  </si>
  <si>
    <r>
      <rPr>
        <sz val="10"/>
        <color indexed="8"/>
        <rFont val="Arial"/>
      </rPr>
      <t>LED_WS2812B_SMD5050</t>
    </r>
  </si>
  <si>
    <r>
      <rPr>
        <sz val="10"/>
        <color indexed="8"/>
        <rFont val="Arial"/>
      </rPr>
      <t>WS2812B LED WS2812B-WS2812B5050 5v 12mA</t>
    </r>
  </si>
  <si>
    <r>
      <rPr>
        <u val="single"/>
        <sz val="10"/>
        <color indexed="8"/>
        <rFont val="Arial"/>
      </rPr>
      <t>C2843785</t>
    </r>
  </si>
  <si>
    <r>
      <rPr>
        <sz val="10"/>
        <color indexed="8"/>
        <rFont val="Arial"/>
      </rPr>
      <t>WS2812B</t>
    </r>
  </si>
  <si>
    <t>WS2812B</t>
  </si>
  <si>
    <t>RGB NeoPixel</t>
  </si>
  <si>
    <t>WS2812B-WS2812B5050</t>
  </si>
  <si>
    <t>C2843785</t>
  </si>
  <si>
    <t>SMD5050 RGB LEDs(Built-in IC) NeoPixel</t>
  </si>
  <si>
    <t>SMD5050</t>
  </si>
  <si>
    <t>5v</t>
  </si>
  <si>
    <t>12mA</t>
  </si>
  <si>
    <t>XL-5050RGBC-WS2812B</t>
  </si>
  <si>
    <t>SPCoast:WS2812B</t>
  </si>
  <si>
    <r>
      <rPr>
        <u val="single"/>
        <sz val="10"/>
        <color indexed="8"/>
        <rFont val="Arial"/>
      </rPr>
      <t>https://www.lcsc.com/datasheet/lcsc_datasheet_2404120946_XINGLIGHT-XL-5050RGBC-WS2812B_C2843785.pdf</t>
    </r>
  </si>
  <si>
    <r>
      <rPr>
        <sz val="10"/>
        <color indexed="8"/>
        <rFont val="Arial"/>
      </rPr>
      <t>LED_Yellow_0603_20mA</t>
    </r>
  </si>
  <si>
    <r>
      <rPr>
        <sz val="10"/>
        <color indexed="8"/>
        <rFont val="Arial"/>
      </rPr>
      <t>Yellow LED clear 2.3V 20mA 450mcd</t>
    </r>
  </si>
  <si>
    <r>
      <rPr>
        <u val="single"/>
        <sz val="10"/>
        <color indexed="8"/>
        <rFont val="Arial"/>
      </rPr>
      <t>C965803</t>
    </r>
  </si>
  <si>
    <r>
      <rPr>
        <sz val="10"/>
        <color indexed="8"/>
        <rFont val="Arial"/>
      </rPr>
      <t>Yellow</t>
    </r>
  </si>
  <si>
    <t>Yellow</t>
  </si>
  <si>
    <t>Y</t>
  </si>
  <si>
    <t>C965803</t>
  </si>
  <si>
    <t>20mA 450mcd Colorless transparent -20℃~+85℃ 585nm~595nm Positive Stick Yellow 120° 50mW 2.3V 0603 LED Indication</t>
  </si>
  <si>
    <t>585nm~595nm</t>
  </si>
  <si>
    <t>450</t>
  </si>
  <si>
    <t>XL-1608UYC-04</t>
  </si>
  <si>
    <r>
      <rPr>
        <u val="single"/>
        <sz val="10"/>
        <color indexed="8"/>
        <rFont val="Arial"/>
      </rPr>
      <t>https://wmsc.lcsc.com/wmsc/upload/file/pdf/v2/lcsc/2402181505_XINGLIGHT-XL-1608UOC-04_C965801.pdf</t>
    </r>
  </si>
  <si>
    <r>
      <rPr>
        <sz val="10"/>
        <color indexed="8"/>
        <rFont val="Arial"/>
      </rPr>
      <t>LED_Yellow Green_0603_20mA</t>
    </r>
  </si>
  <si>
    <r>
      <rPr>
        <sz val="10"/>
        <color indexed="8"/>
        <rFont val="Arial"/>
      </rPr>
      <t>Yellow Green LED clear 2.4V 20mA 240mcd</t>
    </r>
  </si>
  <si>
    <r>
      <rPr>
        <u val="single"/>
        <sz val="10"/>
        <color indexed="8"/>
        <rFont val="Arial"/>
      </rPr>
      <t>C965806</t>
    </r>
  </si>
  <si>
    <r>
      <rPr>
        <sz val="10"/>
        <color indexed="8"/>
        <rFont val="Arial"/>
      </rPr>
      <t>Yellow Green</t>
    </r>
  </si>
  <si>
    <t>Yellow Green</t>
  </si>
  <si>
    <t>Lime</t>
  </si>
  <si>
    <t>C965806</t>
  </si>
  <si>
    <t>20mA 240mcd Colorless transparent 565nm~575nm -20℃~+85℃ Positive Stick Yellow Green 120° 50mW 2.4V 0603 LED Indication</t>
  </si>
  <si>
    <t>565nm~575nm</t>
  </si>
  <si>
    <t>XL-1608SYGC-04</t>
  </si>
  <si>
    <r>
      <rPr>
        <u val="single"/>
        <sz val="10"/>
        <color indexed="8"/>
        <rFont val="Arial"/>
      </rPr>
      <t>https://wmsc.lcsc.com/wmsc/upload/file/pdf/v2/lcsc/2402181505_XINGLIGHT-XL-1608SYGC-04_C965806.pdf</t>
    </r>
  </si>
  <si>
    <r>
      <rPr>
        <sz val="10"/>
        <color indexed="8"/>
        <rFont val="Arial"/>
      </rPr>
      <t>MCU_ESP32-DevKit_V1</t>
    </r>
  </si>
  <si>
    <r>
      <rPr>
        <sz val="10"/>
        <color indexed="8"/>
        <rFont val="Arial"/>
      </rPr>
      <t>ESP32-DevKit_V1 ESP32</t>
    </r>
  </si>
  <si>
    <r>
      <rPr>
        <sz val="10"/>
        <color indexed="8"/>
        <rFont val="Arial"/>
      </rPr>
      <t>ESP32-DevKit_V1 MCU ESP32</t>
    </r>
  </si>
  <si>
    <r>
      <rPr>
        <sz val="10"/>
        <color indexed="8"/>
        <rFont val="Arial"/>
      </rPr>
      <t>ESP32-DevKit_V1</t>
    </r>
  </si>
  <si>
    <t>MCU</t>
  </si>
  <si>
    <t>ESP32</t>
  </si>
  <si>
    <t>ESP32-DevKit_V1 WROOM32</t>
  </si>
  <si>
    <t>2x15</t>
  </si>
  <si>
    <t>0.1x0.9</t>
  </si>
  <si>
    <t>Espressif</t>
  </si>
  <si>
    <t>ESP32-DevKit_V1</t>
  </si>
  <si>
    <t>SPCoast:ESP32-DevKit_V1</t>
  </si>
  <si>
    <r>
      <rPr>
        <u val="single"/>
        <sz val="10"/>
        <color indexed="8"/>
        <rFont val="Arial"/>
      </rPr>
      <t>https://mischianti.org/wp-content/uploads/2020/11/ESP32-DOIT-DEV-KIT-v1-pinout-mischianti.png</t>
    </r>
  </si>
  <si>
    <r>
      <rPr>
        <sz val="10"/>
        <color indexed="8"/>
        <rFont val="Arial"/>
      </rPr>
      <t>MCU_WT32-ETH01</t>
    </r>
  </si>
  <si>
    <r>
      <rPr>
        <sz val="10"/>
        <color indexed="8"/>
        <rFont val="Arial"/>
      </rPr>
      <t>WT32-ETH01 ESP32</t>
    </r>
  </si>
  <si>
    <r>
      <rPr>
        <sz val="10"/>
        <color indexed="8"/>
        <rFont val="Arial"/>
      </rPr>
      <t>WT32-ETH01 MCU ESP32</t>
    </r>
  </si>
  <si>
    <r>
      <rPr>
        <sz val="10"/>
        <color indexed="8"/>
        <rFont val="Arial"/>
      </rPr>
      <t>WT32-ETH01</t>
    </r>
  </si>
  <si>
    <t>WT32-ETH01</t>
  </si>
  <si>
    <t>2x13</t>
  </si>
  <si>
    <t>WT</t>
  </si>
  <si>
    <t>SPCoast:WT32-ETH01</t>
  </si>
  <si>
    <r>
      <rPr>
        <u val="single"/>
        <sz val="10"/>
        <color indexed="8"/>
        <rFont val="Arial"/>
      </rPr>
      <t>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</t>
    </r>
  </si>
  <si>
    <r>
      <rPr>
        <sz val="10"/>
        <color indexed="8"/>
        <rFont val="Arial"/>
      </rPr>
      <t>Q_P-FET_2.3A_SOT-23_2301V</t>
    </r>
  </si>
  <si>
    <r>
      <rPr>
        <sz val="10"/>
        <color indexed="8"/>
        <rFont val="Arial"/>
      </rPr>
      <t>2301V P-FET 20V 2.3A</t>
    </r>
  </si>
  <si>
    <r>
      <rPr>
        <sz val="10"/>
        <color indexed="8"/>
        <rFont val="Arial"/>
      </rPr>
      <t>2301V Q P-FET 20V 2.3A</t>
    </r>
  </si>
  <si>
    <r>
      <rPr>
        <u val="single"/>
        <sz val="10"/>
        <color indexed="8"/>
        <rFont val="Arial"/>
      </rPr>
      <t>C7499856</t>
    </r>
  </si>
  <si>
    <r>
      <rPr>
        <sz val="10"/>
        <color indexed="8"/>
        <rFont val="Arial"/>
      </rPr>
      <t>2301V</t>
    </r>
  </si>
  <si>
    <t>Q</t>
  </si>
  <si>
    <t>P-FET</t>
  </si>
  <si>
    <t>C7499856</t>
  </si>
  <si>
    <t>20V 2.3A 95m 1V 1 Piece P-Channel SOT-23 MOSFET</t>
  </si>
  <si>
    <t>GSD</t>
  </si>
  <si>
    <t>20V</t>
  </si>
  <si>
    <t>2.3A</t>
  </si>
  <si>
    <t>HL</t>
  </si>
  <si>
    <t>2301V</t>
  </si>
  <si>
    <t>Device:Q_PMOS_GSD</t>
  </si>
  <si>
    <r>
      <rPr>
        <u val="single"/>
        <sz val="10"/>
        <color indexed="8"/>
        <rFont val="Arial"/>
      </rPr>
      <t>https://wmsc.lcsc.com/wmsc/upload/file/pdf/v2/lcsc/2310251707_HL-2301V_C7499856.pdf</t>
    </r>
  </si>
  <si>
    <r>
      <rPr>
        <sz val="10"/>
        <color indexed="8"/>
        <rFont val="Arial"/>
      </rPr>
      <t>Q_N-FET_300mA_SOT-23_2N7002</t>
    </r>
  </si>
  <si>
    <r>
      <rPr>
        <sz val="10"/>
        <color indexed="8"/>
        <rFont val="Arial"/>
      </rPr>
      <t>2N7002 N-FET 60V 300mA</t>
    </r>
  </si>
  <si>
    <r>
      <rPr>
        <sz val="10"/>
        <color indexed="8"/>
        <rFont val="Arial"/>
      </rPr>
      <t>2N7002 Q N-FET 60V 300mA</t>
    </r>
  </si>
  <si>
    <r>
      <rPr>
        <u val="single"/>
        <sz val="10"/>
        <color indexed="8"/>
        <rFont val="Arial"/>
      </rPr>
      <t>C5224215</t>
    </r>
  </si>
  <si>
    <r>
      <rPr>
        <sz val="10"/>
        <color indexed="8"/>
        <rFont val="Arial"/>
      </rPr>
      <t>2N7002</t>
    </r>
  </si>
  <si>
    <t>N-FET</t>
  </si>
  <si>
    <t>C5224215</t>
  </si>
  <si>
    <t>60V 300mA 1.5@10V 500mA 200mW 1.5V@250uA N-Channel SOT-23 MOSFETs</t>
  </si>
  <si>
    <t>60V</t>
  </si>
  <si>
    <t>300mA</t>
  </si>
  <si>
    <t>ElecSuper</t>
  </si>
  <si>
    <t>2N7002</t>
  </si>
  <si>
    <t>Device:Q_NMOS_GSD</t>
  </si>
  <si>
    <r>
      <rPr>
        <u val="single"/>
        <sz val="10"/>
        <color indexed="8"/>
        <rFont val="Arial"/>
      </rPr>
      <t>https://wmsc.lcsc.com/wmsc/upload/file/pdf/v2/lcsc/2210271630_ElecSuper-2N7002_C5224215.pdf</t>
    </r>
  </si>
  <si>
    <r>
      <rPr>
        <sz val="10"/>
        <color indexed="8"/>
        <rFont val="Arial"/>
      </rPr>
      <t>Q_PNP_500mA_SOT-23_BC807</t>
    </r>
  </si>
  <si>
    <r>
      <rPr>
        <sz val="10"/>
        <color indexed="8"/>
        <rFont val="Arial"/>
      </rPr>
      <t>BC807 PNP 45V 500mA 300mW</t>
    </r>
  </si>
  <si>
    <r>
      <rPr>
        <sz val="10"/>
        <color indexed="8"/>
        <rFont val="Arial"/>
      </rPr>
      <t>BC807 Q PNP 45V 500mA 300mW</t>
    </r>
  </si>
  <si>
    <r>
      <rPr>
        <u val="single"/>
        <sz val="10"/>
        <color indexed="8"/>
        <rFont val="Arial"/>
      </rPr>
      <t>C5184433</t>
    </r>
  </si>
  <si>
    <r>
      <rPr>
        <sz val="10"/>
        <color indexed="8"/>
        <rFont val="Arial"/>
      </rPr>
      <t>BC807</t>
    </r>
  </si>
  <si>
    <t>BC807</t>
  </si>
  <si>
    <t>PNP</t>
  </si>
  <si>
    <t>C5184433</t>
  </si>
  <si>
    <t>PNP 45V 300mW 250@100mA 1V 500mA PNP SOT-23</t>
  </si>
  <si>
    <t>45V</t>
  </si>
  <si>
    <t>500mA</t>
  </si>
  <si>
    <t>300mW</t>
  </si>
  <si>
    <t>BC807-40</t>
  </si>
  <si>
    <t>Device:Q_PNP_BEC</t>
  </si>
  <si>
    <r>
      <rPr>
        <u val="single"/>
        <sz val="10"/>
        <color indexed="8"/>
        <rFont val="Arial"/>
      </rPr>
      <t>https://wmsc.lcsc.com/wmsc/upload/file/pdf/v2/lcsc/2303091430_HXY-MOSFET-BC807-40_C5184433.pdf</t>
    </r>
  </si>
  <si>
    <r>
      <rPr>
        <sz val="10"/>
        <color indexed="8"/>
        <rFont val="Arial"/>
      </rPr>
      <t>Q_BSS138</t>
    </r>
  </si>
  <si>
    <r>
      <rPr>
        <sz val="10"/>
        <color indexed="8"/>
        <rFont val="Arial"/>
      </rPr>
      <t>BSS138 N-FET 60V 400mA</t>
    </r>
  </si>
  <si>
    <r>
      <rPr>
        <u val="single"/>
        <sz val="10"/>
        <color indexed="8"/>
        <rFont val="Arial"/>
      </rPr>
      <t>C5224269</t>
    </r>
  </si>
  <si>
    <r>
      <rPr>
        <sz val="10"/>
        <color indexed="8"/>
        <rFont val="Arial"/>
      </rPr>
      <t>BSS138</t>
    </r>
  </si>
  <si>
    <t>BSS138</t>
  </si>
  <si>
    <t>C5224269</t>
  </si>
  <si>
    <t>-55℃~+150℃ 1 N-channel 1.5Ω@10V 1V 2.2pF 25pF 400mA 417mW 60V 650pC@4.5V 9.7pF N-Channel MOSFET</t>
  </si>
  <si>
    <t>400mA</t>
  </si>
  <si>
    <t>BSS138P</t>
  </si>
  <si>
    <r>
      <rPr>
        <u val="single"/>
        <sz val="10"/>
        <color indexed="8"/>
        <rFont val="Arial"/>
      </rPr>
      <t>https://wmsc.lcsc.com/wmsc/upload/file/pdf/v2/lcsc/2301091730_ElecSuper-BSS138P_C5224269.pdf</t>
    </r>
  </si>
  <si>
    <r>
      <rPr>
        <sz val="10"/>
        <color indexed="8"/>
        <rFont val="Arial"/>
      </rPr>
      <t>Q_N-FET_10A_SOT-23_DMN4468</t>
    </r>
  </si>
  <si>
    <r>
      <rPr>
        <sz val="10"/>
        <color indexed="8"/>
        <rFont val="Arial"/>
      </rPr>
      <t>DMN4468 N-FET 30v 10A</t>
    </r>
  </si>
  <si>
    <r>
      <rPr>
        <sz val="10"/>
        <color indexed="8"/>
        <rFont val="Arial"/>
      </rPr>
      <t>DMN4468 Q N-FET 30v 10A</t>
    </r>
  </si>
  <si>
    <r>
      <rPr>
        <u val="single"/>
        <sz val="10"/>
        <color indexed="8"/>
        <rFont val="Arial"/>
      </rPr>
      <t>C878901</t>
    </r>
  </si>
  <si>
    <r>
      <rPr>
        <sz val="10"/>
        <color indexed="8"/>
        <rFont val="Arial"/>
      </rPr>
      <t>DMN4468</t>
    </r>
  </si>
  <si>
    <t>DMN4468</t>
  </si>
  <si>
    <t>C878901</t>
  </si>
  <si>
    <t>30V 10A 14m@10V00mA N-Channel SO-8 MOSFETs</t>
  </si>
  <si>
    <t>SO-8</t>
  </si>
  <si>
    <t>30v</t>
  </si>
  <si>
    <t>10A</t>
  </si>
  <si>
    <t>Diodes</t>
  </si>
  <si>
    <t>DMN4468LSS</t>
  </si>
  <si>
    <t>SPCoast:MOSFET-N</t>
  </si>
  <si>
    <t>SPCoast:SO-8</t>
  </si>
  <si>
    <r>
      <rPr>
        <u val="single"/>
        <sz val="10"/>
        <color indexed="8"/>
        <rFont val="Arial"/>
      </rPr>
      <t>https://www.diodes.com/assets/Datasheets/ds31773.pdf</t>
    </r>
  </si>
  <si>
    <r>
      <rPr>
        <sz val="10"/>
        <color indexed="8"/>
        <rFont val="Arial"/>
      </rPr>
      <t>Q_NPN_600mA_SOT-23_MMBT2222LT1G</t>
    </r>
  </si>
  <si>
    <r>
      <rPr>
        <sz val="10"/>
        <color indexed="8"/>
        <rFont val="Arial"/>
      </rPr>
      <t>MMBT2222LT1G NPN 30V 600mA 300mW</t>
    </r>
  </si>
  <si>
    <r>
      <rPr>
        <sz val="10"/>
        <color indexed="8"/>
        <rFont val="Arial"/>
      </rPr>
      <t>MMBT2222LT1G Q NPN 30V 600mA 300mW</t>
    </r>
  </si>
  <si>
    <r>
      <rPr>
        <sz val="10"/>
        <color indexed="8"/>
        <rFont val="Arial"/>
      </rPr>
      <t>MMBT2222LT1G</t>
    </r>
  </si>
  <si>
    <t>NPN</t>
  </si>
  <si>
    <t>NPN 30 V 600 mA 250MHz 300 mW Surface Mount SOT-23-3 (TO-236)</t>
  </si>
  <si>
    <t>600mA</t>
  </si>
  <si>
    <t>MMBT2222LT1G</t>
  </si>
  <si>
    <t>Device:Q_NPN_BEC</t>
  </si>
  <si>
    <r>
      <rPr>
        <sz val="10"/>
        <color indexed="8"/>
        <rFont val="Arial"/>
      </rPr>
      <t>Q_NPN_200mA_TO-220_MMBT3904</t>
    </r>
  </si>
  <si>
    <r>
      <rPr>
        <sz val="10"/>
        <color indexed="8"/>
        <rFont val="Arial"/>
      </rPr>
      <t>MMBT3904 NPN 40V 200mA 200mW</t>
    </r>
  </si>
  <si>
    <r>
      <rPr>
        <sz val="10"/>
        <color indexed="8"/>
        <rFont val="Arial"/>
      </rPr>
      <t>MMBT3904 Q NPN 40V 200mA 200mW</t>
    </r>
  </si>
  <si>
    <r>
      <rPr>
        <u val="single"/>
        <sz val="10"/>
        <color indexed="8"/>
        <rFont val="Arial"/>
      </rPr>
      <t>C5184404</t>
    </r>
  </si>
  <si>
    <r>
      <rPr>
        <sz val="10"/>
        <color indexed="8"/>
        <rFont val="Arial"/>
      </rPr>
      <t>MMBT3904</t>
    </r>
  </si>
  <si>
    <t>C5184404</t>
  </si>
  <si>
    <t>NPN 40V 200mW 100@10mA 1V 200mA NPN SOT-23</t>
  </si>
  <si>
    <t>40V</t>
  </si>
  <si>
    <t>200mA</t>
  </si>
  <si>
    <t>MMBT3904</t>
  </si>
  <si>
    <r>
      <rPr>
        <u val="single"/>
        <sz val="10"/>
        <color indexed="8"/>
        <rFont val="Arial"/>
      </rPr>
      <t>https://wmsc.lcsc.com/wmsc/upload/file/pdf/v2/lcsc/2407151447_HXY-MOSFET-MMBT3904_C5184404.pdf</t>
    </r>
  </si>
  <si>
    <r>
      <rPr>
        <sz val="10"/>
        <color indexed="8"/>
        <rFont val="Arial"/>
      </rPr>
      <t>REG_78L05_TO-220</t>
    </r>
  </si>
  <si>
    <r>
      <rPr>
        <sz val="10"/>
        <color indexed="8"/>
        <rFont val="Arial"/>
      </rPr>
      <t>78L05 5v 5v 1A</t>
    </r>
  </si>
  <si>
    <r>
      <rPr>
        <sz val="10"/>
        <color indexed="8"/>
        <rFont val="Arial"/>
      </rPr>
      <t>78L05 REG 5v 5v 1A</t>
    </r>
  </si>
  <si>
    <r>
      <rPr>
        <sz val="10"/>
        <color indexed="8"/>
        <rFont val="Arial"/>
      </rPr>
      <t>78L05</t>
    </r>
  </si>
  <si>
    <t>REG</t>
  </si>
  <si>
    <t>78L05</t>
  </si>
  <si>
    <t>Linear Voltage Regulator IC Positive Fixed 1 Output 1A TO-220</t>
  </si>
  <si>
    <t>TO-220</t>
  </si>
  <si>
    <t>1A</t>
  </si>
  <si>
    <r>
      <rPr>
        <sz val="10"/>
        <color indexed="8"/>
        <rFont val="Arial"/>
      </rPr>
      <t>REG_78M05_TO-252-2</t>
    </r>
  </si>
  <si>
    <r>
      <rPr>
        <sz val="10"/>
        <color indexed="8"/>
        <rFont val="Arial"/>
      </rPr>
      <t>78M05 5v 5v 1A</t>
    </r>
  </si>
  <si>
    <r>
      <rPr>
        <sz val="10"/>
        <color indexed="8"/>
        <rFont val="Arial"/>
      </rPr>
      <t>78M05 REG 5v 5v 1A</t>
    </r>
  </si>
  <si>
    <r>
      <rPr>
        <u val="single"/>
        <sz val="10"/>
        <color indexed="8"/>
        <rFont val="Arial"/>
      </rPr>
      <t>C347278</t>
    </r>
  </si>
  <si>
    <t>78M05</t>
  </si>
  <si>
    <t>C347278</t>
  </si>
  <si>
    <t>Linear Voltage Regulator IC Positive Fixed 1 Output 1A TO-252</t>
  </si>
  <si>
    <t>TO-252-2</t>
  </si>
  <si>
    <t>UMW</t>
  </si>
  <si>
    <t>Regulator_Linear:LM78M05_TO252</t>
  </si>
  <si>
    <t>Package_TO_SOT_SMD:TO-252-2</t>
  </si>
  <si>
    <r>
      <rPr>
        <u val="single"/>
        <sz val="10"/>
        <color indexed="8"/>
        <rFont val="Arial"/>
      </rPr>
      <t>https://www.lcsc.com/datasheet/C347278.pdf?spm=wm.sxq.inf.ggs&amp;lcsc_vid=TlhaVVxSFQRdBQZVQVQPVAdWFABYBlFeRFMKUQcARlMxVlNRQ1hWVlFTTllbUDsOAxUeFF5JWBYZEEoKFBINSQcJGk4dAgUUFAk=</t>
    </r>
  </si>
  <si>
    <r>
      <rPr>
        <sz val="10"/>
        <color indexed="8"/>
        <rFont val="Arial"/>
      </rPr>
      <t>REG_AMS1117-3.3_SOT-223-3</t>
    </r>
  </si>
  <si>
    <r>
      <rPr>
        <sz val="10"/>
        <color indexed="8"/>
        <rFont val="Arial"/>
      </rPr>
      <t>AMS1117-3.3 3v3 3v3 1A</t>
    </r>
  </si>
  <si>
    <r>
      <rPr>
        <sz val="10"/>
        <color indexed="8"/>
        <rFont val="Arial"/>
      </rPr>
      <t>AMS1117-3.3 REG 3v3 3v3 1A</t>
    </r>
  </si>
  <si>
    <r>
      <rPr>
        <u val="single"/>
        <sz val="10"/>
        <color indexed="8"/>
        <rFont val="Arial"/>
      </rPr>
      <t>C5345982</t>
    </r>
  </si>
  <si>
    <r>
      <rPr>
        <sz val="10"/>
        <color indexed="8"/>
        <rFont val="Arial"/>
      </rPr>
      <t>AMS1117-3.3</t>
    </r>
  </si>
  <si>
    <t>AMS1117-3.3</t>
  </si>
  <si>
    <t>3v3</t>
  </si>
  <si>
    <t>C5345982</t>
  </si>
  <si>
    <t>1A Low Dropout regulator positive fixed 3.3V</t>
  </si>
  <si>
    <t>SOT-223-3</t>
  </si>
  <si>
    <t>HXY MOSFET</t>
  </si>
  <si>
    <t>SPCoast:AMS1117</t>
  </si>
  <si>
    <t>SPCoast:SOT-223-3_TabPin2</t>
  </si>
  <si>
    <r>
      <rPr>
        <u val="single"/>
        <sz val="10"/>
        <color indexed="8"/>
        <rFont val="Arial"/>
      </rPr>
      <t>https://wmsc.lcsc.com/wmsc/upload/file/pdf/v2/lcsc/2301120930_HXY-MOSFET-AMS1117-3-3_C5345982.pdf</t>
    </r>
  </si>
  <si>
    <r>
      <rPr>
        <sz val="10"/>
        <color indexed="8"/>
        <rFont val="Arial"/>
      </rPr>
      <t>REG_AMS1117-5.0_SOT-223-3</t>
    </r>
  </si>
  <si>
    <r>
      <rPr>
        <sz val="10"/>
        <color indexed="8"/>
        <rFont val="Arial"/>
      </rPr>
      <t>AMS1117-5.0 5v 5v0 1A</t>
    </r>
  </si>
  <si>
    <r>
      <rPr>
        <sz val="10"/>
        <color indexed="8"/>
        <rFont val="Arial"/>
      </rPr>
      <t>AMS1117-5.0 REG 5v 5v0 1A</t>
    </r>
  </si>
  <si>
    <r>
      <rPr>
        <u val="single"/>
        <sz val="10"/>
        <color indexed="8"/>
        <rFont val="Arial"/>
      </rPr>
      <t>C5345984</t>
    </r>
  </si>
  <si>
    <r>
      <rPr>
        <sz val="10"/>
        <color indexed="8"/>
        <rFont val="Arial"/>
      </rPr>
      <t>AMS1117-5.0</t>
    </r>
  </si>
  <si>
    <t>AMS1117-5.0</t>
  </si>
  <si>
    <t>C5345984</t>
  </si>
  <si>
    <t>1A Low Dropout regulator positive fixed 5.0V</t>
  </si>
  <si>
    <t>5v0</t>
  </si>
  <si>
    <r>
      <rPr>
        <u val="single"/>
        <sz val="10"/>
        <color indexed="8"/>
        <rFont val="Arial"/>
      </rPr>
      <t>https://wmsc.lcsc.com/wmsc/upload/file/pdf/v2/lcsc/2301120930_HXY-MOSFET-AMS1117-5-0_C5345984.pdf</t>
    </r>
  </si>
  <si>
    <r>
      <rPr>
        <sz val="10"/>
        <color indexed="8"/>
        <rFont val="Arial"/>
      </rPr>
      <t>REG_AMS1117-ADJ_SOT-223-3</t>
    </r>
  </si>
  <si>
    <r>
      <rPr>
        <sz val="10"/>
        <color indexed="8"/>
        <rFont val="Arial"/>
      </rPr>
      <t>AMS1117-ADJ ADJ 1.25-10.5v 1A</t>
    </r>
  </si>
  <si>
    <r>
      <rPr>
        <sz val="10"/>
        <color indexed="8"/>
        <rFont val="Arial"/>
      </rPr>
      <t>AMS1117-ADJ REG ADJ 1.25-10.5v 1A</t>
    </r>
  </si>
  <si>
    <r>
      <rPr>
        <u val="single"/>
        <sz val="10"/>
        <color indexed="8"/>
        <rFont val="Arial"/>
      </rPr>
      <t>C5345985</t>
    </r>
  </si>
  <si>
    <r>
      <rPr>
        <sz val="10"/>
        <color indexed="8"/>
        <rFont val="Arial"/>
      </rPr>
      <t>AMS1117-ADJ</t>
    </r>
  </si>
  <si>
    <t>AMS1117-ADJ</t>
  </si>
  <si>
    <t>ADJ</t>
  </si>
  <si>
    <t>C5345985</t>
  </si>
  <si>
    <r>
      <rPr>
        <sz val="10"/>
        <color indexed="8"/>
        <rFont val="American Typewriter"/>
      </rPr>
      <t>1A Low Dropout regulator positive adjustable output / fixed: 1.5V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(V</t>
    </r>
    <r>
      <rPr>
        <sz val="5"/>
        <color indexed="8"/>
        <rFont val="American Typewriter"/>
      </rPr>
      <t>IN</t>
    </r>
    <r>
      <rPr>
        <sz val="10"/>
        <color indexed="8"/>
        <rFont val="American Typewriter"/>
      </rPr>
      <t xml:space="preserve"> - V</t>
    </r>
    <r>
      <rPr>
        <sz val="5"/>
        <color indexed="8"/>
        <rFont val="American Typewriter"/>
      </rPr>
      <t>OUT</t>
    </r>
    <r>
      <rPr>
        <sz val="10"/>
        <color indexed="8"/>
        <rFont val="American Typewriter"/>
      </rPr>
      <t xml:space="preserve">) 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12V 1.5V 1.8V 2.5V 2.85V 3.3V and 5.0V</t>
    </r>
  </si>
  <si>
    <t>1.25-10.5v</t>
  </si>
  <si>
    <r>
      <rPr>
        <u val="single"/>
        <sz val="10"/>
        <color indexed="8"/>
        <rFont val="Arial"/>
      </rPr>
      <t>https://wmsc.lcsc.com/wmsc/upload/file/pdf/v2/lcsc/2301120930_HXY-MOSFET-AMS1117-ADJ_C5345985.pdf</t>
    </r>
  </si>
  <si>
    <r>
      <rPr>
        <sz val="9"/>
        <color indexed="8"/>
        <rFont val="Arial"/>
      </rPr>
      <t>RES_5%_100mW_0603_100K</t>
    </r>
  </si>
  <si>
    <r>
      <rPr>
        <sz val="10"/>
        <color indexed="8"/>
        <rFont val="Arial"/>
      </rPr>
      <t>100K 5% thick film 75V 100mW</t>
    </r>
  </si>
  <si>
    <r>
      <rPr>
        <sz val="10"/>
        <color indexed="8"/>
        <rFont val="Arial"/>
      </rPr>
      <t>100K RES 5% thick film 75V 100mW</t>
    </r>
  </si>
  <si>
    <r>
      <rPr>
        <u val="single"/>
        <sz val="10"/>
        <color indexed="8"/>
        <rFont val="Arial"/>
      </rPr>
      <t>C15458</t>
    </r>
  </si>
  <si>
    <r>
      <rPr>
        <sz val="10"/>
        <color indexed="8"/>
        <rFont val="Arial"/>
      </rPr>
      <t>100K</t>
    </r>
  </si>
  <si>
    <t>RES</t>
  </si>
  <si>
    <t>thick film</t>
  </si>
  <si>
    <t>C15458</t>
  </si>
  <si>
    <t>100k 100mW  75V ±100ppm/℃ ±5% 0603</t>
  </si>
  <si>
    <t>100K</t>
  </si>
  <si>
    <t>5%</t>
  </si>
  <si>
    <t>75V</t>
  </si>
  <si>
    <t>100mW</t>
  </si>
  <si>
    <t>UNI-ROYAL</t>
  </si>
  <si>
    <t>0603WAJ0104T5E</t>
  </si>
  <si>
    <t>Device:R_US</t>
  </si>
  <si>
    <t>SPCoast:0603-RES</t>
  </si>
  <si>
    <r>
      <rPr>
        <u val="single"/>
        <sz val="10"/>
        <color indexed="8"/>
        <rFont val="Arial"/>
      </rPr>
      <t>https://www.lcsc.com/datasheet/lcsc_datasheet_2206010216_UNI-ROYAL-Uniroyal-Elec-0603WAJ0104T5E_C15458.pdf</t>
    </r>
  </si>
  <si>
    <r>
      <rPr>
        <sz val="9"/>
        <color indexed="8"/>
        <rFont val="Arial"/>
      </rPr>
      <t>RES_5%_100mW_0603_10K</t>
    </r>
  </si>
  <si>
    <r>
      <rPr>
        <sz val="10"/>
        <color indexed="8"/>
        <rFont val="Arial"/>
      </rPr>
      <t>10K 5% thick film 75V 100mW</t>
    </r>
  </si>
  <si>
    <r>
      <rPr>
        <sz val="10"/>
        <color indexed="8"/>
        <rFont val="Arial"/>
      </rPr>
      <t>10K RES 5% thick film 75V 100mW</t>
    </r>
  </si>
  <si>
    <r>
      <rPr>
        <u val="single"/>
        <sz val="10"/>
        <color indexed="8"/>
        <rFont val="Arial"/>
      </rPr>
      <t>C15401</t>
    </r>
  </si>
  <si>
    <r>
      <rPr>
        <sz val="10"/>
        <color indexed="8"/>
        <rFont val="Arial"/>
      </rPr>
      <t>10K</t>
    </r>
  </si>
  <si>
    <t>C15401</t>
  </si>
  <si>
    <t>10k 100mW  75V ±100ppm/℃ ±5% 0603</t>
  </si>
  <si>
    <t>10K</t>
  </si>
  <si>
    <t>0603WAJ0103T5E</t>
  </si>
  <si>
    <r>
      <rPr>
        <u val="single"/>
        <sz val="10"/>
        <color indexed="8"/>
        <rFont val="Arial"/>
      </rPr>
      <t>https://www.lcsc.com/datasheet/lcsc_datasheet_2206010216_UNI-ROYAL-Uniroyal-Elec-0603WAJ0103T5E_C15401.pdf</t>
    </r>
  </si>
  <si>
    <r>
      <rPr>
        <u val="single"/>
        <sz val="10"/>
        <color indexed="8"/>
        <rFont val="Arial"/>
      </rPr>
      <t>C2930027</t>
    </r>
  </si>
  <si>
    <t>C2930027</t>
  </si>
  <si>
    <t>FOJAN</t>
  </si>
  <si>
    <t>FRC0603J103TS</t>
  </si>
  <si>
    <r>
      <rPr>
        <u val="single"/>
        <sz val="10"/>
        <color indexed="8"/>
        <rFont val="Arial"/>
      </rPr>
      <t>https://wmsc.lcsc.com/wmsc/upload/file/pdf/v2/lcsc/2308241009_FOJAN-FRC0603J103TS_C2930027.pdf</t>
    </r>
  </si>
  <si>
    <r>
      <rPr>
        <sz val="10"/>
        <color indexed="8"/>
        <rFont val="Arial"/>
      </rPr>
      <t>10K 5% thick film 150V 100mW</t>
    </r>
  </si>
  <si>
    <r>
      <rPr>
        <sz val="10"/>
        <color indexed="8"/>
        <rFont val="Arial"/>
      </rPr>
      <t>10K RES 5% thick film 150V 100mW</t>
    </r>
  </si>
  <si>
    <r>
      <rPr>
        <u val="single"/>
        <sz val="10"/>
        <color indexed="8"/>
        <rFont val="Arial"/>
      </rPr>
      <t>C4118381</t>
    </r>
  </si>
  <si>
    <t>C4118381</t>
  </si>
  <si>
    <t>10k 100mW s 150V ±100ppm/℃ ±5% 0603</t>
  </si>
  <si>
    <t>150V</t>
  </si>
  <si>
    <t>RC0603JR-1310KL</t>
  </si>
  <si>
    <r>
      <rPr>
        <u val="single"/>
        <sz val="10"/>
        <color indexed="8"/>
        <rFont val="Arial"/>
      </rPr>
      <t>https://wmsc.lcsc.com/wmsc/upload/file/pdf/v2/lcsc/2404101024_YAGEO-RC0603JR-1310KL_C4118381.pdf</t>
    </r>
  </si>
  <si>
    <r>
      <rPr>
        <sz val="9"/>
        <color indexed="8"/>
        <rFont val="Arial"/>
      </rPr>
      <t>RES_5%_100mW_0603_12k</t>
    </r>
  </si>
  <si>
    <r>
      <rPr>
        <sz val="10"/>
        <color indexed="8"/>
        <rFont val="Arial"/>
      </rPr>
      <t>12k 5% thick film 75V 100mW</t>
    </r>
  </si>
  <si>
    <r>
      <rPr>
        <sz val="10"/>
        <color indexed="8"/>
        <rFont val="Arial"/>
      </rPr>
      <t>12k RES 5% thick film 75V 100mW</t>
    </r>
  </si>
  <si>
    <r>
      <rPr>
        <u val="single"/>
        <sz val="10"/>
        <color indexed="8"/>
        <rFont val="Arial"/>
      </rPr>
      <t>C25577</t>
    </r>
  </si>
  <si>
    <r>
      <rPr>
        <sz val="10"/>
        <color indexed="8"/>
        <rFont val="Arial"/>
      </rPr>
      <t>12k</t>
    </r>
  </si>
  <si>
    <t>C25577</t>
  </si>
  <si>
    <t>12k 100mW  75V ±100ppm/℃ ±5% 0603</t>
  </si>
  <si>
    <t>12k</t>
  </si>
  <si>
    <t>0603WAJ0123T5E</t>
  </si>
  <si>
    <r>
      <rPr>
        <u val="single"/>
        <sz val="10"/>
        <color indexed="8"/>
        <rFont val="Arial"/>
      </rPr>
      <t>https://www.lcsc.com/datasheet/lcsc_datasheet_2205311900_UNI-ROYAL-Uniroyal-Elec-0603WAJ0123T5E_C25577.pdf</t>
    </r>
  </si>
  <si>
    <r>
      <rPr>
        <sz val="9"/>
        <color indexed="8"/>
        <rFont val="Arial"/>
      </rPr>
      <t>RES_5%_100mW_0603_1K</t>
    </r>
  </si>
  <si>
    <r>
      <rPr>
        <sz val="10"/>
        <color indexed="8"/>
        <rFont val="Arial"/>
      </rPr>
      <t>1K 5% thick film 75V 100mW</t>
    </r>
  </si>
  <si>
    <r>
      <rPr>
        <sz val="10"/>
        <color indexed="8"/>
        <rFont val="Arial"/>
      </rPr>
      <t>1K RES 5% thick film 75V 100mW</t>
    </r>
  </si>
  <si>
    <r>
      <rPr>
        <u val="single"/>
        <sz val="10"/>
        <color indexed="8"/>
        <rFont val="Arial"/>
      </rPr>
      <t>C25585</t>
    </r>
  </si>
  <si>
    <r>
      <rPr>
        <sz val="10"/>
        <color indexed="8"/>
        <rFont val="Arial"/>
      </rPr>
      <t>1K</t>
    </r>
  </si>
  <si>
    <t>C25585</t>
  </si>
  <si>
    <t>1k 100mW  75V ±100ppm/℃ ±5% 0603</t>
  </si>
  <si>
    <t>1K</t>
  </si>
  <si>
    <t>0603WAJ0102T5E</t>
  </si>
  <si>
    <r>
      <rPr>
        <u val="single"/>
        <sz val="10"/>
        <color indexed="8"/>
        <rFont val="Arial"/>
      </rPr>
      <t>https://www.lcsc.com/datasheet/lcsc_datasheet_2206010100_UNI-ROYAL-Uniroyal-Elec-0603WAJ0102T5E_C25585.pdf</t>
    </r>
  </si>
  <si>
    <r>
      <rPr>
        <sz val="9"/>
        <color indexed="8"/>
        <rFont val="Arial"/>
      </rPr>
      <t>RES_1%_100mW_0603_1M</t>
    </r>
  </si>
  <si>
    <r>
      <rPr>
        <sz val="10"/>
        <color indexed="8"/>
        <rFont val="Arial"/>
      </rPr>
      <t>1M 1% thick film 75V 100mW</t>
    </r>
  </si>
  <si>
    <r>
      <rPr>
        <sz val="10"/>
        <color indexed="8"/>
        <rFont val="Arial"/>
      </rPr>
      <t>1M RES 1% thick film 75V 100mW</t>
    </r>
  </si>
  <si>
    <r>
      <rPr>
        <u val="single"/>
        <sz val="10"/>
        <color indexed="8"/>
        <rFont val="Arial"/>
      </rPr>
      <t>C22935</t>
    </r>
  </si>
  <si>
    <r>
      <rPr>
        <sz val="10"/>
        <color indexed="8"/>
        <rFont val="Arial"/>
      </rPr>
      <t>1M</t>
    </r>
  </si>
  <si>
    <t>C22935</t>
  </si>
  <si>
    <t>1.0M 100mW  75V ±100ppm/℃ ±1% 0603</t>
  </si>
  <si>
    <t>1M</t>
  </si>
  <si>
    <t>1%</t>
  </si>
  <si>
    <t>0603WAF1004T5E</t>
  </si>
  <si>
    <r>
      <rPr>
        <u val="single"/>
        <sz val="10"/>
        <color indexed="8"/>
        <rFont val="Arial"/>
      </rPr>
      <t>https://www.lcsc.com/datasheet/lcsc_datasheet_2206010130_UNI-ROYAL-Uniroyal-Elec-0603WAF1004T5E_C22935.pdf</t>
    </r>
  </si>
  <si>
    <r>
      <rPr>
        <sz val="9"/>
        <color indexed="8"/>
        <rFont val="Arial"/>
      </rPr>
      <t>RES_5%_100mW_0603_1M</t>
    </r>
  </si>
  <si>
    <r>
      <rPr>
        <sz val="10"/>
        <color indexed="8"/>
        <rFont val="Arial"/>
      </rPr>
      <t>1M 5% thick film 75V 100mW</t>
    </r>
  </si>
  <si>
    <r>
      <rPr>
        <sz val="10"/>
        <color indexed="8"/>
        <rFont val="Arial"/>
      </rPr>
      <t>1M RES 5% thick film 75V 100mW</t>
    </r>
  </si>
  <si>
    <r>
      <rPr>
        <u val="single"/>
        <sz val="10"/>
        <color indexed="8"/>
        <rFont val="Arial"/>
      </rPr>
      <t>C26098</t>
    </r>
  </si>
  <si>
    <t>C26098</t>
  </si>
  <si>
    <t>1.0M 100mW  75V ±100ppm/℃ ±5% 0603</t>
  </si>
  <si>
    <t>0603WAJ0105T5E</t>
  </si>
  <si>
    <r>
      <rPr>
        <u val="single"/>
        <sz val="10"/>
        <color indexed="8"/>
        <rFont val="Arial"/>
      </rPr>
      <t>https://www.lcsc.com/datasheet/lcsc_datasheet_2206010030_UNI-ROYAL-Uniroyal-Elec-0603WAJ0105T5E_C26098.pdf</t>
    </r>
  </si>
  <si>
    <r>
      <rPr>
        <sz val="9"/>
        <color indexed="8"/>
        <rFont val="Arial"/>
      </rPr>
      <t>RES_5%_100mW_0603_2.2K</t>
    </r>
  </si>
  <si>
    <r>
      <rPr>
        <sz val="10"/>
        <color indexed="8"/>
        <rFont val="Arial"/>
      </rPr>
      <t>2.2K 5% thick film 75V 100mW</t>
    </r>
  </si>
  <si>
    <r>
      <rPr>
        <sz val="10"/>
        <color indexed="8"/>
        <rFont val="Arial"/>
      </rPr>
      <t>2.2K RES 5% thick film 75V 100mW</t>
    </r>
  </si>
  <si>
    <r>
      <rPr>
        <u val="single"/>
        <sz val="10"/>
        <color indexed="8"/>
        <rFont val="Arial"/>
      </rPr>
      <t>C25992</t>
    </r>
  </si>
  <si>
    <r>
      <rPr>
        <sz val="10"/>
        <color indexed="8"/>
        <rFont val="Arial"/>
      </rPr>
      <t>2.2K</t>
    </r>
  </si>
  <si>
    <t>C25992</t>
  </si>
  <si>
    <t>2.2k 100mW  75V ±100ppm/℃ ±5% 0603</t>
  </si>
  <si>
    <t>2.2K</t>
  </si>
  <si>
    <t>0603WAJ0222T5E</t>
  </si>
  <si>
    <r>
      <rPr>
        <u val="single"/>
        <sz val="10"/>
        <color indexed="8"/>
        <rFont val="Arial"/>
      </rPr>
      <t>https://www.lcsc.com/datasheet/lcsc_datasheet_2206010045_UNI-ROYAL-Uniroyal-Elec-0603WAJ0222T5E_C25992.pdf</t>
    </r>
  </si>
  <si>
    <r>
      <rPr>
        <sz val="9"/>
        <color indexed="8"/>
        <rFont val="Arial"/>
      </rPr>
      <t>RES_5%_100mW_0603_2.2M</t>
    </r>
  </si>
  <si>
    <r>
      <rPr>
        <sz val="10"/>
        <color indexed="8"/>
        <rFont val="Arial"/>
      </rPr>
      <t>2.2M 5% thick film 75V 100mW</t>
    </r>
  </si>
  <si>
    <r>
      <rPr>
        <sz val="10"/>
        <color indexed="8"/>
        <rFont val="Arial"/>
      </rPr>
      <t>2.2M RES 5% thick film 75V 100mW</t>
    </r>
  </si>
  <si>
    <r>
      <rPr>
        <u val="single"/>
        <sz val="10"/>
        <color indexed="8"/>
        <rFont val="Arial"/>
      </rPr>
      <t>C18679</t>
    </r>
  </si>
  <si>
    <r>
      <rPr>
        <sz val="10"/>
        <color indexed="8"/>
        <rFont val="Arial"/>
      </rPr>
      <t>2.2M</t>
    </r>
  </si>
  <si>
    <t>C18679</t>
  </si>
  <si>
    <t>2.2M 100mW  75V ±100ppm/℃ ±5% 0603</t>
  </si>
  <si>
    <t>2.2M</t>
  </si>
  <si>
    <t>0603WAJ0225T5E</t>
  </si>
  <si>
    <r>
      <rPr>
        <u val="single"/>
        <sz val="10"/>
        <color indexed="8"/>
        <rFont val="Arial"/>
      </rPr>
      <t>https://www.lcsc.com/datasheet/lcsc_datasheet_2206010145_UNI-ROYAL-Uniroyal-Elec-0603WAJ0225T5E_C18679.pdf</t>
    </r>
  </si>
  <si>
    <r>
      <rPr>
        <sz val="10"/>
        <color indexed="8"/>
        <rFont val="Arial"/>
      </rPr>
      <t>2.2M 5% thick film 50V 100mW</t>
    </r>
  </si>
  <si>
    <r>
      <rPr>
        <sz val="10"/>
        <color indexed="8"/>
        <rFont val="Arial"/>
      </rPr>
      <t>2.2M RES 5% thick film 50V 100mW</t>
    </r>
  </si>
  <si>
    <r>
      <rPr>
        <u val="single"/>
        <sz val="10"/>
        <color indexed="8"/>
        <rFont val="Arial"/>
      </rPr>
      <t>C403986</t>
    </r>
  </si>
  <si>
    <t>C403986</t>
  </si>
  <si>
    <t>2.2M 100mW  50V ±250ppm/℃ ±5% 0603</t>
  </si>
  <si>
    <t>FH</t>
  </si>
  <si>
    <t>RS-03L225JJT</t>
  </si>
  <si>
    <r>
      <rPr>
        <u val="single"/>
        <sz val="10"/>
        <color indexed="8"/>
        <rFont val="Arial"/>
      </rPr>
      <t>https://wmsc.lcsc.com/wmsc/upload/file/pdf/v2/lcsc/2304140030_FH--Guangdong-Fenghua-Advanced-Tech-RS-03L225JJT_C403986.pdf</t>
    </r>
  </si>
  <si>
    <r>
      <rPr>
        <sz val="10"/>
        <color indexed="8"/>
        <rFont val="Arial"/>
      </rPr>
      <t>RES_5%_100mW_0603_200</t>
    </r>
  </si>
  <si>
    <r>
      <rPr>
        <sz val="10"/>
        <color indexed="8"/>
        <rFont val="Arial"/>
      </rPr>
      <t>200 5% thick film 75V 100mW</t>
    </r>
  </si>
  <si>
    <r>
      <rPr>
        <sz val="10"/>
        <color indexed="8"/>
        <rFont val="Arial"/>
      </rPr>
      <t>200 RES 5% thick film 75V 100mW</t>
    </r>
  </si>
  <si>
    <r>
      <rPr>
        <u val="single"/>
        <sz val="10"/>
        <color indexed="8"/>
        <rFont val="Arial"/>
      </rPr>
      <t>C2907123</t>
    </r>
  </si>
  <si>
    <r>
      <rPr>
        <sz val="10"/>
        <color indexed="8"/>
        <rFont val="Arial"/>
      </rPr>
      <t>200</t>
    </r>
  </si>
  <si>
    <t>C2907123</t>
  </si>
  <si>
    <t>200 100mW  75V ±100ppm/℃ ±5% 0603</t>
  </si>
  <si>
    <t>200</t>
  </si>
  <si>
    <t>FRC0603J201 TS</t>
  </si>
  <si>
    <r>
      <rPr>
        <u val="single"/>
        <sz val="10"/>
        <color indexed="8"/>
        <rFont val="Arial"/>
      </rPr>
      <t>https://wmsc.lcsc.com/wmsc/upload/file/pdf/v2/lcsc/2308241947_FOJAN-FRC0603J201-TS_C2907123.pdf</t>
    </r>
  </si>
  <si>
    <r>
      <rPr>
        <sz val="9"/>
        <color indexed="8"/>
        <rFont val="Arial"/>
      </rPr>
      <t>RES_5%_100mW_0603_220</t>
    </r>
  </si>
  <si>
    <r>
      <rPr>
        <sz val="10"/>
        <color indexed="8"/>
        <rFont val="Arial"/>
      </rPr>
      <t>220 5% thick film 75V 100mW</t>
    </r>
  </si>
  <si>
    <r>
      <rPr>
        <sz val="10"/>
        <color indexed="8"/>
        <rFont val="Arial"/>
      </rPr>
      <t>220 RES 5% thick film 75V 100mW</t>
    </r>
  </si>
  <si>
    <r>
      <rPr>
        <u val="single"/>
        <sz val="10"/>
        <color indexed="8"/>
        <rFont val="Arial"/>
      </rPr>
      <t>C1226</t>
    </r>
  </si>
  <si>
    <r>
      <rPr>
        <sz val="10"/>
        <color indexed="8"/>
        <rFont val="Arial"/>
      </rPr>
      <t>220</t>
    </r>
  </si>
  <si>
    <t>C1226</t>
  </si>
  <si>
    <t>220 100mW  75V ±100ppm/℃ ±5% 0603</t>
  </si>
  <si>
    <t>220</t>
  </si>
  <si>
    <t>0603WAJ0221T5E</t>
  </si>
  <si>
    <r>
      <rPr>
        <u val="single"/>
        <sz val="10"/>
        <color indexed="8"/>
        <rFont val="Arial"/>
      </rPr>
      <t>https://www.lcsc.com/datasheet/lcsc_datasheet_2206010230_UNI-ROYAL-Uniroyal-Elec-0603WAJ0221T5E_C1226.pdf</t>
    </r>
  </si>
  <si>
    <r>
      <rPr>
        <sz val="9"/>
        <color indexed="8"/>
        <rFont val="Arial"/>
      </rPr>
      <t>RES_1%_100mW_0603_220</t>
    </r>
  </si>
  <si>
    <r>
      <rPr>
        <sz val="10"/>
        <color indexed="8"/>
        <rFont val="Arial"/>
      </rPr>
      <t>220 1% thick film 150V 100mW</t>
    </r>
  </si>
  <si>
    <r>
      <rPr>
        <sz val="10"/>
        <color indexed="8"/>
        <rFont val="Arial"/>
      </rPr>
      <t>220 RES 1% thick film 150V 100mW</t>
    </r>
  </si>
  <si>
    <r>
      <rPr>
        <u val="single"/>
        <sz val="10"/>
        <color indexed="8"/>
        <rFont val="Arial"/>
      </rPr>
      <t>C5842375</t>
    </r>
  </si>
  <si>
    <t>C5842375</t>
  </si>
  <si>
    <t>220 100mW s 150V ±100ppm/℃ ±1% 0603</t>
  </si>
  <si>
    <t>RC0603FR-13220RL</t>
  </si>
  <si>
    <r>
      <rPr>
        <u val="single"/>
        <sz val="10"/>
        <color indexed="8"/>
        <rFont val="Arial"/>
      </rPr>
      <t>https://wmsc.lcsc.com/wmsc/upload/file/pdf/v2/lcsc/2312030915_YAGEO-RC0603FR-13220RL_C5842375.pdf</t>
    </r>
  </si>
  <si>
    <r>
      <rPr>
        <sz val="9"/>
        <color indexed="8"/>
        <rFont val="Arial"/>
      </rPr>
      <t>RES_5%_100mW_0603_22K</t>
    </r>
  </si>
  <si>
    <r>
      <rPr>
        <sz val="10"/>
        <color indexed="8"/>
        <rFont val="Arial"/>
      </rPr>
      <t>22K 5% thick film 75V 100mW</t>
    </r>
  </si>
  <si>
    <r>
      <rPr>
        <sz val="10"/>
        <color indexed="8"/>
        <rFont val="Arial"/>
      </rPr>
      <t>22K RES 5% thick film 75V 100mW</t>
    </r>
  </si>
  <si>
    <r>
      <rPr>
        <u val="single"/>
        <sz val="10"/>
        <color indexed="8"/>
        <rFont val="Arial"/>
      </rPr>
      <t>C23344</t>
    </r>
  </si>
  <si>
    <r>
      <rPr>
        <sz val="10"/>
        <color indexed="8"/>
        <rFont val="Arial"/>
      </rPr>
      <t>22K</t>
    </r>
  </si>
  <si>
    <t>C23344</t>
  </si>
  <si>
    <t>22k 100mW  75V ±100ppm/℃ ±5% 0603</t>
  </si>
  <si>
    <t>22K</t>
  </si>
  <si>
    <t>0603WAJ0223T5E</t>
  </si>
  <si>
    <r>
      <rPr>
        <u val="single"/>
        <sz val="10"/>
        <color indexed="8"/>
        <rFont val="Arial"/>
      </rPr>
      <t>https://www.lcsc.com/datasheet/lcsc_datasheet_2206010100_UNI-ROYAL-Uniroyal-Elec-0603WAJ0223T5E_C23344.pdf</t>
    </r>
  </si>
  <si>
    <r>
      <rPr>
        <sz val="9"/>
        <color indexed="8"/>
        <rFont val="Arial"/>
      </rPr>
      <t>RES_5%_100mW_0603_3.3K</t>
    </r>
  </si>
  <si>
    <r>
      <rPr>
        <sz val="10"/>
        <color indexed="8"/>
        <rFont val="Arial"/>
      </rPr>
      <t>3.3K 5% thick film 75V 100mW</t>
    </r>
  </si>
  <si>
    <r>
      <rPr>
        <sz val="10"/>
        <color indexed="8"/>
        <rFont val="Arial"/>
      </rPr>
      <t>3.3K RES 5% thick film 75V 100mW</t>
    </r>
  </si>
  <si>
    <r>
      <rPr>
        <u val="single"/>
        <sz val="10"/>
        <color indexed="8"/>
        <rFont val="Arial"/>
      </rPr>
      <t>C25995</t>
    </r>
  </si>
  <si>
    <r>
      <rPr>
        <sz val="10"/>
        <color indexed="8"/>
        <rFont val="Arial"/>
      </rPr>
      <t>3.3K</t>
    </r>
  </si>
  <si>
    <t>C25995</t>
  </si>
  <si>
    <t>3.3k 100mW  75V ±100ppm/℃ ±5% 0603</t>
  </si>
  <si>
    <t>3.3K</t>
  </si>
  <si>
    <t>0603WAJ0332T5E</t>
  </si>
  <si>
    <r>
      <rPr>
        <u val="single"/>
        <sz val="10"/>
        <color indexed="8"/>
        <rFont val="Arial"/>
      </rPr>
      <t>https://www.lcsc.com/datasheet/lcsc_datasheet_2206010045_UNI-ROYAL-Uniroyal-Elec-0603WAJ0332T5E_C25995.pdf</t>
    </r>
  </si>
  <si>
    <r>
      <rPr>
        <sz val="9"/>
        <color indexed="8"/>
        <rFont val="Arial"/>
      </rPr>
      <t>RES_1%_100mW_0603_3.3K</t>
    </r>
  </si>
  <si>
    <r>
      <rPr>
        <sz val="10"/>
        <color indexed="8"/>
        <rFont val="Arial"/>
      </rPr>
      <t>3.3K 1% thick film 75V 100mW</t>
    </r>
  </si>
  <si>
    <r>
      <rPr>
        <sz val="10"/>
        <color indexed="8"/>
        <rFont val="Arial"/>
      </rPr>
      <t>3.3K RES 1% thick film 75V 100mW</t>
    </r>
  </si>
  <si>
    <r>
      <rPr>
        <u val="single"/>
        <sz val="10"/>
        <color indexed="8"/>
        <rFont val="Arial"/>
      </rPr>
      <t>C2907023</t>
    </r>
  </si>
  <si>
    <t>C2907023</t>
  </si>
  <si>
    <t>3.3k 100mW s 75V ±100ppm/℃ ±1% 0603</t>
  </si>
  <si>
    <t>FRC0603F3301TS</t>
  </si>
  <si>
    <r>
      <rPr>
        <u val="single"/>
        <sz val="10"/>
        <color indexed="8"/>
        <rFont val="Arial"/>
      </rPr>
      <t>https://wmsc.lcsc.com/wmsc/upload/file/pdf/v2/lcsc/2308241947_FOJAN-FRC0603F3301TS_C2907023.pdf</t>
    </r>
  </si>
  <si>
    <r>
      <rPr>
        <sz val="9"/>
        <color indexed="8"/>
        <rFont val="Arial"/>
      </rPr>
      <t>RES_5%_100mW_0603_330</t>
    </r>
  </si>
  <si>
    <r>
      <rPr>
        <sz val="10"/>
        <color indexed="8"/>
        <rFont val="Arial"/>
      </rPr>
      <t>330 5% thick film 75V 100mW</t>
    </r>
  </si>
  <si>
    <r>
      <rPr>
        <sz val="10"/>
        <color indexed="8"/>
        <rFont val="Arial"/>
      </rPr>
      <t>330 RES 5% thick film 75V 100mW</t>
    </r>
  </si>
  <si>
    <r>
      <rPr>
        <u val="single"/>
        <sz val="10"/>
        <color indexed="8"/>
        <rFont val="Arial"/>
      </rPr>
      <t>C25231</t>
    </r>
  </si>
  <si>
    <r>
      <rPr>
        <sz val="10"/>
        <color indexed="8"/>
        <rFont val="Arial"/>
      </rPr>
      <t>330</t>
    </r>
  </si>
  <si>
    <t>C25231</t>
  </si>
  <si>
    <t>330 100mW  75V ±100ppm/℃ ±5% 0603</t>
  </si>
  <si>
    <t>0603WAJ0331T5E</t>
  </si>
  <si>
    <r>
      <rPr>
        <u val="single"/>
        <sz val="10"/>
        <color indexed="8"/>
        <rFont val="Arial"/>
      </rPr>
      <t>https://www.lcsc.com/datasheet/lcsc_datasheet_2205311845_UNI-ROYAL-Uniroyal-Elec-0603WAJ0331T5E_C25231.pdf</t>
    </r>
  </si>
  <si>
    <r>
      <rPr>
        <sz val="9"/>
        <color indexed="8"/>
        <rFont val="Arial"/>
      </rPr>
      <t>RES_5%_100mW_0603_4.7K</t>
    </r>
  </si>
  <si>
    <r>
      <rPr>
        <sz val="10"/>
        <color indexed="8"/>
        <rFont val="Arial"/>
      </rPr>
      <t>4.7K 5% thick film 75V 100mW</t>
    </r>
  </si>
  <si>
    <r>
      <rPr>
        <sz val="10"/>
        <color indexed="8"/>
        <rFont val="Arial"/>
      </rPr>
      <t>4.7K RES 5% thick film 75V 100mW</t>
    </r>
  </si>
  <si>
    <r>
      <rPr>
        <u val="single"/>
        <sz val="10"/>
        <color indexed="8"/>
        <rFont val="Arial"/>
      </rPr>
      <t>C25999</t>
    </r>
  </si>
  <si>
    <r>
      <rPr>
        <sz val="10"/>
        <color indexed="8"/>
        <rFont val="Arial"/>
      </rPr>
      <t>4.7K</t>
    </r>
  </si>
  <si>
    <t>C25999</t>
  </si>
  <si>
    <t>4.7k 100mW  75V ±100ppm/℃ ±5% 0603</t>
  </si>
  <si>
    <t>4.7K</t>
  </si>
  <si>
    <t>0603WAJ0472T5E</t>
  </si>
  <si>
    <r>
      <rPr>
        <u val="single"/>
        <sz val="10"/>
        <color indexed="8"/>
        <rFont val="Arial"/>
      </rPr>
      <t>https://www.lcsc.com/datasheet/lcsc_datasheet_2206010045_UNI-ROYAL-Uniroyal-Elec-0603WAJ0472T5E_C25999.pdf</t>
    </r>
  </si>
  <si>
    <r>
      <rPr>
        <sz val="9"/>
        <color indexed="8"/>
        <rFont val="Arial"/>
      </rPr>
      <t>RES_5%_100mW_0603_470</t>
    </r>
  </si>
  <si>
    <r>
      <rPr>
        <sz val="10"/>
        <color indexed="8"/>
        <rFont val="Arial"/>
      </rPr>
      <t>470 5% thick film 75V 100mW</t>
    </r>
  </si>
  <si>
    <r>
      <rPr>
        <sz val="10"/>
        <color indexed="8"/>
        <rFont val="Arial"/>
      </rPr>
      <t>470 RES 5% thick film 75V 100mW</t>
    </r>
  </si>
  <si>
    <r>
      <rPr>
        <u val="single"/>
        <sz val="10"/>
        <color indexed="8"/>
        <rFont val="Arial"/>
      </rPr>
      <t>C25241</t>
    </r>
  </si>
  <si>
    <r>
      <rPr>
        <sz val="10"/>
        <color indexed="8"/>
        <rFont val="Arial"/>
      </rPr>
      <t>470</t>
    </r>
  </si>
  <si>
    <t>C25241</t>
  </si>
  <si>
    <t>470 100mW  75V ±100ppm/℃ ±5% 0603</t>
  </si>
  <si>
    <t>470</t>
  </si>
  <si>
    <t>0603WAJ0471T5E</t>
  </si>
  <si>
    <r>
      <rPr>
        <u val="single"/>
        <sz val="10"/>
        <color indexed="8"/>
        <rFont val="Arial"/>
      </rPr>
      <t>https://www.lcsc.com/datasheet/lcsc_datasheet_2205311845_UNI-ROYAL-Uniroyal-Elec-0603WAJ0471T5E_C25241.pdf</t>
    </r>
  </si>
  <si>
    <r>
      <rPr>
        <sz val="9"/>
        <color indexed="8"/>
        <rFont val="Arial"/>
      </rPr>
      <t>RES_5%_100mW_0603_5.6K</t>
    </r>
  </si>
  <si>
    <r>
      <rPr>
        <sz val="10"/>
        <color indexed="8"/>
        <rFont val="Arial"/>
      </rPr>
      <t>5.6K 5% thick film 75V 100mW</t>
    </r>
  </si>
  <si>
    <r>
      <rPr>
        <sz val="10"/>
        <color indexed="8"/>
        <rFont val="Arial"/>
      </rPr>
      <t>5.6K RES 5% thick film 75V 100mW</t>
    </r>
  </si>
  <si>
    <r>
      <rPr>
        <u val="single"/>
        <sz val="10"/>
        <color indexed="8"/>
        <rFont val="Arial"/>
      </rPr>
      <t>C26001</t>
    </r>
  </si>
  <si>
    <r>
      <rPr>
        <sz val="10"/>
        <color indexed="8"/>
        <rFont val="Arial"/>
      </rPr>
      <t>5.6K</t>
    </r>
  </si>
  <si>
    <t>C26001</t>
  </si>
  <si>
    <t>5.6k 100mW  75V ±100ppm/℃ ±5% 0603</t>
  </si>
  <si>
    <t>5.6K</t>
  </si>
  <si>
    <t>0603WAJ0562T5E</t>
  </si>
  <si>
    <r>
      <rPr>
        <u val="single"/>
        <sz val="10"/>
        <color indexed="8"/>
        <rFont val="Arial"/>
      </rPr>
      <t>https://www.lcsc.com/datasheet/lcsc_datasheet_2206010045_UNI-ROYAL-Uniroyal-Elec-0603WAJ0562T5E_C26001.pdf</t>
    </r>
  </si>
  <si>
    <r>
      <rPr>
        <sz val="9"/>
        <color indexed="8"/>
        <rFont val="Arial"/>
      </rPr>
      <t>RLY_ISOPLUS-264_CPC1709J</t>
    </r>
  </si>
  <si>
    <r>
      <rPr>
        <sz val="10"/>
        <color indexed="8"/>
        <rFont val="Arial"/>
      </rPr>
      <t>CPC1709J SSR 1.42V 9A-22.8A</t>
    </r>
  </si>
  <si>
    <r>
      <rPr>
        <sz val="10"/>
        <color indexed="8"/>
        <rFont val="Arial"/>
      </rPr>
      <t>CPC1709J RLY SSR 1.42V 9A-22.8A</t>
    </r>
  </si>
  <si>
    <r>
      <rPr>
        <u val="single"/>
        <sz val="10"/>
        <color indexed="8"/>
        <rFont val="Arial"/>
      </rPr>
      <t>C1525253</t>
    </r>
  </si>
  <si>
    <r>
      <rPr>
        <sz val="10"/>
        <color indexed="8"/>
        <rFont val="Arial"/>
      </rPr>
      <t>CPC1709J</t>
    </r>
  </si>
  <si>
    <t>RLY</t>
  </si>
  <si>
    <t>SSR</t>
  </si>
  <si>
    <t>C1525253</t>
  </si>
  <si>
    <t>2.5kV 220us 27mΩ 7ms DC ISOPLUS-264 Solid State Relays (MOS Output) -40c-+85c 1.42V 10mA</t>
  </si>
  <si>
    <t>ISOPLUS-264</t>
  </si>
  <si>
    <t>1.42V</t>
  </si>
  <si>
    <t>9A-22.8A</t>
  </si>
  <si>
    <t>Littelfuse/IXYS</t>
  </si>
  <si>
    <t>CPC1709J</t>
  </si>
  <si>
    <t>SPCoast:Relay_CPC1709J</t>
  </si>
  <si>
    <r>
      <rPr>
        <u val="single"/>
        <sz val="10"/>
        <color indexed="8"/>
        <rFont val="Arial"/>
      </rPr>
      <t>https://jlcpcb.com/api/file/downloadByFileSystemAccessId/8589033743424368640</t>
    </r>
  </si>
  <si>
    <r>
      <rPr>
        <sz val="10"/>
        <color indexed="8"/>
        <rFont val="Arial"/>
      </rPr>
      <t>RLY_G2RL-2_29x12.7x15.7mm</t>
    </r>
  </si>
  <si>
    <r>
      <rPr>
        <sz val="10"/>
        <color indexed="8"/>
        <rFont val="Arial"/>
      </rPr>
      <t>G2RL-2 24v DPDT 24v 8A</t>
    </r>
  </si>
  <si>
    <r>
      <rPr>
        <sz val="10"/>
        <color indexed="8"/>
        <rFont val="Arial"/>
      </rPr>
      <t>G2RL-2 RLY 24v DPDT 24v 8A</t>
    </r>
  </si>
  <si>
    <r>
      <rPr>
        <sz val="10"/>
        <color indexed="8"/>
        <rFont val="Arial"/>
      </rPr>
      <t>G2RL-2</t>
    </r>
  </si>
  <si>
    <t>G2RL-2</t>
  </si>
  <si>
    <t>24v DPDT</t>
  </si>
  <si>
    <t>DPDT Low profile power relay 15.7mmH</t>
  </si>
  <si>
    <t>29x12.7x15.7mm</t>
  </si>
  <si>
    <t>24v</t>
  </si>
  <si>
    <t>8A</t>
  </si>
  <si>
    <t>Omron</t>
  </si>
  <si>
    <t>G2RL-2 / 24v</t>
  </si>
  <si>
    <t>SPCoast:G2RL-2</t>
  </si>
  <si>
    <t>SPCoast:Relay_DPDT_Omron_G2RL-2</t>
  </si>
  <si>
    <r>
      <rPr>
        <u val="single"/>
        <sz val="10"/>
        <color indexed="8"/>
        <rFont val="Arial"/>
      </rPr>
      <t>https://omronfs.omron.com/en_US/ecb/products/pdf/en-g2rl.pdf</t>
    </r>
  </si>
  <si>
    <r>
      <rPr>
        <sz val="10"/>
        <color indexed="8"/>
        <rFont val="Arial"/>
      </rPr>
      <t>SLK_BRD_100x100</t>
    </r>
  </si>
  <si>
    <r>
      <rPr>
        <sz val="10"/>
        <color indexed="8"/>
        <rFont val="Arial"/>
      </rPr>
      <t>BRD_100x100 Board Outline &amp; Milling</t>
    </r>
  </si>
  <si>
    <r>
      <rPr>
        <sz val="10"/>
        <color indexed="8"/>
        <rFont val="Arial"/>
      </rPr>
      <t>BRD_100x100 SLK Board Outline &amp; Milling</t>
    </r>
  </si>
  <si>
    <r>
      <rPr>
        <sz val="10"/>
        <color indexed="8"/>
        <rFont val="Arial"/>
      </rPr>
      <t>BRD_100x100</t>
    </r>
  </si>
  <si>
    <t>SLK</t>
  </si>
  <si>
    <t>BRD_100x100</t>
  </si>
  <si>
    <t>Board Outline &amp; Milling</t>
  </si>
  <si>
    <t>PCB Board outline with mounting holes</t>
  </si>
  <si>
    <t>SPCoast:Board</t>
  </si>
  <si>
    <t>SPCoast:Board_100x100</t>
  </si>
  <si>
    <r>
      <rPr>
        <sz val="10"/>
        <color indexed="8"/>
        <rFont val="Arial"/>
      </rPr>
      <t>SLK_BRD_100x150</t>
    </r>
  </si>
  <si>
    <r>
      <rPr>
        <sz val="10"/>
        <color indexed="8"/>
        <rFont val="Arial"/>
      </rPr>
      <t>BRD_100x150 Board Outline &amp; Milling</t>
    </r>
  </si>
  <si>
    <r>
      <rPr>
        <sz val="10"/>
        <color indexed="8"/>
        <rFont val="Arial"/>
      </rPr>
      <t>BRD_100x150 SLK Board Outline &amp; Milling</t>
    </r>
  </si>
  <si>
    <r>
      <rPr>
        <sz val="10"/>
        <color indexed="8"/>
        <rFont val="Arial"/>
      </rPr>
      <t>BRD_100x150</t>
    </r>
  </si>
  <si>
    <t>BRD_100x150</t>
  </si>
  <si>
    <t>SPCoast:Board_100x150</t>
  </si>
  <si>
    <r>
      <rPr>
        <sz val="10"/>
        <color indexed="8"/>
        <rFont val="Arial"/>
      </rPr>
      <t>SLK_BRD_100x200</t>
    </r>
  </si>
  <si>
    <r>
      <rPr>
        <sz val="10"/>
        <color indexed="8"/>
        <rFont val="Arial"/>
      </rPr>
      <t>BRD_100x200 Board Outline &amp; Milling</t>
    </r>
  </si>
  <si>
    <r>
      <rPr>
        <sz val="10"/>
        <color indexed="8"/>
        <rFont val="Arial"/>
      </rPr>
      <t>BRD_100x200 SLK Board Outline &amp; Milling</t>
    </r>
  </si>
  <si>
    <r>
      <rPr>
        <sz val="10"/>
        <color indexed="8"/>
        <rFont val="Arial"/>
      </rPr>
      <t>BRD_100x200</t>
    </r>
  </si>
  <si>
    <t>BRD_100x200</t>
  </si>
  <si>
    <t>SPCoast:Board_100x200</t>
  </si>
  <si>
    <r>
      <rPr>
        <sz val="10"/>
        <color indexed="8"/>
        <rFont val="Arial"/>
      </rPr>
      <t>SLK_BRD_100x25x2</t>
    </r>
  </si>
  <si>
    <r>
      <rPr>
        <sz val="10"/>
        <color indexed="8"/>
        <rFont val="Arial"/>
      </rPr>
      <t>BRD_100x25x2 Board Outline &amp; Milling</t>
    </r>
  </si>
  <si>
    <r>
      <rPr>
        <sz val="10"/>
        <color indexed="8"/>
        <rFont val="Arial"/>
      </rPr>
      <t>BRD_100x25x2 SLK Board Outline &amp; Milling</t>
    </r>
  </si>
  <si>
    <r>
      <rPr>
        <sz val="10"/>
        <color indexed="8"/>
        <rFont val="Arial"/>
      </rPr>
      <t>BRD_100x25x2</t>
    </r>
  </si>
  <si>
    <t>BRD_100x25x2</t>
  </si>
  <si>
    <t>Passive</t>
  </si>
  <si>
    <t>SPCoast:Board_100x050_2</t>
  </si>
  <si>
    <r>
      <rPr>
        <sz val="10"/>
        <color indexed="8"/>
        <rFont val="Arial"/>
      </rPr>
      <t>SLK_BRD_100x50</t>
    </r>
  </si>
  <si>
    <r>
      <rPr>
        <sz val="10"/>
        <color indexed="8"/>
        <rFont val="Arial"/>
      </rPr>
      <t>BRD_100x50 Board Outline &amp; Milling</t>
    </r>
  </si>
  <si>
    <r>
      <rPr>
        <sz val="10"/>
        <color indexed="8"/>
        <rFont val="Arial"/>
      </rPr>
      <t>BRD_100x50 SLK Board Outline &amp; Milling</t>
    </r>
  </si>
  <si>
    <r>
      <rPr>
        <sz val="10"/>
        <color indexed="8"/>
        <rFont val="Arial"/>
      </rPr>
      <t>BRD_100x50</t>
    </r>
  </si>
  <si>
    <t>BRD_100x50</t>
  </si>
  <si>
    <t>SPCoast:Board_100x050</t>
  </si>
  <si>
    <r>
      <rPr>
        <sz val="10"/>
        <color indexed="8"/>
        <rFont val="Arial"/>
      </rPr>
      <t>SLK_BRD_100x75</t>
    </r>
  </si>
  <si>
    <r>
      <rPr>
        <sz val="10"/>
        <color indexed="8"/>
        <rFont val="Arial"/>
      </rPr>
      <t>BRD_100x75 Board Outline &amp; Milling</t>
    </r>
  </si>
  <si>
    <r>
      <rPr>
        <sz val="10"/>
        <color indexed="8"/>
        <rFont val="Arial"/>
      </rPr>
      <t>BRD_100x75 SLK Board Outline &amp; Milling</t>
    </r>
  </si>
  <si>
    <r>
      <rPr>
        <sz val="10"/>
        <color indexed="8"/>
        <rFont val="Arial"/>
      </rPr>
      <t>BRD_100x75</t>
    </r>
  </si>
  <si>
    <t>BRD_100x75</t>
  </si>
  <si>
    <t>SPCoast:Board_100x075</t>
  </si>
  <si>
    <t>PCB Board outline with mounting holes  large radius corners</t>
  </si>
  <si>
    <t>SPCoast:Board_100x075_Rounded</t>
  </si>
  <si>
    <r>
      <rPr>
        <sz val="10"/>
        <color indexed="8"/>
        <rFont val="Arial"/>
      </rPr>
      <t>SLK_BRD_80x100</t>
    </r>
  </si>
  <si>
    <r>
      <rPr>
        <sz val="10"/>
        <color indexed="8"/>
        <rFont val="Arial"/>
      </rPr>
      <t>BRD_80x100 Board Outline &amp; Milling</t>
    </r>
  </si>
  <si>
    <r>
      <rPr>
        <sz val="10"/>
        <color indexed="8"/>
        <rFont val="Arial"/>
      </rPr>
      <t>SLK_BRD_80x100 BRD_80x100 SLK Board Outline &amp; Milling</t>
    </r>
  </si>
  <si>
    <r>
      <rPr>
        <sz val="10"/>
        <color indexed="8"/>
        <rFont val="Arial"/>
      </rPr>
      <t>BRD_80x100</t>
    </r>
  </si>
  <si>
    <t>BRD_80x100</t>
  </si>
  <si>
    <t>PCB Board outline with mounting holes - fits Tyco 3 mounting rail</t>
  </si>
  <si>
    <t>SPCoast:Board_080x100</t>
  </si>
  <si>
    <r>
      <rPr>
        <sz val="10"/>
        <color indexed="8"/>
        <rFont val="Arial"/>
      </rPr>
      <t>SLK_CA65</t>
    </r>
  </si>
  <si>
    <r>
      <rPr>
        <sz val="10"/>
        <color indexed="8"/>
        <rFont val="Arial"/>
      </rPr>
      <t>CA65 SilkScreen</t>
    </r>
  </si>
  <si>
    <r>
      <rPr>
        <sz val="10"/>
        <color indexed="8"/>
        <rFont val="Arial"/>
      </rPr>
      <t>CA65 SLK SilkScreen</t>
    </r>
  </si>
  <si>
    <r>
      <rPr>
        <sz val="10"/>
        <color indexed="8"/>
        <rFont val="Arial"/>
      </rPr>
      <t>CA65</t>
    </r>
  </si>
  <si>
    <t>CA65</t>
  </si>
  <si>
    <t>SilkScreen</t>
  </si>
  <si>
    <t>California Prop 65 warning</t>
  </si>
  <si>
    <t>SPCoast:DOC_Label-CA65</t>
  </si>
  <si>
    <t>SPCoast:SILK_Label-CA65</t>
  </si>
  <si>
    <r>
      <rPr>
        <sz val="10"/>
        <color indexed="8"/>
        <rFont val="Arial"/>
      </rPr>
      <t>SLK_CC-by-sa</t>
    </r>
  </si>
  <si>
    <r>
      <rPr>
        <sz val="10"/>
        <color indexed="8"/>
        <rFont val="Arial"/>
      </rPr>
      <t>CC-by-sa SilkScreen</t>
    </r>
  </si>
  <si>
    <r>
      <rPr>
        <sz val="10"/>
        <color indexed="8"/>
        <rFont val="Arial"/>
      </rPr>
      <t>CC-by-sa SLK SilkScreen</t>
    </r>
  </si>
  <si>
    <r>
      <rPr>
        <sz val="10"/>
        <color indexed="8"/>
        <rFont val="Arial"/>
      </rPr>
      <t>CC-by-sa</t>
    </r>
  </si>
  <si>
    <t>CC-by-sa</t>
  </si>
  <si>
    <t>Creative Commons License 3.0</t>
  </si>
  <si>
    <t>SPCoast:DOC_License-CC-BY-SA</t>
  </si>
  <si>
    <t>SPCoast:SILK_License-CC-by-sa</t>
  </si>
  <si>
    <r>
      <rPr>
        <sz val="10"/>
        <color indexed="8"/>
        <rFont val="Arial"/>
      </rPr>
      <t>SLK_DCPower-</t>
    </r>
  </si>
  <si>
    <r>
      <rPr>
        <sz val="10"/>
        <color indexed="8"/>
        <rFont val="Arial"/>
      </rPr>
      <t>DCPower- SilkScreen</t>
    </r>
  </si>
  <si>
    <r>
      <rPr>
        <sz val="10"/>
        <color indexed="8"/>
        <rFont val="Arial"/>
      </rPr>
      <t>DCPower- SLK SilkScreen</t>
    </r>
  </si>
  <si>
    <r>
      <rPr>
        <sz val="10"/>
        <color indexed="8"/>
        <rFont val="Arial"/>
      </rPr>
      <t>DCPower-</t>
    </r>
  </si>
  <si>
    <t>DCPower-</t>
  </si>
  <si>
    <t>DC Power Jack Label</t>
  </si>
  <si>
    <t>SPCoast:DOC_Label-Power_CN</t>
  </si>
  <si>
    <t>SPCoast:SILK_Label-Power_CN</t>
  </si>
  <si>
    <r>
      <rPr>
        <sz val="10"/>
        <color indexed="8"/>
        <rFont val="Arial"/>
      </rPr>
      <t>SLK_DCPower+</t>
    </r>
  </si>
  <si>
    <r>
      <rPr>
        <sz val="10"/>
        <color indexed="8"/>
        <rFont val="Arial"/>
      </rPr>
      <t>DCPower+ SilkScreen</t>
    </r>
  </si>
  <si>
    <r>
      <rPr>
        <sz val="10"/>
        <color indexed="8"/>
        <rFont val="Arial"/>
      </rPr>
      <t>DCPower+ SLK SilkScreen</t>
    </r>
  </si>
  <si>
    <r>
      <rPr>
        <sz val="10"/>
        <color indexed="8"/>
        <rFont val="Arial"/>
      </rPr>
      <t>DCPower+</t>
    </r>
  </si>
  <si>
    <t>DCPower+</t>
  </si>
  <si>
    <t>SPCoast:DOC_Label-Power_CP</t>
  </si>
  <si>
    <t>SPCoast:SILK_Label-Power_CP</t>
  </si>
  <si>
    <r>
      <rPr>
        <sz val="10"/>
        <color indexed="8"/>
        <rFont val="Arial"/>
      </rPr>
      <t>SLK_Logo_MRCS</t>
    </r>
  </si>
  <si>
    <r>
      <rPr>
        <sz val="10"/>
        <color indexed="8"/>
        <rFont val="Arial"/>
      </rPr>
      <t>Logo_MRCS SilkScreen</t>
    </r>
  </si>
  <si>
    <r>
      <rPr>
        <sz val="10"/>
        <color indexed="8"/>
        <rFont val="Arial"/>
      </rPr>
      <t>Logo_MRCS SLK SilkScreen</t>
    </r>
  </si>
  <si>
    <r>
      <rPr>
        <sz val="10"/>
        <color indexed="8"/>
        <rFont val="Arial"/>
      </rPr>
      <t>Logo_MRCS</t>
    </r>
  </si>
  <si>
    <t>Logo_MRCS</t>
  </si>
  <si>
    <t>MRCS PCB Logo</t>
  </si>
  <si>
    <t>SPCoast:DOC_Logo-MRCS</t>
  </si>
  <si>
    <t>SPCoast:SILK_Logo-MRCS</t>
  </si>
  <si>
    <r>
      <rPr>
        <sz val="10"/>
        <color indexed="8"/>
        <rFont val="Arial"/>
      </rPr>
      <t>SLK_Logo_SPCoast</t>
    </r>
  </si>
  <si>
    <r>
      <rPr>
        <sz val="10"/>
        <color indexed="8"/>
        <rFont val="Arial"/>
      </rPr>
      <t>Logo_SPCoast SilkScreen</t>
    </r>
  </si>
  <si>
    <r>
      <rPr>
        <sz val="10"/>
        <color indexed="8"/>
        <rFont val="Arial"/>
      </rPr>
      <t>Logo_SPCoast SLK SilkScreen</t>
    </r>
  </si>
  <si>
    <r>
      <rPr>
        <sz val="10"/>
        <color indexed="8"/>
        <rFont val="Arial"/>
      </rPr>
      <t>Logo_SPCoast</t>
    </r>
  </si>
  <si>
    <t>Logo_SPCoast</t>
  </si>
  <si>
    <t>SPCoast PCB Logo</t>
  </si>
  <si>
    <t>SPCoast:DOC_Logo-SPCoast</t>
  </si>
  <si>
    <t>SPCoast:SILK_Logo-SPCoast</t>
  </si>
  <si>
    <r>
      <rPr>
        <sz val="10"/>
        <color indexed="8"/>
        <rFont val="Arial"/>
      </rPr>
      <t>SLK_Power_Draw</t>
    </r>
  </si>
  <si>
    <r>
      <rPr>
        <sz val="10"/>
        <color indexed="8"/>
        <rFont val="Arial"/>
      </rPr>
      <t>Power_Draw SilkScreen</t>
    </r>
  </si>
  <si>
    <r>
      <rPr>
        <sz val="10"/>
        <color indexed="8"/>
        <rFont val="Arial"/>
      </rPr>
      <t>Power_Draw SLK SilkScreen</t>
    </r>
  </si>
  <si>
    <r>
      <rPr>
        <sz val="10"/>
        <color indexed="8"/>
        <rFont val="Arial"/>
      </rPr>
      <t>Power_Draw</t>
    </r>
  </si>
  <si>
    <t>Power_Draw</t>
  </si>
  <si>
    <t>SPCoast Power Consumption Label</t>
  </si>
  <si>
    <t>SPCoast:DOC_Label-Current-Sink</t>
  </si>
  <si>
    <t>SPCoast:SILK_Label-Current-Sink</t>
  </si>
  <si>
    <r>
      <rPr>
        <sz val="10"/>
        <color indexed="8"/>
        <rFont val="Arial"/>
      </rPr>
      <t>SLK_Power_Provide</t>
    </r>
  </si>
  <si>
    <r>
      <rPr>
        <sz val="10"/>
        <color indexed="8"/>
        <rFont val="Arial"/>
      </rPr>
      <t>Power_Provide SilkScreen</t>
    </r>
  </si>
  <si>
    <r>
      <rPr>
        <sz val="10"/>
        <color indexed="8"/>
        <rFont val="Arial"/>
      </rPr>
      <t>Power_Provide SLK SilkScreen</t>
    </r>
  </si>
  <si>
    <r>
      <rPr>
        <sz val="10"/>
        <color indexed="8"/>
        <rFont val="Arial"/>
      </rPr>
      <t>Power_Provide</t>
    </r>
  </si>
  <si>
    <t>Power_Provide</t>
  </si>
  <si>
    <t>SPCoast Power Provision Label</t>
  </si>
  <si>
    <t>SPCoast:DOC_Label-Current-Source</t>
  </si>
  <si>
    <t>SPCoast:SILK_Label-Current-Source</t>
  </si>
  <si>
    <r>
      <rPr>
        <sz val="10"/>
        <color indexed="8"/>
        <rFont val="Arial"/>
      </rPr>
      <t>SWI_6x6x6mm_PTH</t>
    </r>
  </si>
  <si>
    <r>
      <rPr>
        <sz val="10"/>
        <color indexed="8"/>
        <rFont val="Arial"/>
      </rPr>
      <t>6x6x6mm_PTH SPSTx1 6mm Momentary</t>
    </r>
  </si>
  <si>
    <r>
      <rPr>
        <sz val="10"/>
        <color indexed="8"/>
        <rFont val="Arial"/>
      </rPr>
      <t>6x6x6mm_PTH SWI SPSTx1 6mm Momentary</t>
    </r>
  </si>
  <si>
    <r>
      <rPr>
        <u val="single"/>
        <sz val="10"/>
        <color indexed="8"/>
        <rFont val="Arial"/>
      </rPr>
      <t>C5340138</t>
    </r>
  </si>
  <si>
    <t>6x6x6mm_PTH</t>
  </si>
  <si>
    <t>SWI</t>
  </si>
  <si>
    <t>SPSTx1 6mm Momentary</t>
  </si>
  <si>
    <t>C5340138</t>
  </si>
  <si>
    <t>Round Button Direct Insert SPST 6mm 5.5mm 50mA 100M 100 000 Times 12V 250gf Plugin Tactile Switch</t>
  </si>
  <si>
    <t>6mm button</t>
  </si>
  <si>
    <t>2x2</t>
  </si>
  <si>
    <t>hanxia</t>
  </si>
  <si>
    <t>HX TS666CJ 250gf 009</t>
  </si>
  <si>
    <t>SPCoast:SW_Push</t>
  </si>
  <si>
    <t>SPCoast:SW_Push_SPST_6mmx6mm_PTH</t>
  </si>
  <si>
    <r>
      <rPr>
        <u val="single"/>
        <sz val="10"/>
        <color indexed="8"/>
        <rFont val="Arial"/>
      </rPr>
      <t>https://wmsc.lcsc.com/wmsc/upload/file/pdf/v2/lcsc/2212291730_hanxia-HX-TS666CJ-250gf-009_C5340138.pdf</t>
    </r>
  </si>
  <si>
    <r>
      <rPr>
        <sz val="10"/>
        <color indexed="8"/>
        <rFont val="Arial"/>
      </rPr>
      <t>SWI_6x6x6mm_SMD</t>
    </r>
  </si>
  <si>
    <r>
      <rPr>
        <sz val="10"/>
        <color indexed="8"/>
        <rFont val="Arial"/>
      </rPr>
      <t>6x6x6mm_SMD SPSTx1 6mm Momentary</t>
    </r>
  </si>
  <si>
    <r>
      <rPr>
        <sz val="10"/>
        <color indexed="8"/>
        <rFont val="Arial"/>
      </rPr>
      <t>6x6x6mm_SMD SWI SPSTx1 6mm Momentary</t>
    </r>
  </si>
  <si>
    <r>
      <rPr>
        <u val="single"/>
        <sz val="10"/>
        <color indexed="8"/>
        <rFont val="Arial"/>
      </rPr>
      <t>C5340123</t>
    </r>
  </si>
  <si>
    <t>6x6x6mm_SMD</t>
  </si>
  <si>
    <t>C5340123</t>
  </si>
  <si>
    <t>Round Button Standing paste SPST 6mm 6mm 6mm 50mA 100M 100 000 Times 12V 250gf SMD Tactile Switch</t>
  </si>
  <si>
    <t>HX TS666TP 250gf 009</t>
  </si>
  <si>
    <t>SPCoast:SW_Push_SPST_6mmx6mm_SMT</t>
  </si>
  <si>
    <r>
      <rPr>
        <u val="single"/>
        <sz val="10"/>
        <color indexed="8"/>
        <rFont val="Arial"/>
      </rPr>
      <t>https://wmsc.lcsc.com/wmsc/upload/file/pdf/v2/lcsc/2212271430_hanxia-HX-TS666TP-250gf-009_C5340123.pdf</t>
    </r>
  </si>
  <si>
    <r>
      <rPr>
        <sz val="10"/>
        <color indexed="8"/>
        <rFont val="Arial"/>
      </rPr>
      <t>SWI_EDG104S</t>
    </r>
  </si>
  <si>
    <r>
      <rPr>
        <sz val="10"/>
        <color indexed="8"/>
        <rFont val="Arial"/>
      </rPr>
      <t>EDG104S SPSTx4 DIP</t>
    </r>
  </si>
  <si>
    <r>
      <rPr>
        <sz val="10"/>
        <color indexed="8"/>
        <rFont val="Arial"/>
      </rPr>
      <t>EDG104S SWI SPSTx4 DIP</t>
    </r>
  </si>
  <si>
    <r>
      <rPr>
        <u val="single"/>
        <sz val="10"/>
        <color indexed="8"/>
        <rFont val="Arial"/>
      </rPr>
      <t>C840579</t>
    </r>
  </si>
  <si>
    <r>
      <rPr>
        <sz val="10"/>
        <color indexed="8"/>
        <rFont val="Arial"/>
      </rPr>
      <t>EDG104S</t>
    </r>
  </si>
  <si>
    <t>SPSTx4 DIP</t>
  </si>
  <si>
    <t>C840579</t>
  </si>
  <si>
    <t>SPST x4 DIP Switch</t>
  </si>
  <si>
    <t>DIP-8</t>
  </si>
  <si>
    <t>2x4</t>
  </si>
  <si>
    <t>0.1"</t>
  </si>
  <si>
    <t>ECE</t>
  </si>
  <si>
    <t>EDG104S</t>
  </si>
  <si>
    <t>SPCoast:SW-EDG-04</t>
  </si>
  <si>
    <r>
      <rPr>
        <u val="single"/>
        <sz val="10"/>
        <color indexed="8"/>
        <rFont val="Arial"/>
      </rPr>
      <t>https://wmsc.lcsc.com/wmsc/upload/file/pdf/v2/lcsc/2311231642_ECE-EDG104S33_C840579.pdf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</si>
</sst>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5">
    <font>
      <sz val="10"/>
      <color indexed="8"/>
      <name val="Helvetica Neue"/>
    </font>
    <font>
      <sz val="12"/>
      <color indexed="8"/>
      <name val="Helvetica Neue"/>
    </font>
    <font>
      <b val="1"/>
      <sz val="24"/>
      <color indexed="8"/>
      <name val="Helvetica Neue"/>
    </font>
    <font>
      <b val="1"/>
      <sz val="14"/>
      <color indexed="8"/>
      <name val="Helvetica Neue"/>
    </font>
    <font>
      <b val="1"/>
      <sz val="14"/>
      <color indexed="8"/>
      <name val="American Typewriter"/>
    </font>
    <font>
      <sz val="10"/>
      <color indexed="8"/>
      <name val="Arial"/>
    </font>
    <font>
      <u val="single"/>
      <sz val="10"/>
      <color indexed="8"/>
      <name val="Arial"/>
    </font>
    <font>
      <sz val="10"/>
      <color indexed="8"/>
      <name val="American Typewriter"/>
    </font>
    <font>
      <sz val="14"/>
      <color indexed="15"/>
      <name val="Helvetica Neue"/>
    </font>
    <font>
      <sz val="9"/>
      <color indexed="8"/>
      <name val="Arial"/>
    </font>
    <font>
      <sz val="10"/>
      <color indexed="16"/>
      <name val="Helvetica"/>
    </font>
    <font>
      <sz val="10"/>
      <color indexed="8"/>
      <name val="Symbol"/>
    </font>
    <font>
      <sz val="5"/>
      <color indexed="8"/>
      <name val="American Typewriter"/>
    </font>
    <font>
      <b val="1"/>
      <sz val="18"/>
      <color indexed="8"/>
      <name val="Helvetica Neue"/>
    </font>
    <font>
      <b val="1"/>
      <sz val="18"/>
      <color indexed="8"/>
      <name val="American Typewriter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5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vertical="top" wrapText="1"/>
    </xf>
    <xf numFmtId="49" fontId="4" fillId="2" borderId="1" applyNumberFormat="1" applyFont="1" applyFill="1" applyBorder="1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/>
    </xf>
    <xf numFmtId="0" fontId="5" fillId="3" borderId="2" applyNumberFormat="0" applyFont="1" applyFill="1" applyBorder="1" applyAlignment="1" applyProtection="0">
      <alignment horizontal="left" vertical="center"/>
    </xf>
    <xf numFmtId="0" fontId="5" fillId="4" borderId="2" applyNumberFormat="0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center"/>
    </xf>
    <xf numFmtId="49" fontId="7" borderId="2" applyNumberFormat="1" applyFont="1" applyFill="0" applyBorder="1" applyAlignment="1" applyProtection="0">
      <alignment horizontal="left" vertical="center"/>
    </xf>
    <xf numFmtId="0" fontId="5" borderId="2" applyNumberFormat="0" applyFont="1" applyFill="0" applyBorder="1" applyAlignment="1" applyProtection="0">
      <alignment horizontal="left" vertical="center"/>
    </xf>
    <xf numFmtId="0" fontId="5" borderId="2" applyNumberFormat="1" applyFont="1" applyFill="0" applyBorder="1" applyAlignment="1" applyProtection="0">
      <alignment horizontal="center" vertical="center"/>
    </xf>
    <xf numFmtId="49" fontId="5" fillId="5" borderId="2" applyNumberFormat="1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top"/>
    </xf>
    <xf numFmtId="49" fontId="7" borderId="2" applyNumberFormat="1" applyFont="1" applyFill="0" applyBorder="1" applyAlignment="1" applyProtection="0">
      <alignment horizontal="left" vertical="top"/>
    </xf>
    <xf numFmtId="0" fontId="5" fillId="3" borderId="3" applyNumberFormat="0" applyFont="1" applyFill="1" applyBorder="1" applyAlignment="1" applyProtection="0">
      <alignment horizontal="left" vertical="center"/>
    </xf>
    <xf numFmtId="0" fontId="5" fillId="4" borderId="3" applyNumberFormat="0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center"/>
    </xf>
    <xf numFmtId="49" fontId="7" borderId="3" applyNumberFormat="1" applyFont="1" applyFill="0" applyBorder="1" applyAlignment="1" applyProtection="0">
      <alignment horizontal="left" vertical="center"/>
    </xf>
    <xf numFmtId="0" fontId="5" borderId="3" applyNumberFormat="0" applyFont="1" applyFill="0" applyBorder="1" applyAlignment="1" applyProtection="0">
      <alignment horizontal="left" vertical="center"/>
    </xf>
    <xf numFmtId="0" fontId="5" borderId="3" applyNumberFormat="1" applyFont="1" applyFill="0" applyBorder="1" applyAlignment="1" applyProtection="0">
      <alignment horizontal="center" vertical="center"/>
    </xf>
    <xf numFmtId="49" fontId="5" fillId="5" borderId="3" applyNumberFormat="1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top"/>
    </xf>
    <xf numFmtId="49" fontId="7" borderId="3" applyNumberFormat="1" applyFont="1" applyFill="0" applyBorder="1" applyAlignment="1" applyProtection="0">
      <alignment horizontal="left" vertical="top"/>
    </xf>
    <xf numFmtId="49" fontId="8" borderId="3" applyNumberFormat="1" applyFont="1" applyFill="0" applyBorder="1" applyAlignment="1" applyProtection="0">
      <alignment horizontal="left" vertical="center"/>
    </xf>
    <xf numFmtId="0" fontId="8" borderId="3" applyNumberFormat="0" applyFont="1" applyFill="0" applyBorder="1" applyAlignment="1" applyProtection="0">
      <alignment horizontal="left" vertical="center"/>
    </xf>
    <xf numFmtId="0" fontId="5" fillId="5" borderId="3" applyNumberFormat="0" applyFont="1" applyFill="1" applyBorder="1" applyAlignment="1" applyProtection="0">
      <alignment horizontal="left" vertical="center"/>
    </xf>
    <xf numFmtId="0" fontId="7" borderId="3" applyNumberFormat="0" applyFont="1" applyFill="0" applyBorder="1" applyAlignment="1" applyProtection="0">
      <alignment horizontal="left" vertical="top"/>
    </xf>
    <xf numFmtId="0" fontId="7" borderId="3" applyNumberFormat="0" applyFont="1" applyFill="0" applyBorder="1" applyAlignment="1" applyProtection="0">
      <alignment horizontal="left" vertical="center"/>
    </xf>
    <xf numFmtId="0" fontId="0" borderId="3" applyNumberFormat="1" applyFont="1" applyFill="0" applyBorder="1" applyAlignment="1" applyProtection="0">
      <alignment horizontal="center" vertical="top" wrapText="1"/>
    </xf>
    <xf numFmtId="0" fontId="0" borderId="3" applyNumberFormat="0" applyFont="1" applyFill="0" applyBorder="1" applyAlignment="1" applyProtection="0">
      <alignment horizontal="center" vertical="top" wrapText="1"/>
    </xf>
    <xf numFmtId="0" fontId="5" borderId="3" applyNumberFormat="0" applyFont="1" applyFill="0" applyBorder="1" applyAlignment="1" applyProtection="0">
      <alignment horizontal="left" vertical="top"/>
    </xf>
    <xf numFmtId="49" fontId="5" fillId="3" borderId="3" applyNumberFormat="1" applyFont="1" applyFill="1" applyBorder="1" applyAlignment="1" applyProtection="0">
      <alignment horizontal="left" vertical="center"/>
    </xf>
    <xf numFmtId="49" fontId="7" fillId="5" borderId="3" applyNumberFormat="1" applyFont="1" applyFill="1" applyBorder="1" applyAlignment="1" applyProtection="0">
      <alignment horizontal="left" vertical="center"/>
    </xf>
    <xf numFmtId="0" fontId="7" fillId="5" borderId="3" applyNumberFormat="0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center" readingOrder="1"/>
    </xf>
    <xf numFmtId="49" fontId="7" borderId="3" applyNumberFormat="1" applyFont="1" applyFill="0" applyBorder="1" applyAlignment="1" applyProtection="0">
      <alignment horizontal="left" vertical="center" readingOrder="1"/>
    </xf>
    <xf numFmtId="0" fontId="5" borderId="3" applyNumberFormat="0" applyFont="1" applyFill="0" applyBorder="1" applyAlignment="1" applyProtection="0">
      <alignment horizontal="left" vertical="center" readingOrder="1"/>
    </xf>
    <xf numFmtId="49" fontId="5" fillId="5" borderId="3" applyNumberFormat="1" applyFont="1" applyFill="1" applyBorder="1" applyAlignment="1" applyProtection="0">
      <alignment horizontal="left" vertical="center" readingOrder="1"/>
    </xf>
    <xf numFmtId="49" fontId="7" borderId="3" applyNumberFormat="1" applyFont="1" applyFill="0" applyBorder="1" applyAlignment="1" applyProtection="0">
      <alignment vertical="top" wrapText="1"/>
    </xf>
    <xf numFmtId="49" fontId="5" borderId="3" applyNumberFormat="1" applyFont="1" applyFill="0" applyBorder="1" applyAlignment="1" applyProtection="0">
      <alignment horizontal="left" vertical="top" wrapText="1"/>
    </xf>
    <xf numFmtId="49" fontId="7" borderId="3" applyNumberFormat="1" applyFont="1" applyFill="0" applyBorder="1" applyAlignment="1" applyProtection="0">
      <alignment horizontal="left" vertical="top" wrapText="1"/>
    </xf>
    <xf numFmtId="0" fontId="5" borderId="3" applyNumberFormat="0" applyFont="1" applyFill="0" applyBorder="1" applyAlignment="1" applyProtection="0">
      <alignment horizontal="center" vertical="center"/>
    </xf>
    <xf numFmtId="49" fontId="8" fillId="5" borderId="3" applyNumberFormat="1" applyFont="1" applyFill="1" applyBorder="1" applyAlignment="1" applyProtection="0">
      <alignment horizontal="left" vertical="center"/>
    </xf>
    <xf numFmtId="0" fontId="9" fillId="3" borderId="3" applyNumberFormat="0" applyFont="1" applyFill="1" applyBorder="1" applyAlignment="1" applyProtection="0">
      <alignment horizontal="left" vertical="center"/>
    </xf>
    <xf numFmtId="49" fontId="8" fillId="5" borderId="3" applyNumberFormat="1" applyFont="1" applyFill="1" applyBorder="1" applyAlignment="1" applyProtection="0">
      <alignment horizontal="left" vertical="center" readingOrder="1"/>
    </xf>
    <xf numFmtId="49" fontId="8" borderId="3" applyNumberFormat="1" applyFont="1" applyFill="0" applyBorder="1" applyAlignment="1" applyProtection="0">
      <alignment horizontal="left" vertical="center" readingOrder="1"/>
    </xf>
    <xf numFmtId="49" fontId="10" borderId="3" applyNumberFormat="1" applyFont="1" applyFill="0" applyBorder="1" applyAlignment="1" applyProtection="0">
      <alignment horizontal="left" vertical="center"/>
    </xf>
    <xf numFmtId="0" fontId="5" borderId="3" applyNumberFormat="0" applyFont="1" applyFill="0" applyBorder="1" applyAlignment="1" applyProtection="0">
      <alignment horizontal="left" vertical="top" wrapText="1"/>
    </xf>
    <xf numFmtId="49" fontId="5" borderId="3" applyNumberFormat="1" applyFont="1" applyFill="0" applyBorder="1" applyAlignment="1" applyProtection="0">
      <alignment horizontal="left" vertical="center" wrapText="1"/>
    </xf>
    <xf numFmtId="0" fontId="0" borderId="3" applyNumberFormat="0" applyFont="1" applyFill="0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0" fontId="5" fillId="3" borderId="1" applyNumberFormat="0" applyFont="1" applyFill="1" applyBorder="1" applyAlignment="1" applyProtection="0">
      <alignment horizontal="left" vertical="center"/>
    </xf>
    <xf numFmtId="0" fontId="5" fillId="4" borderId="1" applyNumberFormat="0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center"/>
    </xf>
    <xf numFmtId="0" fontId="5" borderId="1" applyNumberFormat="0" applyFont="1" applyFill="0" applyBorder="1" applyAlignment="1" applyProtection="0">
      <alignment horizontal="left" vertical="center"/>
    </xf>
    <xf numFmtId="49" fontId="7" borderId="1" applyNumberFormat="1" applyFont="1" applyFill="0" applyBorder="1" applyAlignment="1" applyProtection="0">
      <alignment horizontal="left" vertical="center"/>
    </xf>
    <xf numFmtId="0" fontId="7" borderId="1" applyNumberFormat="0" applyFont="1" applyFill="0" applyBorder="1" applyAlignment="1" applyProtection="0">
      <alignment horizontal="left" vertical="center"/>
    </xf>
    <xf numFmtId="0" fontId="0" borderId="1" applyNumberFormat="1" applyFont="1" applyFill="0" applyBorder="1" applyAlignment="1" applyProtection="0">
      <alignment horizontal="center" vertical="top" wrapText="1"/>
    </xf>
    <xf numFmtId="49" fontId="5" fillId="5" borderId="1" applyNumberFormat="1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top"/>
    </xf>
    <xf numFmtId="49" fontId="7" borderId="1" applyNumberFormat="1" applyFont="1" applyFill="0" applyBorder="1" applyAlignment="1" applyProtection="0">
      <alignment horizontal="left" vertical="top"/>
    </xf>
    <xf numFmtId="49" fontId="13" borderId="2" applyNumberFormat="1" applyFont="1" applyFill="0" applyBorder="1" applyAlignment="1" applyProtection="0">
      <alignment vertical="top"/>
    </xf>
    <xf numFmtId="0" fontId="13" borderId="2" applyNumberFormat="0" applyFont="1" applyFill="0" applyBorder="1" applyAlignment="1" applyProtection="0">
      <alignment vertical="top"/>
    </xf>
    <xf numFmtId="0" fontId="14" borderId="2" applyNumberFormat="0" applyFont="1" applyFill="0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e6f7e2"/>
      <rgbColor rgb="ffdfffdf"/>
      <rgbColor rgb="ffffffff"/>
      <rgbColor rgb="ff212121"/>
      <rgbColor rgb="ff1a191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0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merican Typewriter"/>
            <a:ea typeface="American Typewriter"/>
            <a:cs typeface="American Typewriter"/>
            <a:sym typeface="American Typewrite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lcpcb.com/partdetail/C100042" TargetMode="External"/><Relationship Id="rId2" Type="http://schemas.openxmlformats.org/officeDocument/2006/relationships/hyperlink" Target="https://www.lcsc.com/datasheet/lcsc_datasheet_2304140030_YAGEO-CC0603KRX7R9BB103_C100042.pdf" TargetMode="External"/><Relationship Id="rId3" Type="http://schemas.openxmlformats.org/officeDocument/2006/relationships/hyperlink" Target="https://jlcpcb.com/partdetail/C1852832" TargetMode="External"/><Relationship Id="rId4" Type="http://schemas.openxmlformats.org/officeDocument/2006/relationships/hyperlink" Target="https://wmsc.lcsc.com/wmsc/upload/file/pdf/v2/lcsc/2201271000_YAGEO-CC0603KPX7R8BB103_C1852832.pdf" TargetMode="External"/><Relationship Id="rId5" Type="http://schemas.openxmlformats.org/officeDocument/2006/relationships/hyperlink" Target="https://jlcpcb.com/partdetail/C3910010" TargetMode="External"/><Relationship Id="rId6" Type="http://schemas.openxmlformats.org/officeDocument/2006/relationships/hyperlink" Target="https://jlcpcb.com/partdetail/C14663" TargetMode="External"/><Relationship Id="rId7" Type="http://schemas.openxmlformats.org/officeDocument/2006/relationships/hyperlink" Target="https://www.lcsc.com/datasheet/lcsc_datasheet_2211101700_YAGEO-CC0603KRX7R9BB104_C14663.pdf" TargetMode="External"/><Relationship Id="rId8" Type="http://schemas.openxmlformats.org/officeDocument/2006/relationships/hyperlink" Target="https://jlcpcb.com/partdetail/C3853265" TargetMode="External"/><Relationship Id="rId9" Type="http://schemas.openxmlformats.org/officeDocument/2006/relationships/hyperlink" Target="https://jlcpcb.com/partdetail/C970714" TargetMode="External"/><Relationship Id="rId10" Type="http://schemas.openxmlformats.org/officeDocument/2006/relationships/hyperlink" Target="https://jlcpcb.com/api/file/downloadByFileSystemAccessId/8590911073887604736" TargetMode="External"/><Relationship Id="rId11" Type="http://schemas.openxmlformats.org/officeDocument/2006/relationships/hyperlink" Target="https://www.mouser.com/ProductDetail/Nichicon/UVR0J102MPD1TD" TargetMode="External"/><Relationship Id="rId12" Type="http://schemas.openxmlformats.org/officeDocument/2006/relationships/hyperlink" Target="https://jlcpcb.com/partdetail/C13585" TargetMode="External"/><Relationship Id="rId13" Type="http://schemas.openxmlformats.org/officeDocument/2006/relationships/hyperlink" Target="https://www.lcsc.com/datasheet/lcsc_datasheet_2304140030_Samsung-Electro-Mechanics-CL31A106KBHNNNE_C13585.pdf" TargetMode="External"/><Relationship Id="rId14" Type="http://schemas.openxmlformats.org/officeDocument/2006/relationships/hyperlink" Target="https://jlcpcb.com/partdetail/C15849" TargetMode="External"/><Relationship Id="rId15" Type="http://schemas.openxmlformats.org/officeDocument/2006/relationships/hyperlink" Target="https://www.lcsc.com/datasheet/lcsc_datasheet_2304140030_Samsung-Electro-Mechanics-CL10A105KB8NNNC_C15849.pdf" TargetMode="External"/><Relationship Id="rId16" Type="http://schemas.openxmlformats.org/officeDocument/2006/relationships/hyperlink" Target="https://jlcpcb.com/partdetail/C2169859" TargetMode="External"/><Relationship Id="rId17" Type="http://schemas.openxmlformats.org/officeDocument/2006/relationships/hyperlink" Target="https://wmsc.lcsc.com/wmsc/upload/file/pdf/v2/lcsc/2309051403_Taiyo-Yuden-GMK107BJ105KAHT_C2169859.pdf" TargetMode="External"/><Relationship Id="rId18" Type="http://schemas.openxmlformats.org/officeDocument/2006/relationships/hyperlink" Target="https://jlcpcb.com/partdetail/C136294" TargetMode="External"/><Relationship Id="rId19" Type="http://schemas.openxmlformats.org/officeDocument/2006/relationships/hyperlink" Target="https://www.lcsc.com/datasheet/lcsc_datasheet_1808312007_Nichicon-UCD1V221MNL1GS_C136294.pdf" TargetMode="External"/><Relationship Id="rId20" Type="http://schemas.openxmlformats.org/officeDocument/2006/relationships/hyperlink" Target="https://jlcpcb.com/partdetail/C3029316" TargetMode="External"/><Relationship Id="rId21" Type="http://schemas.openxmlformats.org/officeDocument/2006/relationships/hyperlink" Target="https://jlcpcb.com/partdetail/C429966" TargetMode="External"/><Relationship Id="rId22" Type="http://schemas.openxmlformats.org/officeDocument/2006/relationships/hyperlink" Target="https://jlcpcb.com/partdetail/C42378069" TargetMode="External"/><Relationship Id="rId23" Type="http://schemas.openxmlformats.org/officeDocument/2006/relationships/hyperlink" Target="https://jlcpcb.com/partdetail/C2691448" TargetMode="External"/><Relationship Id="rId24" Type="http://schemas.openxmlformats.org/officeDocument/2006/relationships/hyperlink" Target="https://jlcpcb.com/partdetail/C18214184" TargetMode="External"/><Relationship Id="rId25" Type="http://schemas.openxmlformats.org/officeDocument/2006/relationships/hyperlink" Target="https://jlcpcb.com/partdetail/C3816889" TargetMode="External"/><Relationship Id="rId26" Type="http://schemas.openxmlformats.org/officeDocument/2006/relationships/hyperlink" Target="https://jlcpcb.com/partdetail/C42378071" TargetMode="External"/><Relationship Id="rId27" Type="http://schemas.openxmlformats.org/officeDocument/2006/relationships/hyperlink" Target="https://jlcpcb.com/partdetail/C3646874" TargetMode="External"/><Relationship Id="rId28" Type="http://schemas.openxmlformats.org/officeDocument/2006/relationships/hyperlink" Target="https://jlcpcb.com/partdetail/C27438" TargetMode="External"/><Relationship Id="rId29" Type="http://schemas.openxmlformats.org/officeDocument/2006/relationships/hyperlink" Target="https://jlcpcb.com/partdetail/C2905419" TargetMode="External"/><Relationship Id="rId30" Type="http://schemas.openxmlformats.org/officeDocument/2006/relationships/hyperlink" Target="https://jlcpcb.com/partdetail/C2325" TargetMode="External"/><Relationship Id="rId31" Type="http://schemas.openxmlformats.org/officeDocument/2006/relationships/hyperlink" Target="https://jlcpcb.com/partdetail/C3097718" TargetMode="External"/><Relationship Id="rId32" Type="http://schemas.openxmlformats.org/officeDocument/2006/relationships/hyperlink" Target="https://cdn.amphenol-cs.com/media/wysiwyg/files/drawing/c-bmj-0082.pdf" TargetMode="External"/><Relationship Id="rId33" Type="http://schemas.openxmlformats.org/officeDocument/2006/relationships/hyperlink" Target="https://www.wayconn.com/wp-content/uploads/datasheet/MJIC-660XXX-RJ11-RJ12-RJ25-PCB-Jack-without-Panel.pdf" TargetMode="External"/><Relationship Id="rId34" Type="http://schemas.openxmlformats.org/officeDocument/2006/relationships/hyperlink" Target="https://jlcpcb.com/partdetail/C7205130" TargetMode="External"/><Relationship Id="rId35" Type="http://schemas.openxmlformats.org/officeDocument/2006/relationships/hyperlink" Target="https://www.lcsc.com/datasheet/C7205130.pdf?spm=wm.sxq.inf.ggs___wm.ssy.bg.20.cbh&amp;lcsc_vid=QVZeA1dfQFALX1AFTlJbVAcFR1ldAgAEQVILVlZfRwcxVlNRQ1hXUFBQQVNdUzsOAxUeFF5JWBYZEEoKFBINSQcJGk4eFQsCAgIaSgADAwAHC0slRVJcUkoOAwwC" TargetMode="External"/><Relationship Id="rId36" Type="http://schemas.openxmlformats.org/officeDocument/2006/relationships/hyperlink" Target="https://jlcpcb.com/partdetail/C353517" TargetMode="External"/><Relationship Id="rId37" Type="http://schemas.openxmlformats.org/officeDocument/2006/relationships/hyperlink" Target="https://www.lcsc.com/datasheet/lcsc_datasheet_2304140030_Shandong-Jingdao-Microelectronics-BZT52C4V7S_C353517.pdf" TargetMode="External"/><Relationship Id="rId38" Type="http://schemas.openxmlformats.org/officeDocument/2006/relationships/hyperlink" Target="https://jlcpcb.com/partdetail/C5261070" TargetMode="External"/><Relationship Id="rId39" Type="http://schemas.openxmlformats.org/officeDocument/2006/relationships/hyperlink" Target="https://wmsc.lcsc.com/wmsc/upload/file/pdf/v2/lcsc/2406051353_HXY-MOSFET-BAT54_C5261070.pdf" TargetMode="External"/><Relationship Id="rId40" Type="http://schemas.openxmlformats.org/officeDocument/2006/relationships/hyperlink" Target="https://jlcpcb.com/partdetail/C2926172" TargetMode="External"/><Relationship Id="rId41" Type="http://schemas.openxmlformats.org/officeDocument/2006/relationships/hyperlink" Target="https://wmsc.lcsc.com/wmsc/upload/file/pdf/v2/lcsc/2112031830_FOSAN-BAT54A_C2926172.pdf" TargetMode="External"/><Relationship Id="rId42" Type="http://schemas.openxmlformats.org/officeDocument/2006/relationships/hyperlink" Target="https://jlcpcb.com/partdetail/C408388" TargetMode="External"/><Relationship Id="rId43" Type="http://schemas.openxmlformats.org/officeDocument/2006/relationships/hyperlink" Target="https://www.lcsc.com/datasheet/lcsc_datasheet_2407101108_MDD-Microdiode-Semiconductor-BAT54C_C408388.pdf" TargetMode="External"/><Relationship Id="rId44" Type="http://schemas.openxmlformats.org/officeDocument/2006/relationships/hyperlink" Target="https://jlcpcb.com/partdetail/C2926174" TargetMode="External"/><Relationship Id="rId45" Type="http://schemas.openxmlformats.org/officeDocument/2006/relationships/hyperlink" Target="https://wmsc.lcsc.com/wmsc/upload/file/pdf/v2/lcsc/2112031830_FOSAN-BAT54S_C2926174.pdf" TargetMode="External"/><Relationship Id="rId46" Type="http://schemas.openxmlformats.org/officeDocument/2006/relationships/hyperlink" Target="https://jlcpcb.com/partdetail/C2500" TargetMode="External"/><Relationship Id="rId47" Type="http://schemas.openxmlformats.org/officeDocument/2006/relationships/hyperlink" Target="https://jlcpcb.com/partdetail/C898949" TargetMode="External"/><Relationship Id="rId48" Type="http://schemas.openxmlformats.org/officeDocument/2006/relationships/hyperlink" Target="https://jlcpcb.com/api/file/downloadByFileSystemAccessId/8588917274006720512" TargetMode="External"/><Relationship Id="rId49" Type="http://schemas.openxmlformats.org/officeDocument/2006/relationships/hyperlink" Target="https://jlcpcb.com/partdetail/C2683482" TargetMode="External"/><Relationship Id="rId50" Type="http://schemas.openxmlformats.org/officeDocument/2006/relationships/hyperlink" Target="https://www.lcsc.com/datasheet/lcsc_datasheet_2403081523_IDCHIP-LM358D_C2683482.pdf" TargetMode="External"/><Relationship Id="rId51" Type="http://schemas.openxmlformats.org/officeDocument/2006/relationships/hyperlink" Target="https://jlcpcb.com/partdetail/C629440" TargetMode="External"/><Relationship Id="rId52" Type="http://schemas.openxmlformats.org/officeDocument/2006/relationships/hyperlink" Target="https://wmsc.lcsc.com/wmsc/upload/file/pdf/v2/lcsc/2203221230_Microchip-Tech-MCP23017T-E-SO_C629440.pdf" TargetMode="External"/><Relationship Id="rId53" Type="http://schemas.openxmlformats.org/officeDocument/2006/relationships/hyperlink" Target="https://jlcpcb.com/partdetail/C695838" TargetMode="External"/><Relationship Id="rId54" Type="http://schemas.openxmlformats.org/officeDocument/2006/relationships/hyperlink" Target="https://jlcpcb.com/partdetail/C5145392" TargetMode="External"/><Relationship Id="rId55" Type="http://schemas.openxmlformats.org/officeDocument/2006/relationships/hyperlink" Target="https://wmsc.lcsc.com/wmsc/upload/file/pdf/v2/lcsc/2209290930_HANSCHIP-semiconductor-NE556DRG_C5145392.pdf" TargetMode="External"/><Relationship Id="rId56" Type="http://schemas.openxmlformats.org/officeDocument/2006/relationships/hyperlink" Target="https://jlcpcb.com/partdetail/C2678753" TargetMode="External"/><Relationship Id="rId57" Type="http://schemas.openxmlformats.org/officeDocument/2006/relationships/hyperlink" Target="https://www.lcsc.com/datasheet/lcsc_datasheet_2405281434_NXP-Semicon-PCA9685PW-118_C2678753.pdf" TargetMode="External"/><Relationship Id="rId58" Type="http://schemas.openxmlformats.org/officeDocument/2006/relationships/hyperlink" Target="https://jlcpcb.com/partdetail/C6555619" TargetMode="External"/><Relationship Id="rId59" Type="http://schemas.openxmlformats.org/officeDocument/2006/relationships/hyperlink" Target="https://wmsc.lcsc.com/wmsc/upload/file/pdf/v2/lcsc/2312131723_Pulse-Elec-FIS121NL_C6555619.pdf" TargetMode="External"/><Relationship Id="rId60" Type="http://schemas.openxmlformats.org/officeDocument/2006/relationships/hyperlink" Target="https://jlcpcb.com/partdetail/C965807" TargetMode="External"/><Relationship Id="rId61" Type="http://schemas.openxmlformats.org/officeDocument/2006/relationships/hyperlink" Target="https://wmsc.lcsc.com/wmsc/upload/file/pdf/v2/lcsc/2402181505_XINGLIGHT-XL-1608UBC-04_C965807.pdf" TargetMode="External"/><Relationship Id="rId62" Type="http://schemas.openxmlformats.org/officeDocument/2006/relationships/hyperlink" Target="https://jlcpcb.com/partdetail/C965804" TargetMode="External"/><Relationship Id="rId63" Type="http://schemas.openxmlformats.org/officeDocument/2006/relationships/hyperlink" Target="https://wmsc.lcsc.com/wmsc/upload/file/pdf/v2/lcsc/2402181505_XINGLIGHT-XL-1608UGC-04_C965804.pdf" TargetMode="External"/><Relationship Id="rId64" Type="http://schemas.openxmlformats.org/officeDocument/2006/relationships/hyperlink" Target="https://jlcpcb.com/partdetail/C22371303" TargetMode="External"/><Relationship Id="rId65" Type="http://schemas.openxmlformats.org/officeDocument/2006/relationships/hyperlink" Target="https://wmsc.lcsc.com/wmsc/upload/file/pdf/v2/lcsc/2403281522_HONGLITRONIC-Hongli-Zhihui--HONGLITRONIC-HL-PSC-1608S25OC-G4_C22371303.pdf" TargetMode="External"/><Relationship Id="rId66" Type="http://schemas.openxmlformats.org/officeDocument/2006/relationships/hyperlink" Target="https://jlcpcb.com/partdetail/C965800" TargetMode="External"/><Relationship Id="rId67" Type="http://schemas.openxmlformats.org/officeDocument/2006/relationships/hyperlink" Target="https://wmsc.lcsc.com/wmsc/upload/file/pdf/v2/lcsc/2402181505_XINGLIGHT-XL-1608UOC-06_C965800.pdf" TargetMode="External"/><Relationship Id="rId68" Type="http://schemas.openxmlformats.org/officeDocument/2006/relationships/hyperlink" Target="https://jlcpcb.com/partdetail/C965801" TargetMode="External"/><Relationship Id="rId69" Type="http://schemas.openxmlformats.org/officeDocument/2006/relationships/hyperlink" Target="https://wmsc.lcsc.com/wmsc/upload/file/pdf/v2/lcsc/2402181505_XINGLIGHT-XL-1608UOC-06_C965800.pdf" TargetMode="External"/><Relationship Id="rId70" Type="http://schemas.openxmlformats.org/officeDocument/2006/relationships/hyperlink" Target="https://jlcpcb.com/partdetail/C7288939" TargetMode="External"/><Relationship Id="rId71" Type="http://schemas.openxmlformats.org/officeDocument/2006/relationships/hyperlink" Target="https://wmsc.lcsc.com/wmsc/upload/file/pdf/v2/lcsc/2404241146_Inolux-IN-S63ASR_C7288939.pdf" TargetMode="External"/><Relationship Id="rId72" Type="http://schemas.openxmlformats.org/officeDocument/2006/relationships/hyperlink" Target="https://jlcpcb.com/partdetail/C965798" TargetMode="External"/><Relationship Id="rId73" Type="http://schemas.openxmlformats.org/officeDocument/2006/relationships/hyperlink" Target="https://wmsc.lcsc.com/wmsc/upload/file/pdf/v2/lcsc/2402181505_XINGLIGHT-XL-1608SURC-04_C965798.pdf" TargetMode="External"/><Relationship Id="rId74" Type="http://schemas.openxmlformats.org/officeDocument/2006/relationships/hyperlink" Target="https://jlcpcb.com/partdetail/C965799" TargetMode="External"/><Relationship Id="rId75" Type="http://schemas.openxmlformats.org/officeDocument/2006/relationships/hyperlink" Target="https://wmsc.lcsc.com/wmsc/upload/file/pdf/v2/lcsc/2402181505_XINGLIGHT-XL-1608SURC-06_C965799.pdf" TargetMode="External"/><Relationship Id="rId76" Type="http://schemas.openxmlformats.org/officeDocument/2006/relationships/hyperlink" Target="https://jlcpcb.com/partdetail/C7371898" TargetMode="External"/><Relationship Id="rId77" Type="http://schemas.openxmlformats.org/officeDocument/2006/relationships/hyperlink" Target="https://wmsc.lcsc.com/wmsc/upload/file/pdf/v2/lcsc/2402181501_XINGLIGHT-XL-1608UVC-04_C7371898.pdf" TargetMode="External"/><Relationship Id="rId78" Type="http://schemas.openxmlformats.org/officeDocument/2006/relationships/hyperlink" Target="https://jlcpcb.com/partdetail/C965808" TargetMode="External"/><Relationship Id="rId79" Type="http://schemas.openxmlformats.org/officeDocument/2006/relationships/hyperlink" Target="https://wmsc.lcsc.com/wmsc/upload/file/pdf/v2/lcsc/2402181505_XINGLIGHT-XL-1608UWC-04_C965808.pdf" TargetMode="External"/><Relationship Id="rId80" Type="http://schemas.openxmlformats.org/officeDocument/2006/relationships/hyperlink" Target="https://jlcpcb.com/partdetail/C2843785" TargetMode="External"/><Relationship Id="rId81" Type="http://schemas.openxmlformats.org/officeDocument/2006/relationships/hyperlink" Target="https://www.lcsc.com/datasheet/lcsc_datasheet_2404120946_XINGLIGHT-XL-5050RGBC-WS2812B_C2843785.pdf" TargetMode="External"/><Relationship Id="rId82" Type="http://schemas.openxmlformats.org/officeDocument/2006/relationships/hyperlink" Target="https://jlcpcb.com/partdetail/C965803" TargetMode="External"/><Relationship Id="rId83" Type="http://schemas.openxmlformats.org/officeDocument/2006/relationships/hyperlink" Target="https://wmsc.lcsc.com/wmsc/upload/file/pdf/v2/lcsc/2402181505_XINGLIGHT-XL-1608UOC-04_C965801.pdf" TargetMode="External"/><Relationship Id="rId84" Type="http://schemas.openxmlformats.org/officeDocument/2006/relationships/hyperlink" Target="https://jlcpcb.com/partdetail/C965806" TargetMode="External"/><Relationship Id="rId85" Type="http://schemas.openxmlformats.org/officeDocument/2006/relationships/hyperlink" Target="https://wmsc.lcsc.com/wmsc/upload/file/pdf/v2/lcsc/2402181505_XINGLIGHT-XL-1608SYGC-04_C965806.pdf" TargetMode="External"/><Relationship Id="rId86" Type="http://schemas.openxmlformats.org/officeDocument/2006/relationships/hyperlink" Target="https://mischianti.org/wp-content/uploads/2020/11/ESP32-DOIT-DEV-KIT-v1-pinout-mischianti.png" TargetMode="External"/><Relationship Id="rId87" Type="http://schemas.openxmlformats.org/officeDocument/2006/relationships/hyperlink" Target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 TargetMode="External"/><Relationship Id="rId88" Type="http://schemas.openxmlformats.org/officeDocument/2006/relationships/hyperlink" Target="https://jlcpcb.com/partdetail/C7499856" TargetMode="External"/><Relationship Id="rId89" Type="http://schemas.openxmlformats.org/officeDocument/2006/relationships/hyperlink" Target="https://wmsc.lcsc.com/wmsc/upload/file/pdf/v2/lcsc/2310251707_HL-2301V_C7499856.pdf" TargetMode="External"/><Relationship Id="rId90" Type="http://schemas.openxmlformats.org/officeDocument/2006/relationships/hyperlink" Target="https://jlcpcb.com/partdetail/C5224215" TargetMode="External"/><Relationship Id="rId91" Type="http://schemas.openxmlformats.org/officeDocument/2006/relationships/hyperlink" Target="https://wmsc.lcsc.com/wmsc/upload/file/pdf/v2/lcsc/2210271630_ElecSuper-2N7002_C5224215.pdf" TargetMode="External"/><Relationship Id="rId92" Type="http://schemas.openxmlformats.org/officeDocument/2006/relationships/hyperlink" Target="https://jlcpcb.com/partdetail/C5184433" TargetMode="External"/><Relationship Id="rId93" Type="http://schemas.openxmlformats.org/officeDocument/2006/relationships/hyperlink" Target="https://wmsc.lcsc.com/wmsc/upload/file/pdf/v2/lcsc/2303091430_HXY-MOSFET-BC807-40_C5184433.pdf" TargetMode="External"/><Relationship Id="rId94" Type="http://schemas.openxmlformats.org/officeDocument/2006/relationships/hyperlink" Target="https://jlcpcb.com/partdetail/C5224269" TargetMode="External"/><Relationship Id="rId95" Type="http://schemas.openxmlformats.org/officeDocument/2006/relationships/hyperlink" Target="https://wmsc.lcsc.com/wmsc/upload/file/pdf/v2/lcsc/2301091730_ElecSuper-BSS138P_C5224269.pdf" TargetMode="External"/><Relationship Id="rId96" Type="http://schemas.openxmlformats.org/officeDocument/2006/relationships/hyperlink" Target="https://jlcpcb.com/partdetail/C878901" TargetMode="External"/><Relationship Id="rId97" Type="http://schemas.openxmlformats.org/officeDocument/2006/relationships/hyperlink" Target="https://www.diodes.com/assets/Datasheets/ds31773.pdf" TargetMode="External"/><Relationship Id="rId98" Type="http://schemas.openxmlformats.org/officeDocument/2006/relationships/hyperlink" Target="https://jlcpcb.com/partdetail/C5184404" TargetMode="External"/><Relationship Id="rId99" Type="http://schemas.openxmlformats.org/officeDocument/2006/relationships/hyperlink" Target="https://wmsc.lcsc.com/wmsc/upload/file/pdf/v2/lcsc/2407151447_HXY-MOSFET-MMBT3904_C5184404.pdf" TargetMode="External"/><Relationship Id="rId100" Type="http://schemas.openxmlformats.org/officeDocument/2006/relationships/hyperlink" Target="https://jlcpcb.com/partdetail/C347278" TargetMode="External"/><Relationship Id="rId101" Type="http://schemas.openxmlformats.org/officeDocument/2006/relationships/hyperlink" Target="https://www.lcsc.com/datasheet/C347278.pdf?spm=wm.sxq.inf.ggs&amp;lcsc_vid=TlhaVVxSFQRdBQZVQVQPVAdWFABYBlFeRFMKUQcARlMxVlNRQ1hWVlFTTllbUDsOAxUeFF5JWBYZEEoKFBINSQcJGk4dAgUUFAk=" TargetMode="External"/><Relationship Id="rId102" Type="http://schemas.openxmlformats.org/officeDocument/2006/relationships/hyperlink" Target="https://jlcpcb.com/partdetail/C5345982" TargetMode="External"/><Relationship Id="rId103" Type="http://schemas.openxmlformats.org/officeDocument/2006/relationships/hyperlink" Target="https://wmsc.lcsc.com/wmsc/upload/file/pdf/v2/lcsc/2301120930_HXY-MOSFET-AMS1117-3-3_C5345982.pdf" TargetMode="External"/><Relationship Id="rId104" Type="http://schemas.openxmlformats.org/officeDocument/2006/relationships/hyperlink" Target="https://jlcpcb.com/partdetail/C5345984" TargetMode="External"/><Relationship Id="rId105" Type="http://schemas.openxmlformats.org/officeDocument/2006/relationships/hyperlink" Target="https://wmsc.lcsc.com/wmsc/upload/file/pdf/v2/lcsc/2301120930_HXY-MOSFET-AMS1117-5-0_C5345984.pdf" TargetMode="External"/><Relationship Id="rId106" Type="http://schemas.openxmlformats.org/officeDocument/2006/relationships/hyperlink" Target="https://jlcpcb.com/partdetail/C5345985" TargetMode="External"/><Relationship Id="rId107" Type="http://schemas.openxmlformats.org/officeDocument/2006/relationships/hyperlink" Target="https://wmsc.lcsc.com/wmsc/upload/file/pdf/v2/lcsc/2301120930_HXY-MOSFET-AMS1117-ADJ_C5345985.pdf" TargetMode="External"/><Relationship Id="rId108" Type="http://schemas.openxmlformats.org/officeDocument/2006/relationships/hyperlink" Target="https://jlcpcb.com/partdetail/C15458" TargetMode="External"/><Relationship Id="rId109" Type="http://schemas.openxmlformats.org/officeDocument/2006/relationships/hyperlink" Target="https://www.lcsc.com/datasheet/lcsc_datasheet_2206010216_UNI-ROYAL-Uniroyal-Elec-0603WAJ0104T5E_C15458.pdf" TargetMode="External"/><Relationship Id="rId110" Type="http://schemas.openxmlformats.org/officeDocument/2006/relationships/hyperlink" Target="https://jlcpcb.com/partdetail/C15401" TargetMode="External"/><Relationship Id="rId111" Type="http://schemas.openxmlformats.org/officeDocument/2006/relationships/hyperlink" Target="https://www.lcsc.com/datasheet/lcsc_datasheet_2206010216_UNI-ROYAL-Uniroyal-Elec-0603WAJ0103T5E_C15401.pdf" TargetMode="External"/><Relationship Id="rId112" Type="http://schemas.openxmlformats.org/officeDocument/2006/relationships/hyperlink" Target="https://jlcpcb.com/partdetail/C2930027" TargetMode="External"/><Relationship Id="rId113" Type="http://schemas.openxmlformats.org/officeDocument/2006/relationships/hyperlink" Target="https://wmsc.lcsc.com/wmsc/upload/file/pdf/v2/lcsc/2308241009_FOJAN-FRC0603J103TS_C2930027.pdf" TargetMode="External"/><Relationship Id="rId114" Type="http://schemas.openxmlformats.org/officeDocument/2006/relationships/hyperlink" Target="https://jlcpcb.com/partdetail/C4118381" TargetMode="External"/><Relationship Id="rId115" Type="http://schemas.openxmlformats.org/officeDocument/2006/relationships/hyperlink" Target="https://wmsc.lcsc.com/wmsc/upload/file/pdf/v2/lcsc/2404101024_YAGEO-RC0603JR-1310KL_C4118381.pdf" TargetMode="External"/><Relationship Id="rId116" Type="http://schemas.openxmlformats.org/officeDocument/2006/relationships/hyperlink" Target="https://jlcpcb.com/partdetail/C25577" TargetMode="External"/><Relationship Id="rId117" Type="http://schemas.openxmlformats.org/officeDocument/2006/relationships/hyperlink" Target="https://www.lcsc.com/datasheet/lcsc_datasheet_2205311900_UNI-ROYAL-Uniroyal-Elec-0603WAJ0123T5E_C25577.pdf" TargetMode="External"/><Relationship Id="rId118" Type="http://schemas.openxmlformats.org/officeDocument/2006/relationships/hyperlink" Target="https://jlcpcb.com/partdetail/C25585" TargetMode="External"/><Relationship Id="rId119" Type="http://schemas.openxmlformats.org/officeDocument/2006/relationships/hyperlink" Target="https://www.lcsc.com/datasheet/lcsc_datasheet_2206010100_UNI-ROYAL-Uniroyal-Elec-0603WAJ0102T5E_C25585.pdf" TargetMode="External"/><Relationship Id="rId120" Type="http://schemas.openxmlformats.org/officeDocument/2006/relationships/hyperlink" Target="https://jlcpcb.com/partdetail/C22935" TargetMode="External"/><Relationship Id="rId121" Type="http://schemas.openxmlformats.org/officeDocument/2006/relationships/hyperlink" Target="https://www.lcsc.com/datasheet/lcsc_datasheet_2206010130_UNI-ROYAL-Uniroyal-Elec-0603WAF1004T5E_C22935.pdf" TargetMode="External"/><Relationship Id="rId122" Type="http://schemas.openxmlformats.org/officeDocument/2006/relationships/hyperlink" Target="https://jlcpcb.com/partdetail/C26098" TargetMode="External"/><Relationship Id="rId123" Type="http://schemas.openxmlformats.org/officeDocument/2006/relationships/hyperlink" Target="https://www.lcsc.com/datasheet/lcsc_datasheet_2206010030_UNI-ROYAL-Uniroyal-Elec-0603WAJ0105T5E_C26098.pdf" TargetMode="External"/><Relationship Id="rId124" Type="http://schemas.openxmlformats.org/officeDocument/2006/relationships/hyperlink" Target="https://jlcpcb.com/partdetail/C25992" TargetMode="External"/><Relationship Id="rId125" Type="http://schemas.openxmlformats.org/officeDocument/2006/relationships/hyperlink" Target="https://www.lcsc.com/datasheet/lcsc_datasheet_2206010045_UNI-ROYAL-Uniroyal-Elec-0603WAJ0222T5E_C25992.pdf" TargetMode="External"/><Relationship Id="rId126" Type="http://schemas.openxmlformats.org/officeDocument/2006/relationships/hyperlink" Target="https://jlcpcb.com/partdetail/C18679" TargetMode="External"/><Relationship Id="rId127" Type="http://schemas.openxmlformats.org/officeDocument/2006/relationships/hyperlink" Target="https://www.lcsc.com/datasheet/lcsc_datasheet_2206010145_UNI-ROYAL-Uniroyal-Elec-0603WAJ0225T5E_C18679.pdf" TargetMode="External"/><Relationship Id="rId128" Type="http://schemas.openxmlformats.org/officeDocument/2006/relationships/hyperlink" Target="https://jlcpcb.com/partdetail/C18679" TargetMode="External"/><Relationship Id="rId129" Type="http://schemas.openxmlformats.org/officeDocument/2006/relationships/hyperlink" Target="https://www.lcsc.com/datasheet/lcsc_datasheet_2206010145_UNI-ROYAL-Uniroyal-Elec-0603WAJ0225T5E_C18679.pdf" TargetMode="External"/><Relationship Id="rId130" Type="http://schemas.openxmlformats.org/officeDocument/2006/relationships/hyperlink" Target="https://jlcpcb.com/partdetail/C403986" TargetMode="External"/><Relationship Id="rId131" Type="http://schemas.openxmlformats.org/officeDocument/2006/relationships/hyperlink" Target="https://wmsc.lcsc.com/wmsc/upload/file/pdf/v2/lcsc/2304140030_FH--Guangdong-Fenghua-Advanced-Tech-RS-03L225JJT_C403986.pdf" TargetMode="External"/><Relationship Id="rId132" Type="http://schemas.openxmlformats.org/officeDocument/2006/relationships/hyperlink" Target="https://jlcpcb.com/partdetail/C2907123" TargetMode="External"/><Relationship Id="rId133" Type="http://schemas.openxmlformats.org/officeDocument/2006/relationships/hyperlink" Target="https://wmsc.lcsc.com/wmsc/upload/file/pdf/v2/lcsc/2308241947_FOJAN-FRC0603J201-TS_C2907123.pdf" TargetMode="External"/><Relationship Id="rId134" Type="http://schemas.openxmlformats.org/officeDocument/2006/relationships/hyperlink" Target="https://jlcpcb.com/partdetail/C1226" TargetMode="External"/><Relationship Id="rId135" Type="http://schemas.openxmlformats.org/officeDocument/2006/relationships/hyperlink" Target="https://www.lcsc.com/datasheet/lcsc_datasheet_2206010230_UNI-ROYAL-Uniroyal-Elec-0603WAJ0221T5E_C1226.pdf" TargetMode="External"/><Relationship Id="rId136" Type="http://schemas.openxmlformats.org/officeDocument/2006/relationships/hyperlink" Target="https://jlcpcb.com/partdetail/C5842375" TargetMode="External"/><Relationship Id="rId137" Type="http://schemas.openxmlformats.org/officeDocument/2006/relationships/hyperlink" Target="https://wmsc.lcsc.com/wmsc/upload/file/pdf/v2/lcsc/2312030915_YAGEO-RC0603FR-13220RL_C5842375.pdf" TargetMode="External"/><Relationship Id="rId138" Type="http://schemas.openxmlformats.org/officeDocument/2006/relationships/hyperlink" Target="https://jlcpcb.com/partdetail/C23344" TargetMode="External"/><Relationship Id="rId139" Type="http://schemas.openxmlformats.org/officeDocument/2006/relationships/hyperlink" Target="https://www.lcsc.com/datasheet/lcsc_datasheet_2206010100_UNI-ROYAL-Uniroyal-Elec-0603WAJ0223T5E_C23344.pdf" TargetMode="External"/><Relationship Id="rId140" Type="http://schemas.openxmlformats.org/officeDocument/2006/relationships/hyperlink" Target="https://jlcpcb.com/partdetail/C25995" TargetMode="External"/><Relationship Id="rId141" Type="http://schemas.openxmlformats.org/officeDocument/2006/relationships/hyperlink" Target="https://www.lcsc.com/datasheet/lcsc_datasheet_2206010045_UNI-ROYAL-Uniroyal-Elec-0603WAJ0332T5E_C25995.pdf" TargetMode="External"/><Relationship Id="rId142" Type="http://schemas.openxmlformats.org/officeDocument/2006/relationships/hyperlink" Target="https://jlcpcb.com/partdetail/C2907023" TargetMode="External"/><Relationship Id="rId143" Type="http://schemas.openxmlformats.org/officeDocument/2006/relationships/hyperlink" Target="https://wmsc.lcsc.com/wmsc/upload/file/pdf/v2/lcsc/2308241947_FOJAN-FRC0603F3301TS_C2907023.pdf" TargetMode="External"/><Relationship Id="rId144" Type="http://schemas.openxmlformats.org/officeDocument/2006/relationships/hyperlink" Target="https://jlcpcb.com/partdetail/C25231" TargetMode="External"/><Relationship Id="rId145" Type="http://schemas.openxmlformats.org/officeDocument/2006/relationships/hyperlink" Target="https://www.lcsc.com/datasheet/lcsc_datasheet_2205311845_UNI-ROYAL-Uniroyal-Elec-0603WAJ0331T5E_C25231.pdf" TargetMode="External"/><Relationship Id="rId146" Type="http://schemas.openxmlformats.org/officeDocument/2006/relationships/hyperlink" Target="https://jlcpcb.com/partdetail/C25999" TargetMode="External"/><Relationship Id="rId147" Type="http://schemas.openxmlformats.org/officeDocument/2006/relationships/hyperlink" Target="https://www.lcsc.com/datasheet/lcsc_datasheet_2206010045_UNI-ROYAL-Uniroyal-Elec-0603WAJ0472T5E_C25999.pdf" TargetMode="External"/><Relationship Id="rId148" Type="http://schemas.openxmlformats.org/officeDocument/2006/relationships/hyperlink" Target="https://jlcpcb.com/partdetail/C25241" TargetMode="External"/><Relationship Id="rId149" Type="http://schemas.openxmlformats.org/officeDocument/2006/relationships/hyperlink" Target="https://www.lcsc.com/datasheet/lcsc_datasheet_2205311845_UNI-ROYAL-Uniroyal-Elec-0603WAJ0471T5E_C25241.pdf" TargetMode="External"/><Relationship Id="rId150" Type="http://schemas.openxmlformats.org/officeDocument/2006/relationships/hyperlink" Target="https://jlcpcb.com/partdetail/C26001" TargetMode="External"/><Relationship Id="rId151" Type="http://schemas.openxmlformats.org/officeDocument/2006/relationships/hyperlink" Target="https://www.lcsc.com/datasheet/lcsc_datasheet_2206010045_UNI-ROYAL-Uniroyal-Elec-0603WAJ0562T5E_C26001.pdf" TargetMode="External"/><Relationship Id="rId152" Type="http://schemas.openxmlformats.org/officeDocument/2006/relationships/hyperlink" Target="https://jlcpcb.com/partdetail/C1525253" TargetMode="External"/><Relationship Id="rId153" Type="http://schemas.openxmlformats.org/officeDocument/2006/relationships/hyperlink" Target="https://jlcpcb.com/api/file/downloadByFileSystemAccessId/8589033743424368640" TargetMode="External"/><Relationship Id="rId154" Type="http://schemas.openxmlformats.org/officeDocument/2006/relationships/hyperlink" Target="https://omronfs.omron.com/en_US/ecb/products/pdf/en-g2rl.pdf" TargetMode="External"/><Relationship Id="rId155" Type="http://schemas.openxmlformats.org/officeDocument/2006/relationships/hyperlink" Target="https://jlcpcb.com/partdetail/C5340138" TargetMode="External"/><Relationship Id="rId156" Type="http://schemas.openxmlformats.org/officeDocument/2006/relationships/hyperlink" Target="https://wmsc.lcsc.com/wmsc/upload/file/pdf/v2/lcsc/2212291730_hanxia-HX-TS666CJ-250gf-009_C5340138.pdf" TargetMode="External"/><Relationship Id="rId157" Type="http://schemas.openxmlformats.org/officeDocument/2006/relationships/hyperlink" Target="https://jlcpcb.com/partdetail/C5340123" TargetMode="External"/><Relationship Id="rId158" Type="http://schemas.openxmlformats.org/officeDocument/2006/relationships/hyperlink" Target="https://wmsc.lcsc.com/wmsc/upload/file/pdf/v2/lcsc/2212271430_hanxia-HX-TS666TP-250gf-009_C5340123.pdf" TargetMode="External"/><Relationship Id="rId159" Type="http://schemas.openxmlformats.org/officeDocument/2006/relationships/hyperlink" Target="https://jlcpcb.com/partdetail/C840579" TargetMode="External"/><Relationship Id="rId160" Type="http://schemas.openxmlformats.org/officeDocument/2006/relationships/hyperlink" Target="https://wmsc.lcsc.com/wmsc/upload/file/pdf/v2/lcsc/2311231642_ECE-EDG104S33_C840579.pdf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B3:AL124"/>
  <sheetViews>
    <sheetView workbookViewId="0" showGridLines="0" defaultGridColor="1">
      <pane topLeftCell="A4" xSplit="0" ySplit="3" activePane="bottomLeft" state="frozen"/>
    </sheetView>
  </sheetViews>
  <sheetFormatPr defaultColWidth="16.6667" defaultRowHeight="19.9" customHeight="1" outlineLevelRow="0" outlineLevelCol="0"/>
  <cols>
    <col min="1" max="1" width="13.0625" style="1" customWidth="1"/>
    <col min="2" max="2" width="36.4141" style="1" customWidth="1"/>
    <col min="3" max="3" width="41.3906" style="1" customWidth="1"/>
    <col min="4" max="4" width="38.6719" style="1" customWidth="1"/>
    <col min="5" max="5" width="13.9453" style="1" customWidth="1"/>
    <col min="6" max="6" width="17.1328" style="1" customWidth="1"/>
    <col min="7" max="7" width="11.9766" style="1" customWidth="1"/>
    <col min="8" max="10" width="18.5547" style="1" customWidth="1"/>
    <col min="11" max="11" width="17.1328" style="1" customWidth="1"/>
    <col min="12" max="12" width="26.6797" style="1" customWidth="1"/>
    <col min="13" max="13" width="16.6719" style="1" customWidth="1"/>
    <col min="14" max="14" width="115.172" style="1" customWidth="1"/>
    <col min="15" max="15" width="14.0781" style="1" customWidth="1"/>
    <col min="16" max="16" width="16.6797" style="1" customWidth="1"/>
    <col min="17" max="18" width="14.0781" style="1" customWidth="1"/>
    <col min="19" max="19" width="10.0703" style="1" customWidth="1"/>
    <col min="20" max="20" width="7.70312" style="1" customWidth="1"/>
    <col min="21" max="21" width="10.3672" style="1" customWidth="1"/>
    <col min="22" max="22" width="12.4062" style="1" customWidth="1"/>
    <col min="23" max="23" width="7.70312" style="1" customWidth="1"/>
    <col min="24" max="24" width="9.64844" style="1" customWidth="1"/>
    <col min="25" max="26" width="9.82812" style="1" customWidth="1"/>
    <col min="27" max="27" width="10.6953" style="1" customWidth="1"/>
    <col min="28" max="28" width="8.54688" style="1" customWidth="1"/>
    <col min="29" max="29" width="16.6875" style="1" customWidth="1"/>
    <col min="30" max="31" width="16.6719" style="1" customWidth="1"/>
    <col min="32" max="32" width="13.9453" style="1" customWidth="1"/>
    <col min="33" max="33" width="16.6719" style="1" customWidth="1"/>
    <col min="34" max="34" width="24.6953" style="1" customWidth="1"/>
    <col min="35" max="35" width="34.6484" style="1" customWidth="1"/>
    <col min="36" max="36" width="24.6172" style="1" customWidth="1"/>
    <col min="37" max="37" width="39.5312" style="1" customWidth="1"/>
    <col min="38" max="38" width="118.641" style="1" customWidth="1"/>
    <col min="39" max="16384" width="16.6719" style="1" customWidth="1"/>
  </cols>
  <sheetData>
    <row r="1" ht="53.75" customHeight="1"/>
    <row r="2" ht="48.3" customHeight="1">
      <c r="B2" t="s" s="2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ht="42.1" customHeight="1">
      <c r="B3" t="s" s="3">
        <v>1</v>
      </c>
      <c r="C3" t="s" s="3">
        <v>2</v>
      </c>
      <c r="D3" t="s" s="3">
        <v>3</v>
      </c>
      <c r="E3" t="s" s="3">
        <v>4</v>
      </c>
      <c r="F3" t="s" s="3">
        <v>5</v>
      </c>
      <c r="G3" t="s" s="3">
        <v>6</v>
      </c>
      <c r="H3" t="s" s="3">
        <v>7</v>
      </c>
      <c r="I3" t="s" s="3">
        <v>8</v>
      </c>
      <c r="J3" t="s" s="3">
        <v>9</v>
      </c>
      <c r="K3" t="s" s="3">
        <v>10</v>
      </c>
      <c r="L3" t="s" s="3">
        <v>11</v>
      </c>
      <c r="M3" t="s" s="3">
        <v>12</v>
      </c>
      <c r="N3" t="s" s="4">
        <v>13</v>
      </c>
      <c r="O3" t="s" s="3">
        <v>14</v>
      </c>
      <c r="P3" t="s" s="3">
        <v>15</v>
      </c>
      <c r="Q3" t="s" s="3">
        <v>16</v>
      </c>
      <c r="R3" t="s" s="3">
        <v>17</v>
      </c>
      <c r="S3" t="s" s="3">
        <v>18</v>
      </c>
      <c r="T3" t="s" s="3">
        <v>19</v>
      </c>
      <c r="U3" t="s" s="3">
        <v>20</v>
      </c>
      <c r="V3" t="s" s="3">
        <v>21</v>
      </c>
      <c r="W3" t="s" s="3">
        <v>22</v>
      </c>
      <c r="X3" t="s" s="3">
        <v>23</v>
      </c>
      <c r="Y3" t="s" s="3">
        <v>24</v>
      </c>
      <c r="Z3" t="s" s="3">
        <v>25</v>
      </c>
      <c r="AA3" t="s" s="3">
        <v>26</v>
      </c>
      <c r="AB3" t="s" s="3">
        <v>27</v>
      </c>
      <c r="AC3" t="s" s="3">
        <v>28</v>
      </c>
      <c r="AD3" t="s" s="3">
        <v>29</v>
      </c>
      <c r="AE3" t="s" s="3">
        <v>30</v>
      </c>
      <c r="AF3" t="s" s="3">
        <v>31</v>
      </c>
      <c r="AG3" t="s" s="3">
        <v>32</v>
      </c>
      <c r="AH3" t="s" s="3">
        <v>33</v>
      </c>
      <c r="AI3" t="s" s="3">
        <v>34</v>
      </c>
      <c r="AJ3" t="s" s="5">
        <v>35</v>
      </c>
      <c r="AK3" t="s" s="5">
        <v>36</v>
      </c>
      <c r="AL3" t="s" s="3">
        <v>37</v>
      </c>
    </row>
    <row r="4" ht="20.8" customHeight="1">
      <c r="B4" t="str" s="6" cm="1">
        <f t="array" ref="B4">G4&amp;"_"&amp;F4&amp;"_"&amp;L4&amp;"_"&amp;R4&amp;"_"&amp;W4</f>
        <v>CAP_0.01uF_X7R_0603_50V</v>
      </c>
      <c r="C4" t="str" s="7" cm="1">
        <f t="array" ref="C4">$F4&amp;IF($G4="LED"," LED","")&amp;IF($V4="",""," ")&amp;$V4&amp;IF($L4="",""," ")&amp;$L4&amp;IF($W4="",""," ")&amp;$W4&amp;IF($X4="",""," ")&amp;$X4&amp;IF($Y4="",""," ")&amp;$Y4&amp;IF($AB4="",""," ")&amp;$AB4&amp;IF($AB4="","","mcd")</f>
        <v>0.01uF 10% X7R 50V</v>
      </c>
      <c r="D4" t="str" s="7" cm="1">
        <f t="array" ref="D4">$F4&amp;" "&amp;G4&amp;IF($V4="",""," ")&amp;$V4&amp;IF($L4="",""," ")&amp;$L4&amp;IF($W4="",""," ")&amp;$W4&amp;IF($X4="",""," ")&amp;$X4&amp;IF($Y4="",""," ")&amp;$Y4&amp;IF($AB4="",""," ")&amp;$AB4&amp;IF($AB4="","","mcd")</f>
        <v>0.01uF CAP 10% X7R 50V</v>
      </c>
      <c r="E4" t="str" s="6" cm="1">
        <f t="array" ref="E4">IF(ISBLANK(M4),"",HYPERLINK("https://jlcpcb.com/partdetail/"&amp;$M4,$M4))</f>
        <v>C100042</v>
      </c>
      <c r="F4" t="str" s="6" cm="1">
        <f t="array" ref="F4">P4</f>
        <v>0.01uF</v>
      </c>
      <c r="G4" t="s" s="8">
        <v>43</v>
      </c>
      <c r="H4" s="8"/>
      <c r="I4" s="8"/>
      <c r="J4" s="8"/>
      <c r="K4" t="s" s="8">
        <v>10</v>
      </c>
      <c r="L4" t="s" s="8">
        <v>44</v>
      </c>
      <c r="M4" t="s" s="8">
        <v>45</v>
      </c>
      <c r="N4" t="s" s="9">
        <v>46</v>
      </c>
      <c r="O4" s="8"/>
      <c r="P4" t="s" s="8">
        <v>47</v>
      </c>
      <c r="Q4" s="8"/>
      <c r="R4" t="s" s="8">
        <v>48</v>
      </c>
      <c r="S4" s="8"/>
      <c r="T4" s="8"/>
      <c r="U4" s="8"/>
      <c r="V4" t="s" s="8">
        <v>49</v>
      </c>
      <c r="W4" t="s" s="8">
        <v>50</v>
      </c>
      <c r="X4" s="8"/>
      <c r="Y4" s="8"/>
      <c r="Z4" s="8"/>
      <c r="AA4" s="8"/>
      <c r="AB4" s="8"/>
      <c r="AC4" s="8"/>
      <c r="AD4" s="10"/>
      <c r="AE4" s="10"/>
      <c r="AF4" s="11">
        <v>3</v>
      </c>
      <c r="AG4" t="s" s="8">
        <v>51</v>
      </c>
      <c r="AH4" t="s" s="12">
        <v>52</v>
      </c>
      <c r="AI4" t="s" s="8">
        <v>53</v>
      </c>
      <c r="AJ4" t="s" s="13">
        <v>54</v>
      </c>
      <c r="AK4" t="s" s="14">
        <v>55</v>
      </c>
      <c r="AL4" t="s" s="8">
        <v>56</v>
      </c>
    </row>
    <row r="5" ht="18.9" customHeight="1">
      <c r="B5" t="str" s="15" cm="1">
        <f t="array" ref="B5">G5&amp;"_"&amp;F5&amp;"_"&amp;L5&amp;"_"&amp;R5&amp;"_"&amp;W5</f>
        <v>CAP_0.01uF_X7R_0603_25V</v>
      </c>
      <c r="C5" t="str" s="16" cm="1">
        <f t="array" ref="C5">$F5&amp;IF($G5="LED"," LED","")&amp;IF($V5="",""," ")&amp;$V5&amp;IF($L5="",""," ")&amp;$L5&amp;IF($W5="",""," ")&amp;$W5&amp;IF($X5="",""," ")&amp;$X5&amp;IF($Y5="",""," ")&amp;$Y5&amp;IF($AB5="",""," ")&amp;$AB5&amp;IF($AB5="","","mcd")</f>
        <v>0.01uF 10% X7R 25V</v>
      </c>
      <c r="D5" t="str" s="16" cm="1">
        <f t="array" ref="D5">$F5&amp;" "&amp;G5&amp;IF($V5="",""," ")&amp;$V5&amp;IF($L5="",""," ")&amp;$L5&amp;IF($W5="",""," ")&amp;$W5&amp;IF($X5="",""," ")&amp;$X5&amp;IF($Y5="",""," ")&amp;$Y5&amp;IF($AB5="",""," ")&amp;$AB5&amp;IF($AB5="","","mcd")</f>
        <v>0.01uF CAP 10% X7R 25V</v>
      </c>
      <c r="E5" t="str" s="15" cm="1">
        <f t="array" ref="E5">IF(ISBLANK(M5),"",HYPERLINK("https://jlcpcb.com/partdetail/"&amp;$M5,$M5))</f>
        <v>C1852832</v>
      </c>
      <c r="F5" t="str" s="15" cm="1">
        <f t="array" ref="F5">P5</f>
        <v>0.01uF</v>
      </c>
      <c r="G5" t="s" s="17">
        <v>43</v>
      </c>
      <c r="H5" s="17"/>
      <c r="I5" s="17"/>
      <c r="J5" s="17"/>
      <c r="K5" t="s" s="17">
        <v>10</v>
      </c>
      <c r="L5" t="s" s="17">
        <v>44</v>
      </c>
      <c r="M5" t="s" s="17">
        <v>61</v>
      </c>
      <c r="N5" t="s" s="18">
        <v>62</v>
      </c>
      <c r="O5" s="17"/>
      <c r="P5" t="s" s="17">
        <v>47</v>
      </c>
      <c r="Q5" s="17"/>
      <c r="R5" t="s" s="17">
        <v>48</v>
      </c>
      <c r="S5" s="17"/>
      <c r="T5" s="17"/>
      <c r="U5" s="17"/>
      <c r="V5" t="s" s="17">
        <v>49</v>
      </c>
      <c r="W5" t="s" s="17">
        <v>63</v>
      </c>
      <c r="X5" s="17"/>
      <c r="Y5" s="17"/>
      <c r="Z5" s="17"/>
      <c r="AA5" s="17"/>
      <c r="AB5" s="17"/>
      <c r="AC5" s="17"/>
      <c r="AD5" s="19"/>
      <c r="AE5" s="19"/>
      <c r="AF5" s="20">
        <v>1</v>
      </c>
      <c r="AG5" t="s" s="17">
        <v>64</v>
      </c>
      <c r="AH5" t="s" s="21">
        <v>52</v>
      </c>
      <c r="AI5" t="s" s="17">
        <v>65</v>
      </c>
      <c r="AJ5" t="s" s="22">
        <v>54</v>
      </c>
      <c r="AK5" t="s" s="23">
        <v>55</v>
      </c>
      <c r="AL5" t="s" s="17">
        <v>66</v>
      </c>
    </row>
    <row r="6" ht="18.9" customHeight="1">
      <c r="B6" t="str" s="15" cm="1">
        <f t="array" ref="B6">G6&amp;"_"&amp;F6&amp;"_"&amp;L6&amp;"_"&amp;R6&amp;"_"&amp;W6</f>
        <v>CAP_0.01uF_X5R_0603_50V</v>
      </c>
      <c r="C6" t="str" s="16" cm="1">
        <f t="array" ref="C6">$F6&amp;IF($G6="LED"," LED","")&amp;IF($V6="",""," ")&amp;$V6&amp;IF($L6="",""," ")&amp;$L6&amp;IF($W6="",""," ")&amp;$W6&amp;IF($X6="",""," ")&amp;$X6&amp;IF($Y6="",""," ")&amp;$Y6&amp;IF($AB6="",""," ")&amp;$AB6&amp;IF($AB6="","","mcd")</f>
        <v>0.01uF 10% X5R 50V</v>
      </c>
      <c r="D6" t="str" s="16" cm="1">
        <f t="array" ref="D6">$F6&amp;" "&amp;G6&amp;IF($V6="",""," ")&amp;$V6&amp;IF($L6="",""," ")&amp;$L6&amp;IF($W6="",""," ")&amp;$W6&amp;IF($X6="",""," ")&amp;$X6&amp;IF($Y6="",""," ")&amp;$Y6&amp;IF($AB6="",""," ")&amp;$AB6&amp;IF($AB6="","","mcd")</f>
        <v>0.01uF CAP 10% X5R 50V</v>
      </c>
      <c r="E6" t="str" s="15" cm="1">
        <f t="array" ref="E6">IF(ISBLANK(M6),"",HYPERLINK("https://jlcpcb.com/partdetail/"&amp;$M6,$M6))</f>
        <v>C3910010</v>
      </c>
      <c r="F6" t="str" s="15" cm="1">
        <f t="array" ref="F6">P6</f>
        <v>0.01uF</v>
      </c>
      <c r="G6" t="s" s="17">
        <v>43</v>
      </c>
      <c r="H6" s="17"/>
      <c r="I6" s="17"/>
      <c r="J6" s="17"/>
      <c r="K6" t="s" s="17">
        <v>10</v>
      </c>
      <c r="L6" t="s" s="17">
        <v>71</v>
      </c>
      <c r="M6" t="s" s="17">
        <v>72</v>
      </c>
      <c r="N6" t="s" s="18">
        <v>73</v>
      </c>
      <c r="O6" s="17"/>
      <c r="P6" t="s" s="17">
        <v>47</v>
      </c>
      <c r="Q6" s="17"/>
      <c r="R6" t="s" s="17">
        <v>48</v>
      </c>
      <c r="S6" s="17"/>
      <c r="T6" s="17"/>
      <c r="U6" s="17"/>
      <c r="V6" t="s" s="17">
        <v>49</v>
      </c>
      <c r="W6" t="s" s="17">
        <v>50</v>
      </c>
      <c r="X6" s="17"/>
      <c r="Y6" s="17"/>
      <c r="Z6" s="17"/>
      <c r="AA6" s="17"/>
      <c r="AB6" s="17"/>
      <c r="AC6" s="17"/>
      <c r="AD6" s="19"/>
      <c r="AE6" s="19"/>
      <c r="AF6" s="20">
        <v>2</v>
      </c>
      <c r="AG6" t="s" s="17">
        <v>64</v>
      </c>
      <c r="AH6" t="s" s="21">
        <v>74</v>
      </c>
      <c r="AI6" t="s" s="17">
        <v>75</v>
      </c>
      <c r="AJ6" t="s" s="22">
        <v>54</v>
      </c>
      <c r="AK6" t="s" s="23">
        <v>55</v>
      </c>
      <c r="AL6" t="s" s="17">
        <v>76</v>
      </c>
    </row>
    <row r="7" ht="17.35" customHeight="1">
      <c r="B7" t="str" s="15" cm="1">
        <f t="array" ref="B7">G7&amp;"_"&amp;F7&amp;"_"&amp;L7&amp;"_"&amp;R7&amp;"_"&amp;W7</f>
        <v>CAP_0.1uF_X7R_0603_50V</v>
      </c>
      <c r="C7" t="str" s="16" cm="1">
        <f t="array" ref="C7">$F7&amp;IF($G7="LED"," LED","")&amp;IF($V7="",""," ")&amp;$V7&amp;IF($L7="",""," ")&amp;$L7&amp;IF($W7="",""," ")&amp;$W7&amp;IF($X7="",""," ")&amp;$X7&amp;IF($Y7="",""," ")&amp;$Y7&amp;IF($AB7="",""," ")&amp;$AB7&amp;IF($AB7="","","mcd")</f>
        <v>0.1uF 10% X7R 50V</v>
      </c>
      <c r="D7" t="str" s="16" cm="1">
        <f t="array" ref="D7">$F7&amp;" "&amp;G7&amp;IF($V7="",""," ")&amp;$V7&amp;IF($L7="",""," ")&amp;$L7&amp;IF($W7="",""," ")&amp;$W7&amp;IF($X7="",""," ")&amp;$X7&amp;IF($Y7="",""," ")&amp;$Y7&amp;IF($AB7="",""," ")&amp;$AB7&amp;IF($AB7="","","mcd")</f>
        <v>0.1uF CAP 10% X7R 50V</v>
      </c>
      <c r="E7" t="str" s="15" cm="1">
        <f t="array" ref="E7">IF(ISBLANK(M7),"",HYPERLINK("https://jlcpcb.com/partdetail/"&amp;$M7,$M7))</f>
        <v>C14663</v>
      </c>
      <c r="F7" t="str" s="15" cm="1">
        <f t="array" ref="F7">P7</f>
        <v>0.1uF</v>
      </c>
      <c r="G7" t="s" s="17">
        <v>43</v>
      </c>
      <c r="H7" s="17"/>
      <c r="I7" s="17"/>
      <c r="J7" s="17"/>
      <c r="K7" t="s" s="17">
        <v>10</v>
      </c>
      <c r="L7" t="s" s="17">
        <v>44</v>
      </c>
      <c r="M7" t="s" s="17">
        <v>82</v>
      </c>
      <c r="N7" t="s" s="18">
        <v>83</v>
      </c>
      <c r="O7" s="17"/>
      <c r="P7" t="s" s="17">
        <v>84</v>
      </c>
      <c r="Q7" s="17"/>
      <c r="R7" t="s" s="17">
        <v>48</v>
      </c>
      <c r="S7" s="17"/>
      <c r="T7" s="17"/>
      <c r="U7" s="17"/>
      <c r="V7" t="s" s="17">
        <v>49</v>
      </c>
      <c r="W7" t="s" s="17">
        <v>50</v>
      </c>
      <c r="X7" s="17"/>
      <c r="Y7" s="17"/>
      <c r="Z7" s="17"/>
      <c r="AA7" s="17"/>
      <c r="AB7" s="17"/>
      <c r="AC7" s="17"/>
      <c r="AD7" s="19"/>
      <c r="AE7" s="19"/>
      <c r="AF7" s="20">
        <v>2</v>
      </c>
      <c r="AG7" t="s" s="17">
        <v>51</v>
      </c>
      <c r="AH7" t="s" s="21">
        <v>52</v>
      </c>
      <c r="AI7" t="s" s="17">
        <v>85</v>
      </c>
      <c r="AJ7" t="s" s="22">
        <v>54</v>
      </c>
      <c r="AK7" t="s" s="23">
        <v>55</v>
      </c>
      <c r="AL7" t="s" s="17">
        <v>86</v>
      </c>
    </row>
    <row r="8" ht="18.9" customHeight="1">
      <c r="B8" t="str" s="15" cm="1">
        <f t="array" ref="B8">G8&amp;"_"&amp;F8&amp;"_"&amp;L8&amp;"_"&amp;R8&amp;"_"&amp;W8</f>
        <v>CAP_0.1uF_X5R_0603_25V</v>
      </c>
      <c r="C8" t="str" s="16" cm="1">
        <f t="array" ref="C8">$F8&amp;IF($G8="LED"," LED","")&amp;IF($V8="",""," ")&amp;$V8&amp;IF($L8="",""," ")&amp;$L8&amp;IF($W8="",""," ")&amp;$W8&amp;IF($X8="",""," ")&amp;$X8&amp;IF($Y8="",""," ")&amp;$Y8&amp;IF($AB8="",""," ")&amp;$AB8&amp;IF($AB8="","","mcd")</f>
        <v>0.1uF 10% X5R 25V</v>
      </c>
      <c r="D8" t="str" s="16" cm="1">
        <f t="array" ref="D8">$F8&amp;" "&amp;G8&amp;IF($V8="",""," ")&amp;$V8&amp;IF($L8="",""," ")&amp;$L8&amp;IF($W8="",""," ")&amp;$W8&amp;IF($X8="",""," ")&amp;$X8&amp;IF($Y8="",""," ")&amp;$Y8&amp;IF($AB8="",""," ")&amp;$AB8&amp;IF($AB8="","","mcd")</f>
        <v>0.1uF CAP 10% X5R 25V</v>
      </c>
      <c r="E8" t="str" s="15" cm="1">
        <f t="array" ref="E8">IF(ISBLANK(M8),"",HYPERLINK("https://jlcpcb.com/partdetail/"&amp;$M8,$M8))</f>
        <v>C3853265</v>
      </c>
      <c r="F8" t="str" s="15" cm="1">
        <f t="array" ref="F8">P8</f>
        <v>0.1uF</v>
      </c>
      <c r="G8" t="s" s="17">
        <v>43</v>
      </c>
      <c r="H8" s="17"/>
      <c r="I8" s="17"/>
      <c r="J8" s="17"/>
      <c r="K8" t="s" s="17">
        <v>10</v>
      </c>
      <c r="L8" t="s" s="17">
        <v>71</v>
      </c>
      <c r="M8" t="s" s="17">
        <v>91</v>
      </c>
      <c r="N8" t="s" s="18">
        <v>92</v>
      </c>
      <c r="O8" s="17"/>
      <c r="P8" t="s" s="17">
        <v>84</v>
      </c>
      <c r="Q8" s="17"/>
      <c r="R8" t="s" s="17">
        <v>48</v>
      </c>
      <c r="S8" s="17"/>
      <c r="T8" s="17"/>
      <c r="U8" s="17"/>
      <c r="V8" t="s" s="17">
        <v>49</v>
      </c>
      <c r="W8" t="s" s="17">
        <v>63</v>
      </c>
      <c r="X8" s="17"/>
      <c r="Y8" s="17"/>
      <c r="Z8" s="17"/>
      <c r="AA8" s="17"/>
      <c r="AB8" s="17"/>
      <c r="AC8" s="17"/>
      <c r="AD8" s="19"/>
      <c r="AE8" s="19"/>
      <c r="AF8" s="20">
        <v>1</v>
      </c>
      <c r="AG8" t="s" s="17">
        <v>64</v>
      </c>
      <c r="AH8" t="s" s="21">
        <v>74</v>
      </c>
      <c r="AI8" t="s" s="17">
        <v>93</v>
      </c>
      <c r="AJ8" t="s" s="22">
        <v>54</v>
      </c>
      <c r="AK8" t="s" s="23">
        <v>55</v>
      </c>
      <c r="AL8" t="s" s="17">
        <v>76</v>
      </c>
    </row>
    <row r="9" ht="19.5" customHeight="1">
      <c r="B9" t="str" s="15" cm="1">
        <f t="array" ref="B9">G9&amp;"_"&amp;F9&amp;"_"&amp;L9&amp;"_"&amp;R9</f>
        <v>CAP_1000uF_Electrolytic_10x10.2</v>
      </c>
      <c r="C9" t="str" s="16" cm="1">
        <f t="array" ref="C9">$F9&amp;IF($G9="LED"," LED","")&amp;IF($V9="",""," ")&amp;$V9&amp;IF($L9="",""," ")&amp;$L9&amp;IF($W9="",""," ")&amp;$W9&amp;IF($X9="",""," ")&amp;$X9&amp;IF($Y9="",""," ")&amp;$Y9&amp;IF($AB9="",""," ")&amp;$AB9&amp;IF($AB9="","","mcd")</f>
        <v>1000uF 20% Electrolytic 16V</v>
      </c>
      <c r="D9" t="str" s="16" cm="1">
        <f t="array" ref="D9">$F9&amp;" "&amp;G9&amp;IF($V9="",""," ")&amp;$V9&amp;IF($L9="",""," ")&amp;$L9&amp;IF($W9="",""," ")&amp;$W9&amp;IF($X9="",""," ")&amp;$X9&amp;IF($Y9="",""," ")&amp;$Y9&amp;IF($AB9="",""," ")&amp;$AB9&amp;IF($AB9="","","mcd")</f>
        <v>1000uF CAP 20% Electrolytic 16V</v>
      </c>
      <c r="E9" t="str" s="15" cm="1">
        <f t="array" ref="E9">IF(ISBLANK(M9),"",HYPERLINK("https://jlcpcb.com/partdetail/"&amp;$M9,$M9))</f>
        <v>C970714</v>
      </c>
      <c r="F9" t="str" s="15" cm="1">
        <f t="array" ref="F9">P9</f>
        <v>1000uF</v>
      </c>
      <c r="G9" t="s" s="17">
        <v>43</v>
      </c>
      <c r="H9" s="17"/>
      <c r="I9" s="17"/>
      <c r="J9" s="17"/>
      <c r="K9" t="s" s="17">
        <v>10</v>
      </c>
      <c r="L9" t="s" s="17">
        <v>99</v>
      </c>
      <c r="M9" t="s" s="24">
        <v>100</v>
      </c>
      <c r="N9" t="s" s="18">
        <v>101</v>
      </c>
      <c r="O9" s="17"/>
      <c r="P9" t="s" s="17">
        <v>102</v>
      </c>
      <c r="Q9" s="17"/>
      <c r="R9" t="s" s="17">
        <v>103</v>
      </c>
      <c r="S9" s="17"/>
      <c r="T9" s="17"/>
      <c r="U9" s="17"/>
      <c r="V9" t="s" s="17">
        <v>104</v>
      </c>
      <c r="W9" t="s" s="17">
        <v>105</v>
      </c>
      <c r="X9" s="17"/>
      <c r="Y9" s="17"/>
      <c r="Z9" s="17"/>
      <c r="AA9" s="17"/>
      <c r="AB9" s="17"/>
      <c r="AC9" s="17"/>
      <c r="AD9" s="25"/>
      <c r="AE9" s="25"/>
      <c r="AF9" s="20">
        <v>1</v>
      </c>
      <c r="AG9" t="s" s="17">
        <v>51</v>
      </c>
      <c r="AH9" t="s" s="21">
        <v>106</v>
      </c>
      <c r="AI9" t="s" s="24">
        <v>107</v>
      </c>
      <c r="AJ9" t="s" s="22">
        <v>108</v>
      </c>
      <c r="AK9" t="s" s="23">
        <v>109</v>
      </c>
      <c r="AL9" t="s" s="17">
        <v>110</v>
      </c>
    </row>
    <row r="10" ht="19.5" customHeight="1">
      <c r="B10" t="str" s="15" cm="1">
        <f t="array" ref="B10">G10&amp;"_"&amp;F10&amp;"_"&amp;L10&amp;"_"&amp;R10</f>
        <v>CAP_1000uF_Electrolytic_8x11.5</v>
      </c>
      <c r="C10" t="str" s="16" cm="1">
        <f t="array" ref="C10">$F10&amp;IF($G10="LED"," LED","")&amp;IF($V10="",""," ")&amp;$V10&amp;IF($L10="",""," ")&amp;$L10&amp;IF($W10="",""," ")&amp;$W10&amp;IF($X10="",""," ")&amp;$X10&amp;IF($Y10="",""," ")&amp;$Y10&amp;IF($AB10="",""," ")&amp;$AB10&amp;IF($AB10="","","mcd")</f>
        <v>1000uF 20% Electrolytic 6.3V</v>
      </c>
      <c r="D10" t="str" s="16" cm="1">
        <f t="array" ref="D10">$F10&amp;" "&amp;G10&amp;IF($V10="",""," ")&amp;$V10&amp;IF($L10="",""," ")&amp;$L10&amp;IF($W10="",""," ")&amp;$W10&amp;IF($X10="",""," ")&amp;$X10&amp;IF($Y10="",""," ")&amp;$Y10&amp;IF($AB10="",""," ")&amp;$AB10&amp;IF($AB10="","","mcd")</f>
        <v>1000uF CAP 20% Electrolytic 6.3V</v>
      </c>
      <c r="E10" t="str" s="15" cm="1">
        <f t="array" ref="E10">IF(ISBLANK(M10),"",HYPERLINK("https://jlcpcb.com/partdetail/"&amp;$M10,$M10))</f>
      </c>
      <c r="F10" t="str" s="15" cm="1">
        <f t="array" ref="F10">P10</f>
        <v>1000uF</v>
      </c>
      <c r="G10" t="s" s="17">
        <v>43</v>
      </c>
      <c r="H10" s="17"/>
      <c r="I10" s="17"/>
      <c r="J10" s="17"/>
      <c r="K10" t="s" s="17">
        <v>114</v>
      </c>
      <c r="L10" t="s" s="17">
        <v>99</v>
      </c>
      <c r="M10" s="19"/>
      <c r="N10" t="s" s="18">
        <v>115</v>
      </c>
      <c r="O10" s="17"/>
      <c r="P10" t="s" s="17">
        <v>102</v>
      </c>
      <c r="Q10" s="17"/>
      <c r="R10" t="s" s="17">
        <v>116</v>
      </c>
      <c r="S10" s="17"/>
      <c r="T10" s="17"/>
      <c r="U10" s="17"/>
      <c r="V10" t="s" s="17">
        <v>104</v>
      </c>
      <c r="W10" t="s" s="17">
        <v>117</v>
      </c>
      <c r="X10" s="17"/>
      <c r="Y10" s="17"/>
      <c r="Z10" s="17"/>
      <c r="AA10" s="17"/>
      <c r="AB10" s="17"/>
      <c r="AC10" s="17"/>
      <c r="AD10" t="s" s="17">
        <v>118</v>
      </c>
      <c r="AE10" t="s" s="17">
        <v>119</v>
      </c>
      <c r="AF10" s="20">
        <v>2</v>
      </c>
      <c r="AG10" s="19"/>
      <c r="AH10" s="26"/>
      <c r="AI10" s="19"/>
      <c r="AJ10" t="s" s="22">
        <v>108</v>
      </c>
      <c r="AK10" s="27"/>
      <c r="AL10" s="19"/>
    </row>
    <row r="11" ht="19.5" customHeight="1">
      <c r="B11" t="str" s="15" cm="1">
        <f t="array" ref="B11">G11&amp;"_"&amp;F11&amp;"_"&amp;L11&amp;"_"&amp;R11&amp;"_"&amp;W11</f>
        <v>CAP_10uF_X5R_1206_50V</v>
      </c>
      <c r="C11" t="str" s="16" cm="1">
        <f t="array" ref="C11">$F11&amp;IF($G11="LED"," LED","")&amp;IF($V11="",""," ")&amp;$V11&amp;IF($L11="",""," ")&amp;$L11&amp;IF($W11="",""," ")&amp;$W11&amp;IF($X11="",""," ")&amp;$X11&amp;IF($Y11="",""," ")&amp;$Y11&amp;IF($AB11="",""," ")&amp;$AB11&amp;IF($AB11="","","mcd")</f>
        <v>10uF 10% X5R 50V</v>
      </c>
      <c r="D11" t="str" s="16" cm="1">
        <f t="array" ref="D11">$F11&amp;" "&amp;G11&amp;IF($V11="",""," ")&amp;$V11&amp;IF($L11="",""," ")&amp;$L11&amp;IF($W11="",""," ")&amp;$W11&amp;IF($X11="",""," ")&amp;$X11&amp;IF($Y11="",""," ")&amp;$Y11&amp;IF($AB11="",""," ")&amp;$AB11&amp;IF($AB11="","","mcd")</f>
        <v>10uF CAP 10% X5R 50V</v>
      </c>
      <c r="E11" t="str" s="15" cm="1">
        <f t="array" ref="E11">IF(ISBLANK(M11),"",HYPERLINK("https://jlcpcb.com/partdetail/"&amp;$M11,$M11))</f>
        <v>C13585</v>
      </c>
      <c r="F11" t="str" s="15" cm="1">
        <f t="array" ref="F11">P11</f>
        <v>10uF</v>
      </c>
      <c r="G11" t="s" s="17">
        <v>43</v>
      </c>
      <c r="H11" s="17"/>
      <c r="I11" s="17"/>
      <c r="J11" s="17"/>
      <c r="K11" t="s" s="17">
        <v>10</v>
      </c>
      <c r="L11" t="s" s="17">
        <v>71</v>
      </c>
      <c r="M11" t="s" s="17">
        <v>125</v>
      </c>
      <c r="N11" t="s" s="18">
        <v>126</v>
      </c>
      <c r="O11" s="17"/>
      <c r="P11" t="s" s="17">
        <v>127</v>
      </c>
      <c r="Q11" s="17"/>
      <c r="R11" t="s" s="17">
        <v>128</v>
      </c>
      <c r="S11" s="17"/>
      <c r="T11" s="17"/>
      <c r="U11" s="17"/>
      <c r="V11" t="s" s="17">
        <v>49</v>
      </c>
      <c r="W11" t="s" s="17">
        <v>50</v>
      </c>
      <c r="X11" s="17"/>
      <c r="Y11" s="17"/>
      <c r="Z11" s="17"/>
      <c r="AA11" s="17"/>
      <c r="AB11" s="17"/>
      <c r="AC11" s="17"/>
      <c r="AD11" s="19"/>
      <c r="AE11" s="19"/>
      <c r="AF11" s="20">
        <v>1</v>
      </c>
      <c r="AG11" t="s" s="17">
        <v>51</v>
      </c>
      <c r="AH11" t="s" s="21">
        <v>129</v>
      </c>
      <c r="AI11" t="s" s="17">
        <v>130</v>
      </c>
      <c r="AJ11" t="s" s="22">
        <v>54</v>
      </c>
      <c r="AK11" t="s" s="23">
        <v>131</v>
      </c>
      <c r="AL11" t="s" s="17">
        <v>132</v>
      </c>
    </row>
    <row r="12" ht="19.5" customHeight="1">
      <c r="B12" t="str" s="15" cm="1">
        <f t="array" ref="B12">G12&amp;"_"&amp;F12&amp;"_"&amp;L12&amp;"_"&amp;R12&amp;"_"&amp;W12</f>
        <v>CAP_1uF_X5R_0603_50V</v>
      </c>
      <c r="C12" t="str" s="16" cm="1">
        <f t="array" ref="C12">$F12&amp;IF($G12="LED"," LED","")&amp;IF($V12="",""," ")&amp;$V12&amp;IF($L12="",""," ")&amp;$L12&amp;IF($W12="",""," ")&amp;$W12&amp;IF($X12="",""," ")&amp;$X12&amp;IF($Y12="",""," ")&amp;$Y12&amp;IF($AB12="",""," ")&amp;$AB12&amp;IF($AB12="","","mcd")</f>
        <v>1uF 10% X5R 50V</v>
      </c>
      <c r="D12" t="str" s="16" cm="1">
        <f t="array" ref="D12">$F12&amp;" "&amp;G12&amp;IF($V12="",""," ")&amp;$V12&amp;IF($L12="",""," ")&amp;$L12&amp;IF($W12="",""," ")&amp;$W12&amp;IF($X12="",""," ")&amp;$X12&amp;IF($Y12="",""," ")&amp;$Y12&amp;IF($AB12="",""," ")&amp;$AB12&amp;IF($AB12="","","mcd")</f>
        <v>1uF CAP 10% X5R 50V</v>
      </c>
      <c r="E12" t="str" s="15" cm="1">
        <f t="array" ref="E12">IF(ISBLANK(M12),"",HYPERLINK("https://jlcpcb.com/partdetail/"&amp;$M12,$M12))</f>
        <v>C15849</v>
      </c>
      <c r="F12" t="str" s="15" cm="1">
        <f t="array" ref="F12">P12</f>
        <v>1uF</v>
      </c>
      <c r="G12" t="s" s="17">
        <v>43</v>
      </c>
      <c r="H12" s="17"/>
      <c r="I12" s="17"/>
      <c r="J12" s="17"/>
      <c r="K12" t="s" s="17">
        <v>10</v>
      </c>
      <c r="L12" t="s" s="17">
        <v>71</v>
      </c>
      <c r="M12" t="s" s="17">
        <v>138</v>
      </c>
      <c r="N12" t="s" s="18">
        <v>139</v>
      </c>
      <c r="O12" s="17"/>
      <c r="P12" t="s" s="17">
        <v>140</v>
      </c>
      <c r="Q12" s="17"/>
      <c r="R12" t="s" s="17">
        <v>48</v>
      </c>
      <c r="S12" s="17"/>
      <c r="T12" s="17"/>
      <c r="U12" s="17"/>
      <c r="V12" t="s" s="17">
        <v>49</v>
      </c>
      <c r="W12" t="s" s="17">
        <v>50</v>
      </c>
      <c r="X12" s="17"/>
      <c r="Y12" s="17"/>
      <c r="Z12" s="17"/>
      <c r="AA12" s="17"/>
      <c r="AB12" s="17"/>
      <c r="AC12" s="17"/>
      <c r="AD12" s="19"/>
      <c r="AE12" s="19"/>
      <c r="AF12" s="20">
        <v>2</v>
      </c>
      <c r="AG12" t="s" s="17">
        <v>51</v>
      </c>
      <c r="AH12" t="s" s="21">
        <v>129</v>
      </c>
      <c r="AI12" t="s" s="17">
        <v>141</v>
      </c>
      <c r="AJ12" t="s" s="22">
        <v>54</v>
      </c>
      <c r="AK12" t="s" s="23">
        <v>55</v>
      </c>
      <c r="AL12" t="s" s="17">
        <v>142</v>
      </c>
    </row>
    <row r="13" ht="18.9" customHeight="1">
      <c r="B13" t="str" s="15" cm="1">
        <f t="array" ref="B13">G13&amp;"_"&amp;F13&amp;"_"&amp;L13&amp;"_"&amp;R13&amp;"_"&amp;W13</f>
        <v>CAP_1uF_X5R_0603_25V</v>
      </c>
      <c r="C13" t="str" s="16" cm="1">
        <f t="array" ref="C13">$F13&amp;IF($G13="LED"," LED","")&amp;IF($V13="",""," ")&amp;$V13&amp;IF($L13="",""," ")&amp;$L13&amp;IF($W13="",""," ")&amp;$W13&amp;IF($X13="",""," ")&amp;$X13&amp;IF($Y13="",""," ")&amp;$Y13&amp;IF($AB13="",""," ")&amp;$AB13&amp;IF($AB13="","","mcd")</f>
        <v>1uF 10% X5R 25V</v>
      </c>
      <c r="D13" t="str" s="16" cm="1">
        <f t="array" ref="D13">$F13&amp;" "&amp;G13&amp;IF($V13="",""," ")&amp;$V13&amp;IF($L13="",""," ")&amp;$L13&amp;IF($W13="",""," ")&amp;$W13&amp;IF($X13="",""," ")&amp;$X13&amp;IF($Y13="",""," ")&amp;$Y13&amp;IF($AB13="",""," ")&amp;$AB13&amp;IF($AB13="","","mcd")</f>
        <v>1uF CAP 10% X5R 25V</v>
      </c>
      <c r="E13" t="str" s="15" cm="1">
        <f t="array" ref="E13">IF(ISBLANK(M13),"",HYPERLINK("https://jlcpcb.com/partdetail/"&amp;$M13,$M13))</f>
        <v>C2169859</v>
      </c>
      <c r="F13" t="str" s="15" cm="1">
        <f t="array" ref="F13">P13</f>
        <v>1uF</v>
      </c>
      <c r="G13" t="s" s="17">
        <v>43</v>
      </c>
      <c r="H13" s="17"/>
      <c r="I13" s="17"/>
      <c r="J13" s="17"/>
      <c r="K13" t="s" s="17">
        <v>10</v>
      </c>
      <c r="L13" t="s" s="17">
        <v>71</v>
      </c>
      <c r="M13" t="s" s="17">
        <v>147</v>
      </c>
      <c r="N13" t="s" s="18">
        <v>148</v>
      </c>
      <c r="O13" s="17"/>
      <c r="P13" t="s" s="17">
        <v>140</v>
      </c>
      <c r="Q13" s="17"/>
      <c r="R13" t="s" s="17">
        <v>48</v>
      </c>
      <c r="S13" s="17"/>
      <c r="T13" s="17"/>
      <c r="U13" s="17"/>
      <c r="V13" t="s" s="17">
        <v>49</v>
      </c>
      <c r="W13" t="s" s="17">
        <v>63</v>
      </c>
      <c r="X13" s="17"/>
      <c r="Y13" s="17"/>
      <c r="Z13" s="17"/>
      <c r="AA13" s="17"/>
      <c r="AB13" s="17"/>
      <c r="AC13" s="17"/>
      <c r="AD13" s="19"/>
      <c r="AE13" s="19"/>
      <c r="AF13" s="20">
        <v>1</v>
      </c>
      <c r="AG13" t="s" s="17">
        <v>64</v>
      </c>
      <c r="AH13" t="s" s="21">
        <v>149</v>
      </c>
      <c r="AI13" t="s" s="17">
        <v>150</v>
      </c>
      <c r="AJ13" t="s" s="22">
        <v>54</v>
      </c>
      <c r="AK13" t="s" s="23">
        <v>55</v>
      </c>
      <c r="AL13" t="s" s="17">
        <v>151</v>
      </c>
    </row>
    <row r="14" ht="19.5" customHeight="1">
      <c r="B14" t="str" s="15" cm="1">
        <f t="array" ref="B14">G14&amp;"_"&amp;F14&amp;"_"&amp;L14&amp;"_"&amp;R14</f>
        <v>CAP_220uF_Electrolytic_8x10</v>
      </c>
      <c r="C14" t="str" s="16" cm="1">
        <f t="array" ref="C14">$F14&amp;IF($G14="LED"," LED","")&amp;IF($V14="",""," ")&amp;$V14&amp;IF($L14="",""," ")&amp;$L14&amp;IF($W14="",""," ")&amp;$W14&amp;IF($X14="",""," ")&amp;$X14&amp;IF($Y14="",""," ")&amp;$Y14&amp;IF($AB14="",""," ")&amp;$AB14&amp;IF($AB14="","","mcd")</f>
        <v>220uF 20% Electrolytic 35V</v>
      </c>
      <c r="D14" t="str" s="16" cm="1">
        <f t="array" ref="D14">$F14&amp;" "&amp;G14&amp;IF($V14="",""," ")&amp;$V14&amp;IF($L14="",""," ")&amp;$L14&amp;IF($W14="",""," ")&amp;$W14&amp;IF($X14="",""," ")&amp;$X14&amp;IF($Y14="",""," ")&amp;$Y14&amp;IF($AB14="",""," ")&amp;$AB14&amp;IF($AB14="","","mcd")</f>
        <v>220uF CAP 20% Electrolytic 35V</v>
      </c>
      <c r="E14" t="str" s="15" cm="1">
        <f t="array" ref="E14">IF(ISBLANK(M14),"",HYPERLINK("https://jlcpcb.com/partdetail/"&amp;$M14,$M14))</f>
        <v>C136294</v>
      </c>
      <c r="F14" t="str" s="15" cm="1">
        <f t="array" ref="F14">P14</f>
        <v>220uF</v>
      </c>
      <c r="G14" t="s" s="17">
        <v>43</v>
      </c>
      <c r="H14" s="17"/>
      <c r="I14" s="17"/>
      <c r="J14" s="17"/>
      <c r="K14" t="s" s="17">
        <v>10</v>
      </c>
      <c r="L14" t="s" s="17">
        <v>99</v>
      </c>
      <c r="M14" t="s" s="17">
        <v>157</v>
      </c>
      <c r="N14" t="s" s="18">
        <v>158</v>
      </c>
      <c r="O14" s="17"/>
      <c r="P14" t="s" s="17">
        <v>159</v>
      </c>
      <c r="Q14" s="17"/>
      <c r="R14" t="s" s="17">
        <v>160</v>
      </c>
      <c r="S14" s="17"/>
      <c r="T14" s="17"/>
      <c r="U14" s="17"/>
      <c r="V14" t="s" s="17">
        <v>104</v>
      </c>
      <c r="W14" t="s" s="17">
        <v>161</v>
      </c>
      <c r="X14" s="17"/>
      <c r="Y14" s="17"/>
      <c r="Z14" s="17"/>
      <c r="AA14" s="17"/>
      <c r="AB14" s="17"/>
      <c r="AC14" s="17"/>
      <c r="AD14" s="19"/>
      <c r="AE14" s="19"/>
      <c r="AF14" s="20">
        <v>1</v>
      </c>
      <c r="AG14" t="s" s="17">
        <v>51</v>
      </c>
      <c r="AH14" t="s" s="21">
        <v>162</v>
      </c>
      <c r="AI14" t="s" s="17">
        <v>163</v>
      </c>
      <c r="AJ14" t="s" s="22">
        <v>108</v>
      </c>
      <c r="AK14" t="s" s="23">
        <v>164</v>
      </c>
      <c r="AL14" t="s" s="17">
        <v>165</v>
      </c>
    </row>
    <row r="15" ht="18.9" customHeight="1">
      <c r="B15" t="str" s="15" cm="1">
        <f t="array" ref="B15">G15&amp;"_"&amp;F15</f>
        <v>CON_1x02-0.100</v>
      </c>
      <c r="C15" t="str" s="16" cm="1">
        <f t="array" ref="C15">$F15&amp;IF($G15="LED"," LED","")&amp;IF($V15="",""," ")&amp;$V15&amp;IF($L15="",""," ")&amp;$L15&amp;IF($W15="",""," ")&amp;$W15&amp;IF($X15="",""," ")&amp;$X15&amp;IF($Y15="",""," ")&amp;$Y15&amp;IF($AB15="",""," ")&amp;$AB15&amp;IF($AB15="","","mcd")</f>
        <v>1x02-0.100 Male Header</v>
      </c>
      <c r="D15" t="str" s="16" cm="1">
        <f t="array" ref="D15">$F15&amp;" "&amp;G15&amp;IF($V15="",""," ")&amp;$V15&amp;IF($L15="",""," ")&amp;$L15&amp;IF($W15="",""," ")&amp;$W15&amp;IF($X15="",""," ")&amp;$X15&amp;IF($Y15="",""," ")&amp;$Y15&amp;IF($AB15="",""," ")&amp;$AB15&amp;IF($AB15="","","mcd")</f>
        <v>1x02-0.100 CON Male Header</v>
      </c>
      <c r="E15" t="str" s="15" cm="1">
        <f t="array" ref="E15">IF(ISBLANK(M15),"",HYPERLINK("https://jlcpcb.com/partdetail/"&amp;$M15,$M15))</f>
      </c>
      <c r="F15" t="str" s="15" cm="1">
        <f t="array" ref="F15">H15</f>
        <v>1x02-0.100</v>
      </c>
      <c r="G15" t="s" s="17">
        <v>170</v>
      </c>
      <c r="H15" t="s" s="17">
        <v>171</v>
      </c>
      <c r="I15" s="19"/>
      <c r="J15" s="19"/>
      <c r="K15" t="s" s="18">
        <v>114</v>
      </c>
      <c r="L15" t="s" s="17">
        <v>172</v>
      </c>
      <c r="M15" s="28"/>
      <c r="N15" t="s" s="18">
        <v>173</v>
      </c>
      <c r="O15" s="17"/>
      <c r="P15" s="17"/>
      <c r="Q15" s="17"/>
      <c r="R15" s="17"/>
      <c r="S15" s="17"/>
      <c r="T15" t="s" s="17">
        <v>174</v>
      </c>
      <c r="U15" t="s" s="17">
        <v>175</v>
      </c>
      <c r="V15" s="17"/>
      <c r="W15" s="17"/>
      <c r="X15" s="17"/>
      <c r="Y15" s="17"/>
      <c r="Z15" s="17"/>
      <c r="AA15" s="17"/>
      <c r="AB15" s="17"/>
      <c r="AC15" s="17"/>
      <c r="AD15" s="19"/>
      <c r="AE15" s="19"/>
      <c r="AF15" s="29">
        <v>10</v>
      </c>
      <c r="AG15" t="s" s="17">
        <v>51</v>
      </c>
      <c r="AH15" s="26"/>
      <c r="AI15" s="19"/>
      <c r="AJ15" t="s" s="22">
        <v>176</v>
      </c>
      <c r="AK15" t="s" s="23">
        <v>177</v>
      </c>
      <c r="AL15" s="19"/>
    </row>
    <row r="16" ht="18.9" customHeight="1">
      <c r="B16" t="str" s="15" cm="1">
        <f t="array" ref="B16">G16&amp;"_"&amp;F16</f>
        <v>CON_1x02-0.100-screw</v>
      </c>
      <c r="C16" t="str" s="16" cm="1">
        <f t="array" ref="C16">$F16&amp;IF($G16="LED"," LED","")&amp;IF($V16="",""," ")&amp;$V16&amp;IF($L16="",""," ")&amp;$L16&amp;IF($W16="",""," ")&amp;$W16&amp;IF($X16="",""," ")&amp;$X16&amp;IF($Y16="",""," ")&amp;$Y16&amp;IF($AB16="",""," ")&amp;$AB16&amp;IF($AB16="","","mcd")</f>
        <v>1x02-0.100-screw</v>
      </c>
      <c r="D16" t="str" s="16" cm="1">
        <f t="array" ref="D16">$F16&amp;" "&amp;G16&amp;IF($V16="",""," ")&amp;$V16&amp;IF($L16="",""," ")&amp;$L16&amp;IF($W16="",""," ")&amp;$W16&amp;IF($X16="",""," ")&amp;$X16&amp;IF($Y16="",""," ")&amp;$Y16&amp;IF($AB16="",""," ")&amp;$AB16&amp;IF($AB16="","","mcd")</f>
        <v>1x02-0.100-screw CON</v>
      </c>
      <c r="E16" t="str" s="15" cm="1">
        <f t="array" ref="E16">IF(ISBLANK(M16),"",HYPERLINK("https://jlcpcb.com/partdetail/"&amp;$M16,$M16))</f>
        <v>C3029316</v>
      </c>
      <c r="F16" t="str" s="15" cm="1">
        <f t="array" ref="F16">H16</f>
        <v>1x02-0.100-screw</v>
      </c>
      <c r="G16" t="s" s="17">
        <v>170</v>
      </c>
      <c r="H16" t="s" s="17">
        <v>182</v>
      </c>
      <c r="I16" s="19"/>
      <c r="J16" s="19"/>
      <c r="K16" t="s" s="18">
        <v>114</v>
      </c>
      <c r="L16" s="17"/>
      <c r="M16" t="s" s="18">
        <v>183</v>
      </c>
      <c r="N16" t="s" s="18">
        <v>184</v>
      </c>
      <c r="O16" s="17"/>
      <c r="P16" s="17"/>
      <c r="Q16" s="17"/>
      <c r="R16" s="17"/>
      <c r="S16" s="17"/>
      <c r="T16" t="s" s="17">
        <v>174</v>
      </c>
      <c r="U16" t="s" s="17">
        <v>175</v>
      </c>
      <c r="V16" s="17"/>
      <c r="W16" s="17"/>
      <c r="X16" s="17"/>
      <c r="Y16" s="17"/>
      <c r="Z16" s="17"/>
      <c r="AA16" s="17"/>
      <c r="AB16" s="17"/>
      <c r="AC16" s="17"/>
      <c r="AD16" s="19"/>
      <c r="AE16" s="19"/>
      <c r="AF16" s="30"/>
      <c r="AG16" s="19"/>
      <c r="AH16" s="26"/>
      <c r="AI16" s="19"/>
      <c r="AJ16" t="s" s="22">
        <v>176</v>
      </c>
      <c r="AK16" t="s" s="23">
        <v>177</v>
      </c>
      <c r="AL16" s="19"/>
    </row>
    <row r="17" ht="18.9" customHeight="1">
      <c r="B17" t="str" s="15" cm="1">
        <f t="array" ref="B17">G17&amp;"_"&amp;F17</f>
        <v>CON_1x02-0.100-socket</v>
      </c>
      <c r="C17" t="str" s="16" cm="1">
        <f t="array" ref="C17">$F17&amp;IF($G17="LED"," LED","")&amp;IF($V17="",""," ")&amp;$V17&amp;IF($L17="",""," ")&amp;$L17&amp;IF($W17="",""," ")&amp;$W17&amp;IF($X17="",""," ")&amp;$X17&amp;IF($Y17="",""," ")&amp;$Y17&amp;IF($AB17="",""," ")&amp;$AB17&amp;IF($AB17="","","mcd")</f>
        <v>1x02-0.100-socket Female Header 3A</v>
      </c>
      <c r="D17" t="str" s="16" cm="1">
        <f t="array" ref="D17">$F17&amp;" "&amp;G17&amp;IF($V17="",""," ")&amp;$V17&amp;IF($L17="",""," ")&amp;$L17&amp;IF($W17="",""," ")&amp;$W17&amp;IF($X17="",""," ")&amp;$X17&amp;IF($Y17="",""," ")&amp;$Y17&amp;IF($AB17="",""," ")&amp;$AB17&amp;IF($AB17="","","mcd")</f>
        <v>1x02-0.100-socket CON Female Header 3A</v>
      </c>
      <c r="E17" t="str" s="15" cm="1">
        <f t="array" ref="E17">IF(ISBLANK(M17),"",HYPERLINK("https://jlcpcb.com/partdetail/"&amp;$M17,$M17))</f>
        <v>C429966</v>
      </c>
      <c r="F17" t="str" s="15" cm="1">
        <f t="array" ref="F17">H17</f>
        <v>1x02-0.100-socket</v>
      </c>
      <c r="G17" t="s" s="17">
        <v>170</v>
      </c>
      <c r="H17" t="s" s="17">
        <v>190</v>
      </c>
      <c r="I17" s="19"/>
      <c r="J17" s="19"/>
      <c r="K17" t="s" s="18">
        <v>114</v>
      </c>
      <c r="L17" t="s" s="17">
        <v>191</v>
      </c>
      <c r="M17" t="s" s="18">
        <v>192</v>
      </c>
      <c r="N17" t="s" s="18">
        <v>193</v>
      </c>
      <c r="O17" s="17"/>
      <c r="P17" s="17"/>
      <c r="Q17" s="17"/>
      <c r="R17" s="17"/>
      <c r="S17" t="s" s="17">
        <v>194</v>
      </c>
      <c r="T17" t="s" s="17">
        <v>174</v>
      </c>
      <c r="U17" t="s" s="17">
        <v>175</v>
      </c>
      <c r="V17" s="17"/>
      <c r="W17" s="17"/>
      <c r="X17" t="s" s="17">
        <v>195</v>
      </c>
      <c r="Y17" s="17"/>
      <c r="Z17" s="17"/>
      <c r="AA17" s="17"/>
      <c r="AB17" s="17"/>
      <c r="AC17" s="17"/>
      <c r="AD17" s="19"/>
      <c r="AE17" s="19"/>
      <c r="AF17" s="30"/>
      <c r="AG17" s="19"/>
      <c r="AH17" t="s" s="21">
        <v>196</v>
      </c>
      <c r="AI17" t="s" s="24">
        <v>197</v>
      </c>
      <c r="AJ17" t="s" s="22">
        <v>176</v>
      </c>
      <c r="AK17" t="s" s="23">
        <v>177</v>
      </c>
      <c r="AL17" s="19"/>
    </row>
    <row r="18" ht="18.9" customHeight="1">
      <c r="B18" t="str" s="15" cm="1">
        <f t="array" ref="B18">G18&amp;"_"&amp;F18</f>
        <v>CON_1x02-0.200-block</v>
      </c>
      <c r="C18" t="str" s="16" cm="1">
        <f t="array" ref="C18">$F18&amp;IF($G18="LED"," LED","")&amp;IF($V18="",""," ")&amp;$V18&amp;IF($L18="",""," ")&amp;$L18&amp;IF($W18="",""," ")&amp;$W18&amp;IF($X18="",""," ")&amp;$X18&amp;IF($Y18="",""," ")&amp;$Y18&amp;IF($AB18="",""," ")&amp;$AB18&amp;IF($AB18="","","mcd")</f>
        <v>1x02-0.200-block Push-Pull 300V 15A</v>
      </c>
      <c r="D18" t="str" s="16" cm="1">
        <f t="array" ref="D18">$F18&amp;" "&amp;G18&amp;IF($V18="",""," ")&amp;$V18&amp;IF($L18="",""," ")&amp;$L18&amp;IF($W18="",""," ")&amp;$W18&amp;IF($X18="",""," ")&amp;$X18&amp;IF($Y18="",""," ")&amp;$Y18&amp;IF($AB18="",""," ")&amp;$AB18&amp;IF($AB18="","","mcd")</f>
        <v>1x02-0.200-block CON Push-Pull 300V 15A</v>
      </c>
      <c r="E18" t="str" s="15" cm="1">
        <f t="array" ref="E18">IF(ISBLANK(M18),"",HYPERLINK("https://jlcpcb.com/partdetail/"&amp;$M18,$M18))</f>
        <v>C42378069</v>
      </c>
      <c r="F18" t="str" s="15" cm="1">
        <f t="array" ref="F18">H18</f>
        <v>1x02-0.200-block</v>
      </c>
      <c r="G18" t="s" s="17">
        <v>170</v>
      </c>
      <c r="H18" t="s" s="17">
        <v>203</v>
      </c>
      <c r="I18" s="19"/>
      <c r="J18" t="s" s="17">
        <v>204</v>
      </c>
      <c r="K18" t="s" s="18">
        <v>114</v>
      </c>
      <c r="L18" t="s" s="17">
        <v>205</v>
      </c>
      <c r="M18" t="s" s="18">
        <v>206</v>
      </c>
      <c r="N18" t="s" s="18">
        <v>207</v>
      </c>
      <c r="O18" s="17"/>
      <c r="P18" s="17"/>
      <c r="Q18" s="17"/>
      <c r="R18" s="17"/>
      <c r="S18" s="17"/>
      <c r="T18" t="s" s="17">
        <v>174</v>
      </c>
      <c r="U18" t="s" s="18">
        <v>208</v>
      </c>
      <c r="V18" s="17"/>
      <c r="W18" t="s" s="17">
        <v>209</v>
      </c>
      <c r="X18" t="s" s="18">
        <v>210</v>
      </c>
      <c r="Y18" s="17"/>
      <c r="Z18" s="17"/>
      <c r="AA18" s="17"/>
      <c r="AB18" s="17"/>
      <c r="AC18" s="17"/>
      <c r="AD18" s="19"/>
      <c r="AE18" s="19"/>
      <c r="AF18" s="30"/>
      <c r="AG18" s="19"/>
      <c r="AH18" t="s" s="21">
        <v>211</v>
      </c>
      <c r="AI18" t="s" s="24">
        <v>212</v>
      </c>
      <c r="AJ18" t="s" s="22">
        <v>176</v>
      </c>
      <c r="AK18" t="s" s="23">
        <v>213</v>
      </c>
      <c r="AL18" s="19"/>
    </row>
    <row r="19" ht="18.9" customHeight="1">
      <c r="B19" t="str" s="15" cm="1">
        <f t="array" ref="B19">G19&amp;"_"&amp;F19</f>
        <v>CON_1x03-0.100</v>
      </c>
      <c r="C19" t="str" s="16" cm="1">
        <f t="array" ref="C19">$F19&amp;IF($G19="LED"," LED","")&amp;IF($V19="",""," ")&amp;$V19&amp;IF($L19="",""," ")&amp;$L19&amp;IF($W19="",""," ")&amp;$W19&amp;IF($X19="",""," ")&amp;$X19&amp;IF($Y19="",""," ")&amp;$Y19&amp;IF($AB19="",""," ")&amp;$AB19&amp;IF($AB19="","","mcd")</f>
        <v>1x03-0.100 Male Header</v>
      </c>
      <c r="D19" t="str" s="16" cm="1">
        <f t="array" ref="D19">$F19&amp;" "&amp;G19&amp;IF($V19="",""," ")&amp;$V19&amp;IF($L19="",""," ")&amp;$L19&amp;IF($W19="",""," ")&amp;$W19&amp;IF($X19="",""," ")&amp;$X19&amp;IF($Y19="",""," ")&amp;$Y19&amp;IF($AB19="",""," ")&amp;$AB19&amp;IF($AB19="","","mcd")</f>
        <v>1x03-0.100 CON Male Header</v>
      </c>
      <c r="E19" t="str" s="15" cm="1">
        <f t="array" ref="E19">IF(ISBLANK(M19),"",HYPERLINK("https://jlcpcb.com/partdetail/"&amp;$M19,$M19))</f>
      </c>
      <c r="F19" t="str" s="15" cm="1">
        <f t="array" ref="F19">H19</f>
        <v>1x03-0.100</v>
      </c>
      <c r="G19" t="s" s="17">
        <v>170</v>
      </c>
      <c r="H19" t="s" s="17">
        <v>218</v>
      </c>
      <c r="I19" s="19"/>
      <c r="J19" s="19"/>
      <c r="K19" t="s" s="18">
        <v>114</v>
      </c>
      <c r="L19" t="s" s="17">
        <v>172</v>
      </c>
      <c r="M19" s="28"/>
      <c r="N19" t="s" s="18">
        <v>219</v>
      </c>
      <c r="O19" s="17"/>
      <c r="P19" s="17"/>
      <c r="Q19" s="17"/>
      <c r="R19" s="17"/>
      <c r="S19" s="17"/>
      <c r="T19" t="s" s="17">
        <v>220</v>
      </c>
      <c r="U19" t="s" s="17">
        <v>175</v>
      </c>
      <c r="V19" s="17"/>
      <c r="W19" s="17"/>
      <c r="X19" s="17"/>
      <c r="Y19" s="17"/>
      <c r="Z19" s="17"/>
      <c r="AA19" s="17"/>
      <c r="AB19" s="17"/>
      <c r="AC19" s="17"/>
      <c r="AD19" s="19"/>
      <c r="AE19" s="19"/>
      <c r="AF19" s="29">
        <v>10</v>
      </c>
      <c r="AG19" t="s" s="17">
        <v>51</v>
      </c>
      <c r="AH19" s="26"/>
      <c r="AI19" s="19"/>
      <c r="AJ19" t="s" s="22">
        <v>221</v>
      </c>
      <c r="AK19" t="s" s="23">
        <v>222</v>
      </c>
      <c r="AL19" s="19"/>
    </row>
    <row r="20" ht="18.9" customHeight="1">
      <c r="B20" t="str" s="15" cm="1">
        <f t="array" ref="B20">G20&amp;"_"&amp;F20</f>
        <v>CON_1x04-0.100</v>
      </c>
      <c r="C20" t="str" s="16" cm="1">
        <f t="array" ref="C20">$F20&amp;IF($G20="LED"," LED","")&amp;IF($V20="",""," ")&amp;$V20&amp;IF($L20="",""," ")&amp;$L20&amp;IF($W20="",""," ")&amp;$W20&amp;IF($X20="",""," ")&amp;$X20&amp;IF($Y20="",""," ")&amp;$Y20&amp;IF($AB20="",""," ")&amp;$AB20&amp;IF($AB20="","","mcd")</f>
        <v>1x04-0.100 Male Header</v>
      </c>
      <c r="D20" t="str" s="16" cm="1">
        <f t="array" ref="D20">$F20&amp;" "&amp;G20&amp;IF($V20="",""," ")&amp;$V20&amp;IF($L20="",""," ")&amp;$L20&amp;IF($W20="",""," ")&amp;$W20&amp;IF($X20="",""," ")&amp;$X20&amp;IF($Y20="",""," ")&amp;$Y20&amp;IF($AB20="",""," ")&amp;$AB20&amp;IF($AB20="","","mcd")</f>
        <v>1x04-0.100 CON Male Header</v>
      </c>
      <c r="E20" t="str" s="15" cm="1">
        <f t="array" ref="E20">IF(ISBLANK(M20),"",HYPERLINK("https://jlcpcb.com/partdetail/"&amp;$M20,$M20))</f>
        <v>C2691448</v>
      </c>
      <c r="F20" t="str" s="15" cm="1">
        <f t="array" ref="F20">H20</f>
        <v>1x04-0.100</v>
      </c>
      <c r="G20" t="s" s="17">
        <v>170</v>
      </c>
      <c r="H20" t="s" s="17">
        <v>228</v>
      </c>
      <c r="I20" s="19"/>
      <c r="J20" s="19"/>
      <c r="K20" t="s" s="18">
        <v>114</v>
      </c>
      <c r="L20" t="s" s="17">
        <v>172</v>
      </c>
      <c r="M20" t="s" s="18">
        <v>229</v>
      </c>
      <c r="N20" t="s" s="18">
        <v>230</v>
      </c>
      <c r="O20" s="17"/>
      <c r="P20" s="17"/>
      <c r="Q20" s="17"/>
      <c r="R20" s="17"/>
      <c r="S20" s="17"/>
      <c r="T20" t="s" s="17">
        <v>231</v>
      </c>
      <c r="U20" t="s" s="17">
        <v>175</v>
      </c>
      <c r="V20" s="17"/>
      <c r="W20" s="17"/>
      <c r="X20" s="17"/>
      <c r="Y20" s="17"/>
      <c r="Z20" s="17"/>
      <c r="AA20" s="17"/>
      <c r="AB20" s="17"/>
      <c r="AC20" s="17"/>
      <c r="AD20" s="19"/>
      <c r="AE20" s="19"/>
      <c r="AF20" s="29">
        <v>10</v>
      </c>
      <c r="AG20" t="s" s="17">
        <v>51</v>
      </c>
      <c r="AH20" t="s" s="21">
        <v>232</v>
      </c>
      <c r="AI20" t="s" s="17">
        <v>233</v>
      </c>
      <c r="AJ20" t="s" s="22">
        <v>234</v>
      </c>
      <c r="AK20" t="s" s="23">
        <v>235</v>
      </c>
      <c r="AL20" s="19"/>
    </row>
    <row r="21" ht="18.9" customHeight="1">
      <c r="B21" t="str" s="15" cm="1">
        <f t="array" ref="B21">G21&amp;"_"&amp;F21</f>
        <v>CON_1x04-0.100-RA</v>
      </c>
      <c r="C21" t="str" s="16" cm="1">
        <f t="array" ref="C21">$F21&amp;IF($G21="LED"," LED","")&amp;IF($V21="",""," ")&amp;$V21&amp;IF($L21="",""," ")&amp;$L21&amp;IF($W21="",""," ")&amp;$W21&amp;IF($X21="",""," ")&amp;$X21&amp;IF($Y21="",""," ")&amp;$Y21&amp;IF($AB21="",""," ")&amp;$AB21&amp;IF($AB21="","","mcd")</f>
        <v>1x04-0.100-RA Male Header</v>
      </c>
      <c r="D21" t="str" s="16" cm="1">
        <f t="array" ref="D21">$F21&amp;" "&amp;G21&amp;IF($V21="",""," ")&amp;$V21&amp;IF($L21="",""," ")&amp;$L21&amp;IF($W21="",""," ")&amp;$W21&amp;IF($X21="",""," ")&amp;$X21&amp;IF($Y21="",""," ")&amp;$Y21&amp;IF($AB21="",""," ")&amp;$AB21&amp;IF($AB21="","","mcd")</f>
        <v>1x04-0.100-RA CON Male Header</v>
      </c>
      <c r="E21" t="str" s="15" cm="1">
        <f t="array" ref="E21">IF(ISBLANK(M21),"",HYPERLINK("https://jlcpcb.com/partdetail/"&amp;$M21,$M21))</f>
        <v>C18214184</v>
      </c>
      <c r="F21" t="str" s="15" cm="1">
        <f t="array" ref="F21">H21</f>
        <v>1x04-0.100-RA</v>
      </c>
      <c r="G21" t="s" s="17">
        <v>170</v>
      </c>
      <c r="H21" t="s" s="17">
        <v>241</v>
      </c>
      <c r="I21" s="19"/>
      <c r="J21" s="19"/>
      <c r="K21" t="s" s="18">
        <v>114</v>
      </c>
      <c r="L21" t="s" s="17">
        <v>172</v>
      </c>
      <c r="M21" t="s" s="18">
        <v>242</v>
      </c>
      <c r="N21" t="s" s="18">
        <v>243</v>
      </c>
      <c r="O21" s="17"/>
      <c r="P21" s="17"/>
      <c r="Q21" s="17"/>
      <c r="R21" s="17"/>
      <c r="S21" s="17"/>
      <c r="T21" t="s" s="17">
        <v>231</v>
      </c>
      <c r="U21" t="s" s="17">
        <v>175</v>
      </c>
      <c r="V21" s="17"/>
      <c r="W21" s="17"/>
      <c r="X21" s="17"/>
      <c r="Y21" s="17"/>
      <c r="Z21" s="17"/>
      <c r="AA21" s="17"/>
      <c r="AB21" s="17"/>
      <c r="AC21" s="17"/>
      <c r="AD21" s="19"/>
      <c r="AE21" s="19"/>
      <c r="AF21" s="30"/>
      <c r="AG21" t="s" s="17">
        <v>51</v>
      </c>
      <c r="AH21" t="s" s="21">
        <v>244</v>
      </c>
      <c r="AI21" t="s" s="17">
        <v>245</v>
      </c>
      <c r="AJ21" t="s" s="22">
        <v>234</v>
      </c>
      <c r="AK21" t="s" s="23">
        <v>235</v>
      </c>
      <c r="AL21" s="19"/>
    </row>
    <row r="22" ht="18.9" customHeight="1">
      <c r="B22" t="str" s="15" cm="1">
        <f t="array" ref="B22">G22&amp;"_"&amp;F22</f>
        <v>CON_1x04-0.100-screw</v>
      </c>
      <c r="C22" t="str" s="16" cm="1">
        <f t="array" ref="C22">$F22&amp;IF($G22="LED"," LED","")&amp;IF($V22="",""," ")&amp;$V22&amp;IF($L22="",""," ")&amp;$L22&amp;IF($W22="",""," ")&amp;$W22&amp;IF($X22="",""," ")&amp;$X22&amp;IF($Y22="",""," ")&amp;$Y22&amp;IF($AB22="",""," ")&amp;$AB22&amp;IF($AB22="","","mcd")</f>
        <v>1x04-0.100-screw Screw Header</v>
      </c>
      <c r="D22" t="str" s="16" cm="1">
        <f t="array" ref="D22">$F22&amp;" "&amp;G22&amp;IF($V22="",""," ")&amp;$V22&amp;IF($L22="",""," ")&amp;$L22&amp;IF($W22="",""," ")&amp;$W22&amp;IF($X22="",""," ")&amp;$X22&amp;IF($Y22="",""," ")&amp;$Y22&amp;IF($AB22="",""," ")&amp;$AB22&amp;IF($AB22="","","mcd")</f>
        <v>1x04-0.100-screw CON Screw Header</v>
      </c>
      <c r="E22" t="str" s="15" cm="1">
        <f t="array" ref="E22">IF(ISBLANK(M22),"",HYPERLINK("https://jlcpcb.com/partdetail/"&amp;$M22,$M22))</f>
        <v>C3816889</v>
      </c>
      <c r="F22" t="str" s="15" cm="1">
        <f t="array" ref="F22">H22</f>
        <v>1x04-0.100-screw</v>
      </c>
      <c r="G22" t="s" s="17">
        <v>170</v>
      </c>
      <c r="H22" t="s" s="17">
        <v>251</v>
      </c>
      <c r="I22" s="19"/>
      <c r="J22" s="19"/>
      <c r="K22" t="s" s="18">
        <v>114</v>
      </c>
      <c r="L22" t="s" s="17">
        <v>252</v>
      </c>
      <c r="M22" t="s" s="18">
        <v>253</v>
      </c>
      <c r="N22" t="s" s="18">
        <v>254</v>
      </c>
      <c r="O22" s="17"/>
      <c r="P22" s="17"/>
      <c r="Q22" s="17"/>
      <c r="R22" s="17"/>
      <c r="S22" s="17"/>
      <c r="T22" t="s" s="17">
        <v>231</v>
      </c>
      <c r="U22" t="s" s="17">
        <v>175</v>
      </c>
      <c r="V22" s="17"/>
      <c r="W22" s="17"/>
      <c r="X22" s="17"/>
      <c r="Y22" s="17"/>
      <c r="Z22" s="17"/>
      <c r="AA22" s="17"/>
      <c r="AB22" s="17"/>
      <c r="AC22" s="17"/>
      <c r="AD22" s="19"/>
      <c r="AE22" s="19"/>
      <c r="AF22" s="29">
        <v>10</v>
      </c>
      <c r="AG22" t="s" s="17">
        <v>51</v>
      </c>
      <c r="AH22" s="26"/>
      <c r="AI22" s="19"/>
      <c r="AJ22" t="s" s="22">
        <v>234</v>
      </c>
      <c r="AK22" t="s" s="23">
        <v>235</v>
      </c>
      <c r="AL22" s="19"/>
    </row>
    <row r="23" ht="18.9" customHeight="1">
      <c r="B23" t="str" s="15" cm="1">
        <f t="array" ref="B23">G23&amp;"_"&amp;F23</f>
        <v>CON_1x04-0.100-SSD1306</v>
      </c>
      <c r="C23" t="str" s="16" cm="1">
        <f t="array" ref="C23">$F23&amp;IF($G23="LED"," LED","")&amp;IF($V23="",""," ")&amp;$V23&amp;IF($L23="",""," ")&amp;$L23&amp;IF($W23="",""," ")&amp;$W23&amp;IF($X23="",""," ")&amp;$X23&amp;IF($Y23="",""," ")&amp;$Y23&amp;IF($AB23="",""," ")&amp;$AB23&amp;IF($AB23="","","mcd")</f>
        <v>1x04-0.100-SSD1306 Male Header</v>
      </c>
      <c r="D23" t="str" s="16" cm="1">
        <f t="array" ref="D23">$F23&amp;" "&amp;G23&amp;IF($V23="",""," ")&amp;$V23&amp;IF($L23="",""," ")&amp;$L23&amp;IF($W23="",""," ")&amp;$W23&amp;IF($X23="",""," ")&amp;$X23&amp;IF($Y23="",""," ")&amp;$Y23&amp;IF($AB23="",""," ")&amp;$AB23&amp;IF($AB23="","","mcd")</f>
        <v>1x04-0.100-SSD1306 CON Male Header</v>
      </c>
      <c r="E23" t="str" s="15" cm="1">
        <f t="array" ref="E23">IF(ISBLANK(M23),"",HYPERLINK("https://jlcpcb.com/partdetail/"&amp;$M23,$M23))</f>
      </c>
      <c r="F23" t="str" s="15" cm="1">
        <f t="array" ref="F23">H23</f>
        <v>1x04-0.100-SSD1306</v>
      </c>
      <c r="G23" t="s" s="17">
        <v>170</v>
      </c>
      <c r="H23" t="s" s="17">
        <v>259</v>
      </c>
      <c r="I23" s="19"/>
      <c r="J23" s="19"/>
      <c r="K23" t="s" s="18">
        <v>114</v>
      </c>
      <c r="L23" t="s" s="17">
        <v>172</v>
      </c>
      <c r="M23" s="28"/>
      <c r="N23" t="s" s="18">
        <v>260</v>
      </c>
      <c r="O23" s="17"/>
      <c r="P23" s="17"/>
      <c r="Q23" s="17"/>
      <c r="R23" s="17"/>
      <c r="S23" s="17"/>
      <c r="T23" t="s" s="17">
        <v>231</v>
      </c>
      <c r="U23" t="s" s="17">
        <v>175</v>
      </c>
      <c r="V23" s="17"/>
      <c r="W23" s="17"/>
      <c r="X23" s="17"/>
      <c r="Y23" s="17"/>
      <c r="Z23" s="17"/>
      <c r="AA23" s="17"/>
      <c r="AB23" s="17"/>
      <c r="AC23" s="17"/>
      <c r="AD23" s="19"/>
      <c r="AE23" s="19"/>
      <c r="AF23" s="29">
        <v>10</v>
      </c>
      <c r="AG23" t="s" s="17">
        <v>51</v>
      </c>
      <c r="AH23" s="26"/>
      <c r="AI23" s="19"/>
      <c r="AJ23" t="s" s="22">
        <v>261</v>
      </c>
      <c r="AK23" t="s" s="23">
        <v>262</v>
      </c>
      <c r="AL23" s="19"/>
    </row>
    <row r="24" ht="18.9" customHeight="1">
      <c r="B24" t="str" s="15" cm="1">
        <f t="array" ref="B24">G24&amp;"_"&amp;F24</f>
        <v>CON_1x04-0.200-block</v>
      </c>
      <c r="C24" t="str" s="16" cm="1">
        <f t="array" ref="C24">$F24&amp;IF($G24="LED"," LED","")&amp;IF($V24="",""," ")&amp;$V24&amp;IF($L24="",""," ")&amp;$L24&amp;IF($W24="",""," ")&amp;$W24&amp;IF($X24="",""," ")&amp;$X24&amp;IF($Y24="",""," ")&amp;$Y24&amp;IF($AB24="",""," ")&amp;$AB24&amp;IF($AB24="","","mcd")</f>
        <v>1x04-0.200-block Push-Pull 300V 15A</v>
      </c>
      <c r="D24" t="str" s="16" cm="1">
        <f t="array" ref="D24">$F24&amp;" "&amp;G24&amp;IF($V24="",""," ")&amp;$V24&amp;IF($L24="",""," ")&amp;$L24&amp;IF($W24="",""," ")&amp;$W24&amp;IF($X24="",""," ")&amp;$X24&amp;IF($Y24="",""," ")&amp;$Y24&amp;IF($AB24="",""," ")&amp;$AB24&amp;IF($AB24="","","mcd")</f>
        <v>1x04-0.200-block CON Push-Pull 300V 15A</v>
      </c>
      <c r="E24" t="str" s="15" cm="1">
        <f t="array" ref="E24">IF(ISBLANK(M24),"",HYPERLINK("https://jlcpcb.com/partdetail/"&amp;$M24,$M24))</f>
        <v>C42378071</v>
      </c>
      <c r="F24" t="str" s="15" cm="1">
        <f t="array" ref="F24">H24</f>
        <v>1x04-0.200-block</v>
      </c>
      <c r="G24" t="s" s="17">
        <v>170</v>
      </c>
      <c r="H24" t="s" s="17">
        <v>268</v>
      </c>
      <c r="I24" s="19"/>
      <c r="J24" t="s" s="17">
        <v>204</v>
      </c>
      <c r="K24" t="s" s="18">
        <v>114</v>
      </c>
      <c r="L24" t="s" s="17">
        <v>205</v>
      </c>
      <c r="M24" t="s" s="18">
        <v>269</v>
      </c>
      <c r="N24" t="s" s="18">
        <v>270</v>
      </c>
      <c r="O24" s="17"/>
      <c r="P24" s="17"/>
      <c r="Q24" s="17"/>
      <c r="R24" s="17"/>
      <c r="S24" s="17"/>
      <c r="T24" t="s" s="17">
        <v>231</v>
      </c>
      <c r="U24" t="s" s="18">
        <v>208</v>
      </c>
      <c r="V24" s="17"/>
      <c r="W24" t="s" s="17">
        <v>209</v>
      </c>
      <c r="X24" t="s" s="18">
        <v>210</v>
      </c>
      <c r="Y24" s="17"/>
      <c r="Z24" s="17"/>
      <c r="AA24" s="17"/>
      <c r="AB24" s="17"/>
      <c r="AC24" s="17"/>
      <c r="AD24" s="19"/>
      <c r="AE24" s="19"/>
      <c r="AF24" s="30"/>
      <c r="AG24" s="19"/>
      <c r="AH24" t="s" s="21">
        <v>211</v>
      </c>
      <c r="AI24" t="s" s="24">
        <v>271</v>
      </c>
      <c r="AJ24" t="s" s="22">
        <v>234</v>
      </c>
      <c r="AK24" t="s" s="23">
        <v>272</v>
      </c>
      <c r="AL24" s="19"/>
    </row>
    <row r="25" ht="18.9" customHeight="1">
      <c r="B25" t="str" s="15" cm="1">
        <f t="array" ref="B25">G25&amp;"_"&amp;F25</f>
        <v>CON_1x05-3.5-screw</v>
      </c>
      <c r="C25" t="str" s="16" cm="1">
        <f t="array" ref="C25">$F25&amp;IF($G25="LED"," LED","")&amp;IF($V25="",""," ")&amp;$V25&amp;IF($L25="",""," ")&amp;$L25&amp;IF($W25="",""," ")&amp;$W25&amp;IF($X25="",""," ")&amp;$X25&amp;IF($Y25="",""," ")&amp;$Y25&amp;IF($AB25="",""," ")&amp;$AB25&amp;IF($AB25="","","mcd")</f>
        <v>1x05-3.5-screw Screw Header</v>
      </c>
      <c r="D25" t="str" s="16" cm="1">
        <f t="array" ref="D25">$F25&amp;" "&amp;G25&amp;IF($V25="",""," ")&amp;$V25&amp;IF($L25="",""," ")&amp;$L25&amp;IF($W25="",""," ")&amp;$W25&amp;IF($X25="",""," ")&amp;$X25&amp;IF($Y25="",""," ")&amp;$Y25&amp;IF($AB25="",""," ")&amp;$AB25&amp;IF($AB25="","","mcd")</f>
        <v>1x05-3.5-screw CON Screw Header</v>
      </c>
      <c r="E25" t="str" s="15" cm="1">
        <f t="array" ref="E25">IF(ISBLANK(M25),"",HYPERLINK("https://jlcpcb.com/partdetail/"&amp;$M25,$M25))</f>
        <v>C3646874</v>
      </c>
      <c r="F25" t="str" s="15" cm="1">
        <f t="array" ref="F25">H25</f>
        <v>1x05-3.5-screw</v>
      </c>
      <c r="G25" t="s" s="17">
        <v>170</v>
      </c>
      <c r="H25" t="s" s="17">
        <v>278</v>
      </c>
      <c r="I25" s="19"/>
      <c r="J25" s="19"/>
      <c r="K25" t="s" s="18">
        <v>114</v>
      </c>
      <c r="L25" t="s" s="17">
        <v>252</v>
      </c>
      <c r="M25" t="s" s="18">
        <v>279</v>
      </c>
      <c r="N25" t="s" s="18">
        <v>280</v>
      </c>
      <c r="O25" s="17"/>
      <c r="P25" s="17"/>
      <c r="Q25" s="17"/>
      <c r="R25" s="17"/>
      <c r="S25" s="17"/>
      <c r="T25" t="s" s="17">
        <v>281</v>
      </c>
      <c r="U25" t="s" s="17">
        <v>282</v>
      </c>
      <c r="V25" s="17"/>
      <c r="W25" s="17"/>
      <c r="X25" s="17"/>
      <c r="Y25" s="17"/>
      <c r="Z25" s="17"/>
      <c r="AA25" s="17"/>
      <c r="AB25" s="17"/>
      <c r="AC25" s="17"/>
      <c r="AD25" s="19"/>
      <c r="AE25" s="19"/>
      <c r="AF25" s="30"/>
      <c r="AG25" s="19"/>
      <c r="AH25" s="26"/>
      <c r="AI25" s="19"/>
      <c r="AJ25" s="31"/>
      <c r="AK25" s="27"/>
      <c r="AL25" s="19"/>
    </row>
    <row r="26" ht="18.9" customHeight="1">
      <c r="B26" t="str" s="15" cm="1">
        <f t="array" ref="B26">G26&amp;"_"&amp;F26</f>
        <v>CON_1x06-0.100</v>
      </c>
      <c r="C26" t="str" s="16" cm="1">
        <f t="array" ref="C26">$F26&amp;IF($G26="LED"," LED","")&amp;IF($V26="",""," ")&amp;$V26&amp;IF($L26="",""," ")&amp;$L26&amp;IF($W26="",""," ")&amp;$W26&amp;IF($X26="",""," ")&amp;$X26&amp;IF($Y26="",""," ")&amp;$Y26&amp;IF($AB26="",""," ")&amp;$AB26&amp;IF($AB26="","","mcd")</f>
        <v>1x06-0.100 Male Header</v>
      </c>
      <c r="D26" t="str" s="16" cm="1">
        <f t="array" ref="D26">$F26&amp;" "&amp;G26&amp;IF($V26="",""," ")&amp;$V26&amp;IF($L26="",""," ")&amp;$L26&amp;IF($W26="",""," ")&amp;$W26&amp;IF($X26="",""," ")&amp;$X26&amp;IF($Y26="",""," ")&amp;$Y26&amp;IF($AB26="",""," ")&amp;$AB26&amp;IF($AB26="","","mcd")</f>
        <v>1x06-0.100 CON Male Header</v>
      </c>
      <c r="E26" t="str" s="15" cm="1">
        <f t="array" ref="E26">IF(ISBLANK(M26),"",HYPERLINK("https://jlcpcb.com/partdetail/"&amp;$M26,$M26))</f>
      </c>
      <c r="F26" t="str" s="15" cm="1">
        <f t="array" ref="F26">H26</f>
        <v>1x06-0.100</v>
      </c>
      <c r="G26" t="s" s="17">
        <v>170</v>
      </c>
      <c r="H26" t="s" s="17">
        <v>287</v>
      </c>
      <c r="I26" s="19"/>
      <c r="J26" s="19"/>
      <c r="K26" t="s" s="18">
        <v>114</v>
      </c>
      <c r="L26" t="s" s="17">
        <v>172</v>
      </c>
      <c r="M26" s="28"/>
      <c r="N26" t="s" s="18">
        <v>288</v>
      </c>
      <c r="O26" s="17"/>
      <c r="P26" s="17"/>
      <c r="Q26" s="17"/>
      <c r="R26" s="17"/>
      <c r="S26" s="17"/>
      <c r="T26" t="s" s="17">
        <v>289</v>
      </c>
      <c r="U26" t="s" s="17">
        <v>175</v>
      </c>
      <c r="V26" s="17"/>
      <c r="W26" s="17"/>
      <c r="X26" s="17"/>
      <c r="Y26" s="17"/>
      <c r="Z26" s="17"/>
      <c r="AA26" s="17"/>
      <c r="AB26" s="17"/>
      <c r="AC26" s="17"/>
      <c r="AD26" s="19"/>
      <c r="AE26" s="19"/>
      <c r="AF26" s="29">
        <v>10</v>
      </c>
      <c r="AG26" t="s" s="17">
        <v>51</v>
      </c>
      <c r="AH26" s="26"/>
      <c r="AI26" s="19"/>
      <c r="AJ26" t="s" s="22">
        <v>290</v>
      </c>
      <c r="AK26" t="s" s="23">
        <v>291</v>
      </c>
      <c r="AL26" s="19"/>
    </row>
    <row r="27" ht="18.9" customHeight="1">
      <c r="B27" t="str" s="15" cm="1">
        <f t="array" ref="B27">G27&amp;"_"&amp;F27</f>
        <v>CON_1x08-0.100-socket</v>
      </c>
      <c r="C27" t="str" s="16" cm="1">
        <f t="array" ref="C27">$F27&amp;IF($G27="LED"," LED","")&amp;IF($V27="",""," ")&amp;$V27&amp;IF($L27="",""," ")&amp;$L27&amp;IF($W27="",""," ")&amp;$W27&amp;IF($X27="",""," ")&amp;$X27&amp;IF($Y27="",""," ")&amp;$Y27&amp;IF($AB27="",""," ")&amp;$AB27&amp;IF($AB27="","","mcd")</f>
        <v>1x08-0.100-socket Female Header 3A</v>
      </c>
      <c r="D27" t="str" s="16" cm="1">
        <f t="array" ref="D27">$F27&amp;" "&amp;G27&amp;IF($V27="",""," ")&amp;$V27&amp;IF($L27="",""," ")&amp;$L27&amp;IF($W27="",""," ")&amp;$W27&amp;IF($X27="",""," ")&amp;$X27&amp;IF($Y27="",""," ")&amp;$Y27&amp;IF($AB27="",""," ")&amp;$AB27&amp;IF($AB27="","","mcd")</f>
        <v>1x08-0.100-socket CON Female Header 3A</v>
      </c>
      <c r="E27" t="str" s="15" cm="1">
        <f t="array" ref="E27">IF(ISBLANK(M27),"",HYPERLINK("https://jlcpcb.com/partdetail/"&amp;$M27,$M27))</f>
        <v>C27438</v>
      </c>
      <c r="F27" t="str" s="15" cm="1">
        <f t="array" ref="F27">H27</f>
        <v>1x08-0.100-socket</v>
      </c>
      <c r="G27" t="s" s="17">
        <v>170</v>
      </c>
      <c r="H27" t="s" s="17">
        <v>297</v>
      </c>
      <c r="I27" s="19"/>
      <c r="J27" s="19"/>
      <c r="K27" t="s" s="18">
        <v>114</v>
      </c>
      <c r="L27" t="s" s="17">
        <v>191</v>
      </c>
      <c r="M27" t="s" s="18">
        <v>298</v>
      </c>
      <c r="N27" t="s" s="18">
        <v>299</v>
      </c>
      <c r="O27" s="17"/>
      <c r="P27" s="17"/>
      <c r="Q27" s="17"/>
      <c r="R27" s="17"/>
      <c r="S27" t="s" s="17">
        <v>194</v>
      </c>
      <c r="T27" t="s" s="17">
        <v>300</v>
      </c>
      <c r="U27" t="s" s="17">
        <v>175</v>
      </c>
      <c r="V27" s="17"/>
      <c r="W27" s="17"/>
      <c r="X27" t="s" s="17">
        <v>195</v>
      </c>
      <c r="Y27" s="17"/>
      <c r="Z27" s="17"/>
      <c r="AA27" s="17"/>
      <c r="AB27" s="17"/>
      <c r="AC27" s="17"/>
      <c r="AD27" s="19"/>
      <c r="AE27" s="19"/>
      <c r="AF27" s="30"/>
      <c r="AG27" s="19"/>
      <c r="AH27" s="26"/>
      <c r="AI27" s="19"/>
      <c r="AJ27" s="31"/>
      <c r="AK27" s="27"/>
      <c r="AL27" s="19"/>
    </row>
    <row r="28" ht="18.9" customHeight="1">
      <c r="B28" t="str" s="15" cm="1">
        <f t="array" ref="B28">G28&amp;"_"&amp;F28</f>
        <v>CON_1x12-0.100-socket</v>
      </c>
      <c r="C28" t="str" s="16" cm="1">
        <f t="array" ref="C28">$F28&amp;IF($G28="LED"," LED","")&amp;IF($V28="",""," ")&amp;$V28&amp;IF($L28="",""," ")&amp;$L28&amp;IF($W28="",""," ")&amp;$W28&amp;IF($X28="",""," ")&amp;$X28&amp;IF($Y28="",""," ")&amp;$Y28&amp;IF($AB28="",""," ")&amp;$AB28&amp;IF($AB28="","","mcd")</f>
        <v>1x12-0.100-socket Female Header 3A</v>
      </c>
      <c r="D28" t="str" s="16" cm="1">
        <f t="array" ref="D28">$F28&amp;" "&amp;G28&amp;IF($V28="",""," ")&amp;$V28&amp;IF($L28="",""," ")&amp;$L28&amp;IF($W28="",""," ")&amp;$W28&amp;IF($X28="",""," ")&amp;$X28&amp;IF($Y28="",""," ")&amp;$Y28&amp;IF($AB28="",""," ")&amp;$AB28&amp;IF($AB28="","","mcd")</f>
        <v>1x12-0.100-socket CON Female Header 3A</v>
      </c>
      <c r="E28" t="str" s="15" cm="1">
        <f t="array" ref="E28">IF(ISBLANK(M28),"",HYPERLINK("https://jlcpcb.com/partdetail/"&amp;$M28,$M28))</f>
        <v>C2905419</v>
      </c>
      <c r="F28" t="str" s="15" cm="1">
        <f t="array" ref="F28">H28</f>
        <v>1x12-0.100-socket</v>
      </c>
      <c r="G28" t="s" s="17">
        <v>170</v>
      </c>
      <c r="H28" t="s" s="17">
        <v>306</v>
      </c>
      <c r="I28" s="19"/>
      <c r="J28" s="19"/>
      <c r="K28" t="s" s="18">
        <v>114</v>
      </c>
      <c r="L28" t="s" s="17">
        <v>191</v>
      </c>
      <c r="M28" t="s" s="18">
        <v>307</v>
      </c>
      <c r="N28" t="s" s="18">
        <v>308</v>
      </c>
      <c r="O28" s="17"/>
      <c r="P28" s="17"/>
      <c r="Q28" s="17"/>
      <c r="R28" s="17"/>
      <c r="S28" t="s" s="17">
        <v>194</v>
      </c>
      <c r="T28" t="s" s="17">
        <v>309</v>
      </c>
      <c r="U28" t="s" s="17">
        <v>175</v>
      </c>
      <c r="V28" s="17"/>
      <c r="W28" s="17"/>
      <c r="X28" t="s" s="17">
        <v>195</v>
      </c>
      <c r="Y28" s="17"/>
      <c r="Z28" s="17"/>
      <c r="AA28" s="17"/>
      <c r="AB28" s="17"/>
      <c r="AC28" s="17"/>
      <c r="AD28" s="19"/>
      <c r="AE28" s="19"/>
      <c r="AF28" s="30"/>
      <c r="AG28" s="19"/>
      <c r="AH28" s="26"/>
      <c r="AI28" s="19"/>
      <c r="AJ28" s="31"/>
      <c r="AK28" s="27"/>
      <c r="AL28" s="19"/>
    </row>
    <row r="29" ht="18.9" customHeight="1">
      <c r="B29" t="str" s="15" cm="1">
        <f t="array" ref="B29">G29&amp;"_"&amp;F29</f>
        <v>CON_DCJ0202</v>
      </c>
      <c r="C29" t="str" s="16" cm="1">
        <f t="array" ref="C29">$F29&amp;IF($G29="LED"," LED","")&amp;IF($V29="",""," ")&amp;$V29&amp;IF($L29="",""," ")&amp;$L29&amp;IF($W29="",""," ")&amp;$W29&amp;IF($X29="",""," ")&amp;$X29&amp;IF($Y29="",""," ")&amp;$Y29&amp;IF($AB29="",""," ")&amp;$AB29&amp;IF($AB29="","","mcd")</f>
        <v>DCJ0202 Power Connector</v>
      </c>
      <c r="D29" t="str" s="16" cm="1">
        <f t="array" ref="D29">$F29&amp;" "&amp;G29&amp;IF($V29="",""," ")&amp;$V29&amp;IF($L29="",""," ")&amp;$L29&amp;IF($W29="",""," ")&amp;$W29&amp;IF($X29="",""," ")&amp;$X29&amp;IF($Y29="",""," ")&amp;$Y29&amp;IF($AB29="",""," ")&amp;$AB29&amp;IF($AB29="","","mcd")</f>
        <v>DCJ0202 CON Power Connector</v>
      </c>
      <c r="E29" t="str" s="15" cm="1">
        <f t="array" ref="E29">IF(ISBLANK(M29),"",HYPERLINK("https://jlcpcb.com/partdetail/"&amp;$M29,$M29))</f>
      </c>
      <c r="F29" t="str" s="15" cm="1">
        <f t="array" ref="F29">H29</f>
        <v>DCJ0202</v>
      </c>
      <c r="G29" t="s" s="17">
        <v>170</v>
      </c>
      <c r="H29" t="str" s="19" cm="1">
        <f t="array" ref="H29">AI29</f>
        <v>DCJ0202</v>
      </c>
      <c r="I29" s="19"/>
      <c r="J29" s="19"/>
      <c r="K29" t="s" s="18">
        <v>114</v>
      </c>
      <c r="L29" t="s" s="17">
        <v>314</v>
      </c>
      <c r="M29" s="28"/>
      <c r="N29" t="s" s="18">
        <v>315</v>
      </c>
      <c r="O29" s="17"/>
      <c r="P29" s="17"/>
      <c r="Q29" s="17"/>
      <c r="R29" s="17"/>
      <c r="S29" s="17"/>
      <c r="T29" t="s" s="17">
        <v>316</v>
      </c>
      <c r="U29" s="17"/>
      <c r="V29" s="17"/>
      <c r="W29" s="17"/>
      <c r="X29" s="17"/>
      <c r="Y29" s="17"/>
      <c r="Z29" s="17"/>
      <c r="AA29" s="17"/>
      <c r="AB29" s="17"/>
      <c r="AC29" s="17"/>
      <c r="AD29" s="19"/>
      <c r="AE29" s="19"/>
      <c r="AF29" s="29">
        <v>10</v>
      </c>
      <c r="AG29" t="s" s="17">
        <v>51</v>
      </c>
      <c r="AH29" s="26"/>
      <c r="AI29" t="s" s="17">
        <v>317</v>
      </c>
      <c r="AJ29" t="s" s="22">
        <v>318</v>
      </c>
      <c r="AK29" t="s" s="23">
        <v>319</v>
      </c>
      <c r="AL29" s="19"/>
    </row>
    <row r="30" ht="18.9" customHeight="1">
      <c r="B30" t="str" s="15" cm="1">
        <f t="array" ref="B30">G30&amp;"_"&amp;F30</f>
        <v>CON_DIP-14</v>
      </c>
      <c r="C30" t="str" s="16" cm="1">
        <f t="array" ref="C30">$F30&amp;IF($G30="LED"," LED","")&amp;IF($V30="",""," ")&amp;$V30&amp;IF($L30="",""," ")&amp;$L30&amp;IF($W30="",""," ")&amp;$W30&amp;IF($X30="",""," ")&amp;$X30&amp;IF($Y30="",""," ")&amp;$Y30&amp;IF($AB30="",""," ")&amp;$AB30&amp;IF($AB30="","","mcd")</f>
        <v>DIP-14 Socket</v>
      </c>
      <c r="D30" t="str" s="16" cm="1">
        <f t="array" ref="D30">$F30&amp;" "&amp;G30&amp;IF($V30="",""," ")&amp;$V30&amp;IF($L30="",""," ")&amp;$L30&amp;IF($W30="",""," ")&amp;$W30&amp;IF($X30="",""," ")&amp;$X30&amp;IF($Y30="",""," ")&amp;$Y30&amp;IF($AB30="",""," ")&amp;$AB30&amp;IF($AB30="","","mcd")</f>
        <v>DIP-14 CON Socket</v>
      </c>
      <c r="E30" t="str" s="15" cm="1">
        <f t="array" ref="E30">IF(ISBLANK(M30),"",HYPERLINK("https://jlcpcb.com/partdetail/"&amp;$M30,$M30))</f>
        <v>C2325</v>
      </c>
      <c r="F30" t="s" s="32">
        <v>324</v>
      </c>
      <c r="G30" t="s" s="17">
        <v>170</v>
      </c>
      <c r="H30" t="s" s="17">
        <v>324</v>
      </c>
      <c r="I30" s="19"/>
      <c r="J30" s="19"/>
      <c r="K30" t="s" s="18">
        <v>114</v>
      </c>
      <c r="L30" t="s" s="17">
        <v>325</v>
      </c>
      <c r="M30" t="s" s="18">
        <v>326</v>
      </c>
      <c r="N30" t="s" s="18">
        <v>327</v>
      </c>
      <c r="O30" s="17"/>
      <c r="P30" s="17"/>
      <c r="Q30" s="17"/>
      <c r="R30" t="s" s="17">
        <v>324</v>
      </c>
      <c r="S30" t="s" s="17">
        <v>328</v>
      </c>
      <c r="T30" t="s" s="17">
        <v>329</v>
      </c>
      <c r="U30" t="s" s="17">
        <v>175</v>
      </c>
      <c r="V30" s="17"/>
      <c r="W30" s="17"/>
      <c r="X30" s="17"/>
      <c r="Y30" s="17"/>
      <c r="Z30" s="17"/>
      <c r="AA30" s="17"/>
      <c r="AB30" s="17"/>
      <c r="AC30" s="17"/>
      <c r="AD30" s="19"/>
      <c r="AE30" s="19"/>
      <c r="AF30" s="30"/>
      <c r="AG30" s="19"/>
      <c r="AH30" t="s" s="21">
        <v>330</v>
      </c>
      <c r="AI30" t="s" s="17">
        <v>331</v>
      </c>
      <c r="AJ30" s="31"/>
      <c r="AK30" t="s" s="23">
        <v>332</v>
      </c>
      <c r="AL30" s="19"/>
    </row>
    <row r="31" ht="18.9" customHeight="1">
      <c r="B31" t="str" s="15" cm="1">
        <f t="array" ref="B31">G31&amp;"_"&amp;F31</f>
        <v>CON_FTDI-1x6-0.100</v>
      </c>
      <c r="C31" t="str" s="16" cm="1">
        <f t="array" ref="C31">$F31&amp;IF($G31="LED"," LED","")&amp;IF($V31="",""," ")&amp;$V31&amp;IF($L31="",""," ")&amp;$L31&amp;IF($W31="",""," ")&amp;$W31&amp;IF($X31="",""," ")&amp;$X31&amp;IF($Y31="",""," ")&amp;$Y31&amp;IF($AB31="",""," ")&amp;$AB31&amp;IF($AB31="","","mcd")</f>
        <v>FTDI-1x6-0.100 Male Header</v>
      </c>
      <c r="D31" t="str" s="16" cm="1">
        <f t="array" ref="D31">$F31&amp;" "&amp;G31&amp;IF($V31="",""," ")&amp;$V31&amp;IF($L31="",""," ")&amp;$L31&amp;IF($W31="",""," ")&amp;$W31&amp;IF($X31="",""," ")&amp;$X31&amp;IF($Y31="",""," ")&amp;$Y31&amp;IF($AB31="",""," ")&amp;$AB31&amp;IF($AB31="","","mcd")</f>
        <v>FTDI-1x6-0.100 CON Male Header</v>
      </c>
      <c r="E31" t="str" s="15" cm="1">
        <f t="array" ref="E31">IF(ISBLANK(M31),"",HYPERLINK("https://jlcpcb.com/partdetail/"&amp;$M31,$M31))</f>
      </c>
      <c r="F31" t="str" s="15" cm="1">
        <f t="array" ref="F31">H31</f>
        <v>FTDI-1x6-0.100</v>
      </c>
      <c r="G31" t="s" s="17">
        <v>170</v>
      </c>
      <c r="H31" t="s" s="17">
        <v>337</v>
      </c>
      <c r="I31" t="s" s="17">
        <v>8</v>
      </c>
      <c r="J31" s="19"/>
      <c r="K31" t="s" s="18">
        <v>114</v>
      </c>
      <c r="L31" t="s" s="17">
        <v>172</v>
      </c>
      <c r="M31" s="28"/>
      <c r="N31" t="s" s="18">
        <v>338</v>
      </c>
      <c r="O31" s="17"/>
      <c r="P31" s="17"/>
      <c r="Q31" s="17"/>
      <c r="R31" s="17"/>
      <c r="S31" s="17"/>
      <c r="T31" t="s" s="17">
        <v>289</v>
      </c>
      <c r="U31" t="s" s="17">
        <v>175</v>
      </c>
      <c r="V31" s="17"/>
      <c r="W31" s="17"/>
      <c r="X31" s="17"/>
      <c r="Y31" s="17"/>
      <c r="Z31" s="17"/>
      <c r="AA31" s="17"/>
      <c r="AB31" s="17"/>
      <c r="AC31" s="17"/>
      <c r="AD31" s="19"/>
      <c r="AE31" s="19"/>
      <c r="AF31" s="29">
        <v>10</v>
      </c>
      <c r="AG31" t="s" s="17">
        <v>51</v>
      </c>
      <c r="AH31" s="26"/>
      <c r="AI31" s="19"/>
      <c r="AJ31" t="s" s="22">
        <v>339</v>
      </c>
      <c r="AK31" t="s" s="23">
        <v>340</v>
      </c>
      <c r="AL31" s="19"/>
    </row>
    <row r="32" ht="18.9" customHeight="1">
      <c r="B32" t="str" s="15" cm="1">
        <f t="array" ref="B32">G32&amp;"_"&amp;F32</f>
        <v>CON_M5-1x6-0.100</v>
      </c>
      <c r="C32" t="str" s="16" cm="1">
        <f t="array" ref="C32">$F32&amp;IF($G32="LED"," LED","")&amp;IF($V32="",""," ")&amp;$V32&amp;IF($L32="",""," ")&amp;$L32&amp;IF($W32="",""," ")&amp;$W32&amp;IF($X32="",""," ")&amp;$X32&amp;IF($Y32="",""," ")&amp;$Y32&amp;IF($AB32="",""," ")&amp;$AB32&amp;IF($AB32="","","mcd")</f>
        <v>M5-1x6-0.100 Female Header</v>
      </c>
      <c r="D32" t="str" s="16" cm="1">
        <f t="array" ref="D32">$F32&amp;" "&amp;G32&amp;IF($V32="",""," ")&amp;$V32&amp;IF($L32="",""," ")&amp;$L32&amp;IF($W32="",""," ")&amp;$W32&amp;IF($X32="",""," ")&amp;$X32&amp;IF($Y32="",""," ")&amp;$Y32&amp;IF($AB32="",""," ")&amp;$AB32&amp;IF($AB32="","","mcd")</f>
        <v>M5-1x6-0.100 CON Female Header</v>
      </c>
      <c r="E32" t="str" s="15" cm="1">
        <f t="array" ref="E32">IF(ISBLANK(M32),"",HYPERLINK("https://jlcpcb.com/partdetail/"&amp;$M32,$M32))</f>
      </c>
      <c r="F32" t="str" s="15" cm="1">
        <f t="array" ref="F32">H32</f>
        <v>M5-1x6-0.100</v>
      </c>
      <c r="G32" t="s" s="17">
        <v>170</v>
      </c>
      <c r="H32" t="s" s="17">
        <v>345</v>
      </c>
      <c r="I32" t="s" s="17">
        <v>8</v>
      </c>
      <c r="J32" s="19"/>
      <c r="K32" t="s" s="18">
        <v>114</v>
      </c>
      <c r="L32" t="s" s="17">
        <v>191</v>
      </c>
      <c r="M32" s="28"/>
      <c r="N32" t="s" s="18">
        <v>346</v>
      </c>
      <c r="O32" s="17"/>
      <c r="P32" s="17"/>
      <c r="Q32" s="17"/>
      <c r="R32" s="17"/>
      <c r="S32" s="17"/>
      <c r="T32" t="s" s="17">
        <v>289</v>
      </c>
      <c r="U32" t="s" s="17">
        <v>175</v>
      </c>
      <c r="V32" s="17"/>
      <c r="W32" s="17"/>
      <c r="X32" s="17"/>
      <c r="Y32" s="17"/>
      <c r="Z32" s="17"/>
      <c r="AA32" s="17"/>
      <c r="AB32" s="17"/>
      <c r="AC32" s="17"/>
      <c r="AD32" s="19"/>
      <c r="AE32" s="19"/>
      <c r="AF32" s="29">
        <v>10</v>
      </c>
      <c r="AG32" t="s" s="17">
        <v>51</v>
      </c>
      <c r="AH32" s="26"/>
      <c r="AI32" s="19"/>
      <c r="AJ32" t="s" s="22">
        <v>347</v>
      </c>
      <c r="AK32" t="s" s="23">
        <v>348</v>
      </c>
      <c r="AL32" s="19"/>
    </row>
    <row r="33" ht="18.9" customHeight="1">
      <c r="B33" t="str" s="15" cm="1">
        <f t="array" ref="B33">G33&amp;"_"&amp;F33</f>
        <v>CON_RJ12</v>
      </c>
      <c r="C33" t="str" s="16" cm="1">
        <f t="array" ref="C33">$F33&amp;IF($G33="LED"," LED","")&amp;IF($V33="",""," ")&amp;$V33&amp;IF($L33="",""," ")&amp;$L33&amp;IF($W33="",""," ")&amp;$W33&amp;IF($X33="",""," ")&amp;$X33&amp;IF($Y33="",""," ")&amp;$Y33&amp;IF($AB33="",""," ")&amp;$AB33&amp;IF($AB33="","","mcd")</f>
        <v>RJ12 RJ12</v>
      </c>
      <c r="D33" t="str" s="16" cm="1">
        <f t="array" ref="D33">$F33&amp;" "&amp;G33&amp;IF($V33="",""," ")&amp;$V33&amp;IF($L33="",""," ")&amp;$L33&amp;IF($W33="",""," ")&amp;$W33&amp;IF($X33="",""," ")&amp;$X33&amp;IF($Y33="",""," ")&amp;$Y33&amp;IF($AB33="",""," ")&amp;$AB33&amp;IF($AB33="","","mcd")</f>
        <v>RJ12 CON RJ12</v>
      </c>
      <c r="E33" t="str" s="15" cm="1">
        <f t="array" ref="E33">IF(ISBLANK(M33),"",HYPERLINK("https://jlcpcb.com/partdetail/"&amp;$M33,$M33))</f>
        <v>C3097718</v>
      </c>
      <c r="F33" t="str" s="15" cm="1">
        <f t="array" ref="F33">H33</f>
        <v>RJ12</v>
      </c>
      <c r="G33" t="s" s="17">
        <v>170</v>
      </c>
      <c r="H33" t="s" s="18">
        <v>353</v>
      </c>
      <c r="I33" s="28"/>
      <c r="J33" t="s" s="18">
        <v>354</v>
      </c>
      <c r="K33" t="s" s="17">
        <v>114</v>
      </c>
      <c r="L33" t="s" s="17">
        <v>353</v>
      </c>
      <c r="M33" t="s" s="18">
        <v>355</v>
      </c>
      <c r="N33" t="s" s="18">
        <v>356</v>
      </c>
      <c r="O33" s="17"/>
      <c r="P33" s="17"/>
      <c r="Q33" s="17"/>
      <c r="R33" t="s" s="17">
        <v>353</v>
      </c>
      <c r="S33" t="s" s="18">
        <v>357</v>
      </c>
      <c r="T33" t="s" s="17">
        <v>358</v>
      </c>
      <c r="U33" s="17"/>
      <c r="V33" s="17"/>
      <c r="W33" s="17"/>
      <c r="X33" s="17"/>
      <c r="Y33" s="17"/>
      <c r="Z33" s="17"/>
      <c r="AA33" s="17"/>
      <c r="AB33" s="17"/>
      <c r="AC33" s="17"/>
      <c r="AD33" s="28"/>
      <c r="AE33" s="28"/>
      <c r="AF33" s="30"/>
      <c r="AG33" s="19"/>
      <c r="AH33" t="s" s="33">
        <v>359</v>
      </c>
      <c r="AI33" t="s" s="18">
        <v>360</v>
      </c>
      <c r="AJ33" t="s" s="22">
        <v>361</v>
      </c>
      <c r="AK33" t="s" s="23">
        <v>362</v>
      </c>
      <c r="AL33" t="s" s="17">
        <v>363</v>
      </c>
    </row>
    <row r="34" ht="18.9" customHeight="1">
      <c r="B34" t="str" s="15" cm="1">
        <f t="array" ref="B34">G34&amp;"_"&amp;F34</f>
        <v>CON_RJ12</v>
      </c>
      <c r="C34" t="str" s="16" cm="1">
        <f t="array" ref="C34">$F34&amp;IF($G34="LED"," LED","")&amp;IF($V34="",""," ")&amp;$V34&amp;IF($L34="",""," ")&amp;$L34&amp;IF($W34="",""," ")&amp;$W34&amp;IF($X34="",""," ")&amp;$X34&amp;IF($Y34="",""," ")&amp;$Y34&amp;IF($AB34="",""," ")&amp;$AB34&amp;IF($AB34="","","mcd")</f>
        <v>RJ12 RJ12</v>
      </c>
      <c r="D34" t="str" s="16" cm="1">
        <f t="array" ref="D34">$F34&amp;" "&amp;G34&amp;IF($V34="",""," ")&amp;$V34&amp;IF($L34="",""," ")&amp;$L34&amp;IF($W34="",""," ")&amp;$W34&amp;IF($X34="",""," ")&amp;$X34&amp;IF($Y34="",""," ")&amp;$Y34&amp;IF($AB34="",""," ")&amp;$AB34&amp;IF($AB34="","","mcd")</f>
        <v>RJ12 CON RJ12</v>
      </c>
      <c r="E34" t="str" s="15" cm="1">
        <f t="array" ref="E34">IF(ISBLANK(M34),"",HYPERLINK("https://jlcpcb.com/partdetail/"&amp;$M34,$M34))</f>
      </c>
      <c r="F34" t="str" s="15" cm="1">
        <f t="array" ref="F34">H34</f>
        <v>RJ12</v>
      </c>
      <c r="G34" t="s" s="17">
        <v>170</v>
      </c>
      <c r="H34" t="s" s="18">
        <v>353</v>
      </c>
      <c r="I34" s="28"/>
      <c r="J34" t="s" s="18">
        <v>354</v>
      </c>
      <c r="K34" t="s" s="17">
        <v>114</v>
      </c>
      <c r="L34" t="s" s="17">
        <v>353</v>
      </c>
      <c r="M34" s="28"/>
      <c r="N34" t="s" s="18">
        <v>364</v>
      </c>
      <c r="O34" s="17"/>
      <c r="P34" s="17"/>
      <c r="Q34" s="17"/>
      <c r="R34" t="s" s="17">
        <v>353</v>
      </c>
      <c r="S34" t="s" s="18">
        <v>365</v>
      </c>
      <c r="T34" t="s" s="17">
        <v>358</v>
      </c>
      <c r="U34" s="17"/>
      <c r="V34" s="17"/>
      <c r="W34" s="17"/>
      <c r="X34" s="17"/>
      <c r="Y34" s="17"/>
      <c r="Z34" s="17"/>
      <c r="AA34" s="17"/>
      <c r="AB34" s="17"/>
      <c r="AC34" s="17"/>
      <c r="AD34" s="28"/>
      <c r="AE34" s="28"/>
      <c r="AF34" s="30"/>
      <c r="AG34" s="19"/>
      <c r="AH34" s="34"/>
      <c r="AI34" t="s" s="18">
        <v>366</v>
      </c>
      <c r="AJ34" t="s" s="22">
        <v>361</v>
      </c>
      <c r="AK34" t="s" s="23">
        <v>367</v>
      </c>
      <c r="AL34" t="s" s="17">
        <v>368</v>
      </c>
    </row>
    <row r="35" ht="18.9" customHeight="1">
      <c r="B35" t="str" s="15" cm="1">
        <f t="array" ref="B35">G35&amp;"_"&amp;F35</f>
        <v>CON_RJ45</v>
      </c>
      <c r="C35" t="str" s="16" cm="1">
        <f t="array" ref="C35">$F35&amp;IF($G35="LED"," LED","")&amp;IF($V35="",""," ")&amp;$V35&amp;IF($L35="",""," ")&amp;$L35&amp;IF($W35="",""," ")&amp;$W35&amp;IF($X35="",""," ")&amp;$X35&amp;IF($Y35="",""," ")&amp;$Y35&amp;IF($AB35="",""," ")&amp;$AB35&amp;IF($AB35="","","mcd")</f>
        <v>RJ45 RJ45</v>
      </c>
      <c r="D35" t="str" s="16" cm="1">
        <f t="array" ref="D35">$F35&amp;" "&amp;G35&amp;IF($V35="",""," ")&amp;$V35&amp;IF($L35="",""," ")&amp;$L35&amp;IF($W35="",""," ")&amp;$W35&amp;IF($X35="",""," ")&amp;$X35&amp;IF($Y35="",""," ")&amp;$Y35&amp;IF($AB35="",""," ")&amp;$AB35&amp;IF($AB35="","","mcd")</f>
        <v>RJ45 CON RJ45</v>
      </c>
      <c r="E35" t="str" s="15" cm="1">
        <f t="array" ref="E35">IF(ISBLANK(M35),"",HYPERLINK("https://jlcpcb.com/partdetail/"&amp;$M35,$M35))</f>
        <v>C7205130</v>
      </c>
      <c r="F35" t="str" s="15" cm="1">
        <f t="array" ref="F35">H35</f>
        <v>RJ45</v>
      </c>
      <c r="G35" t="s" s="17">
        <v>170</v>
      </c>
      <c r="H35" t="s" s="18">
        <v>373</v>
      </c>
      <c r="I35" s="28"/>
      <c r="J35" t="s" s="18">
        <v>374</v>
      </c>
      <c r="K35" t="s" s="17">
        <v>114</v>
      </c>
      <c r="L35" t="s" s="17">
        <v>373</v>
      </c>
      <c r="M35" t="s" s="18">
        <v>375</v>
      </c>
      <c r="N35" t="s" s="18">
        <v>376</v>
      </c>
      <c r="O35" s="17"/>
      <c r="P35" s="17"/>
      <c r="Q35" s="17"/>
      <c r="R35" t="s" s="17">
        <v>373</v>
      </c>
      <c r="S35" s="17"/>
      <c r="T35" t="s" s="17">
        <v>377</v>
      </c>
      <c r="U35" s="17"/>
      <c r="V35" s="17"/>
      <c r="W35" s="17"/>
      <c r="X35" s="17"/>
      <c r="Y35" s="17"/>
      <c r="Z35" s="17"/>
      <c r="AA35" s="17"/>
      <c r="AB35" s="17"/>
      <c r="AC35" s="17"/>
      <c r="AD35" s="28"/>
      <c r="AE35" s="28"/>
      <c r="AF35" s="30"/>
      <c r="AG35" s="19"/>
      <c r="AH35" t="s" s="33">
        <v>378</v>
      </c>
      <c r="AI35" t="s" s="18">
        <v>379</v>
      </c>
      <c r="AJ35" t="s" s="22">
        <v>380</v>
      </c>
      <c r="AK35" t="s" s="23">
        <v>381</v>
      </c>
      <c r="AL35" t="s" s="17">
        <v>382</v>
      </c>
    </row>
    <row r="36" ht="18.9" customHeight="1">
      <c r="B36" t="str" s="15" cm="1">
        <f t="array" ref="B36">G36&amp;"_"&amp;F36</f>
        <v>CON_TC2030-FP</v>
      </c>
      <c r="C36" t="str" s="16" cm="1">
        <f t="array" ref="C36">$F36&amp;IF($G36="LED"," LED","")&amp;IF($V36="",""," ")&amp;$V36&amp;IF($L36="",""," ")&amp;$L36&amp;IF($W36="",""," ")&amp;$W36&amp;IF($X36="",""," ")&amp;$X36&amp;IF($Y36="",""," ")&amp;$Y36&amp;IF($AB36="",""," ")&amp;$AB36&amp;IF($AB36="","","mcd")</f>
        <v>TC2030-FP SilkScreen &amp; Pads</v>
      </c>
      <c r="D36" t="str" s="16" cm="1">
        <f t="array" ref="D36">$F36&amp;" "&amp;G36&amp;IF($V36="",""," ")&amp;$V36&amp;IF($L36="",""," ")&amp;$L36&amp;IF($W36="",""," ")&amp;$W36&amp;IF($X36="",""," ")&amp;$X36&amp;IF($Y36="",""," ")&amp;$Y36&amp;IF($AB36="",""," ")&amp;$AB36&amp;IF($AB36="","","mcd")</f>
        <v>TC2030-FP CON SilkScreen &amp; Pads</v>
      </c>
      <c r="E36" t="str" s="15" cm="1">
        <f t="array" ref="E36">IF(ISBLANK(M36),"",HYPERLINK("https://jlcpcb.com/partdetail/"&amp;$M36,$M36))</f>
      </c>
      <c r="F36" t="str" s="15" cm="1">
        <f t="array" ref="F36">H36</f>
        <v>TC2030-FP</v>
      </c>
      <c r="G36" t="s" s="17">
        <v>170</v>
      </c>
      <c r="H36" t="str" s="19" cm="1">
        <f t="array" ref="H36">AI36</f>
        <v>TC2030-FP</v>
      </c>
      <c r="I36" t="s" s="17">
        <v>8</v>
      </c>
      <c r="J36" s="19"/>
      <c r="K36" t="s" s="17">
        <v>387</v>
      </c>
      <c r="L36" t="s" s="17">
        <v>388</v>
      </c>
      <c r="M36" s="19"/>
      <c r="N36" t="s" s="18">
        <v>389</v>
      </c>
      <c r="O36" s="17"/>
      <c r="P36" s="17"/>
      <c r="Q36" s="17"/>
      <c r="R36" s="17"/>
      <c r="S36" t="s" s="17">
        <v>390</v>
      </c>
      <c r="T36" t="s" s="17">
        <v>391</v>
      </c>
      <c r="U36" t="s" s="17">
        <v>175</v>
      </c>
      <c r="V36" s="17"/>
      <c r="W36" s="17"/>
      <c r="X36" s="17"/>
      <c r="Y36" s="17"/>
      <c r="Z36" s="17"/>
      <c r="AA36" s="17"/>
      <c r="AB36" s="17"/>
      <c r="AC36" s="17"/>
      <c r="AD36" s="19"/>
      <c r="AE36" s="19"/>
      <c r="AF36" s="29">
        <v>10</v>
      </c>
      <c r="AG36" s="19"/>
      <c r="AH36" t="s" s="21">
        <v>392</v>
      </c>
      <c r="AI36" t="s" s="17">
        <v>393</v>
      </c>
      <c r="AJ36" t="s" s="22">
        <v>394</v>
      </c>
      <c r="AK36" t="s" s="23">
        <v>395</v>
      </c>
      <c r="AL36" s="19"/>
    </row>
    <row r="37" ht="18.9" customHeight="1">
      <c r="B37" t="str" s="15" cm="1">
        <f t="array" ref="B37">G37&amp;"_"&amp;F37</f>
        <v>CON_TC2030-NL</v>
      </c>
      <c r="C37" t="str" s="16" cm="1">
        <f t="array" ref="C37">$F37&amp;IF($G37="LED"," LED","")&amp;IF($V37="",""," ")&amp;$V37&amp;IF($L37="",""," ")&amp;$L37&amp;IF($W37="",""," ")&amp;$W37&amp;IF($X37="",""," ")&amp;$X37&amp;IF($Y37="",""," ")&amp;$Y37&amp;IF($AB37="",""," ")&amp;$AB37&amp;IF($AB37="","","mcd")</f>
        <v>TC2030-NL SilkScreen &amp; Pads</v>
      </c>
      <c r="D37" t="str" s="16" cm="1">
        <f t="array" ref="D37">$F37&amp;" "&amp;G37&amp;IF($V37="",""," ")&amp;$V37&amp;IF($L37="",""," ")&amp;$L37&amp;IF($W37="",""," ")&amp;$W37&amp;IF($X37="",""," ")&amp;$X37&amp;IF($Y37="",""," ")&amp;$Y37&amp;IF($AB37="",""," ")&amp;$AB37&amp;IF($AB37="","","mcd")</f>
        <v>TC2030-NL CON SilkScreen &amp; Pads</v>
      </c>
      <c r="E37" t="str" s="15" cm="1">
        <f t="array" ref="E37">IF(ISBLANK(M37),"",HYPERLINK("https://jlcpcb.com/partdetail/"&amp;$M37,$M37))</f>
      </c>
      <c r="F37" t="str" s="15" cm="1">
        <f t="array" ref="F37">H37</f>
        <v>TC2030-NL</v>
      </c>
      <c r="G37" t="s" s="17">
        <v>170</v>
      </c>
      <c r="H37" t="str" s="19" cm="1">
        <f t="array" ref="H37">AI37</f>
        <v>TC2030-NL</v>
      </c>
      <c r="I37" t="s" s="17">
        <v>8</v>
      </c>
      <c r="J37" s="19"/>
      <c r="K37" t="s" s="17">
        <v>387</v>
      </c>
      <c r="L37" t="s" s="17">
        <v>388</v>
      </c>
      <c r="M37" s="19"/>
      <c r="N37" t="s" s="18">
        <v>400</v>
      </c>
      <c r="O37" s="17"/>
      <c r="P37" s="17"/>
      <c r="Q37" s="17"/>
      <c r="R37" s="17"/>
      <c r="S37" t="s" s="17">
        <v>401</v>
      </c>
      <c r="T37" t="s" s="17">
        <v>391</v>
      </c>
      <c r="U37" t="s" s="17">
        <v>175</v>
      </c>
      <c r="V37" s="17"/>
      <c r="W37" s="17"/>
      <c r="X37" s="17"/>
      <c r="Y37" s="17"/>
      <c r="Z37" s="17"/>
      <c r="AA37" s="17"/>
      <c r="AB37" s="17"/>
      <c r="AC37" s="17"/>
      <c r="AD37" s="19"/>
      <c r="AE37" s="19"/>
      <c r="AF37" s="29">
        <v>10</v>
      </c>
      <c r="AG37" s="19"/>
      <c r="AH37" t="s" s="21">
        <v>392</v>
      </c>
      <c r="AI37" t="s" s="17">
        <v>402</v>
      </c>
      <c r="AJ37" t="s" s="22">
        <v>394</v>
      </c>
      <c r="AK37" t="s" s="23">
        <v>403</v>
      </c>
      <c r="AL37" s="19"/>
    </row>
    <row r="38" ht="18.9" customHeight="1">
      <c r="B38" t="str" s="15" cm="1">
        <f t="array" ref="B38">G38&amp;"_"&amp;F38</f>
        <v>CON_TC2050-FP</v>
      </c>
      <c r="C38" t="str" s="16" cm="1">
        <f t="array" ref="C38">$F38&amp;IF($G38="LED"," LED","")&amp;IF($V38="",""," ")&amp;$V38&amp;IF($L38="",""," ")&amp;$L38&amp;IF($W38="",""," ")&amp;$W38&amp;IF($X38="",""," ")&amp;$X38&amp;IF($Y38="",""," ")&amp;$Y38&amp;IF($AB38="",""," ")&amp;$AB38&amp;IF($AB38="","","mcd")</f>
        <v>TC2050-FP SilkScreen &amp; Pads</v>
      </c>
      <c r="D38" t="str" s="16" cm="1">
        <f t="array" ref="D38">$F38&amp;" "&amp;G38&amp;IF($V38="",""," ")&amp;$V38&amp;IF($L38="",""," ")&amp;$L38&amp;IF($W38="",""," ")&amp;$W38&amp;IF($X38="",""," ")&amp;$X38&amp;IF($Y38="",""," ")&amp;$Y38&amp;IF($AB38="",""," ")&amp;$AB38&amp;IF($AB38="","","mcd")</f>
        <v>TC2050-FP CON SilkScreen &amp; Pads</v>
      </c>
      <c r="E38" t="str" s="15" cm="1">
        <f t="array" ref="E38">IF(ISBLANK(M38),"",HYPERLINK("https://jlcpcb.com/partdetail/"&amp;$M38,$M38))</f>
      </c>
      <c r="F38" t="str" s="15" cm="1">
        <f t="array" ref="F38">H38</f>
        <v>TC2050-FP</v>
      </c>
      <c r="G38" t="s" s="17">
        <v>170</v>
      </c>
      <c r="H38" t="str" s="19" cm="1">
        <f t="array" ref="H38">AI38</f>
        <v>TC2050-FP</v>
      </c>
      <c r="I38" t="s" s="17">
        <v>8</v>
      </c>
      <c r="J38" s="19"/>
      <c r="K38" t="s" s="17">
        <v>387</v>
      </c>
      <c r="L38" t="s" s="17">
        <v>388</v>
      </c>
      <c r="M38" s="19"/>
      <c r="N38" t="s" s="18">
        <v>408</v>
      </c>
      <c r="O38" s="17"/>
      <c r="P38" s="17"/>
      <c r="Q38" s="17"/>
      <c r="R38" s="17"/>
      <c r="S38" t="s" s="17">
        <v>390</v>
      </c>
      <c r="T38" t="s" s="17">
        <v>409</v>
      </c>
      <c r="U38" t="s" s="17">
        <v>175</v>
      </c>
      <c r="V38" s="17"/>
      <c r="W38" s="17"/>
      <c r="X38" s="17"/>
      <c r="Y38" s="17"/>
      <c r="Z38" s="17"/>
      <c r="AA38" s="17"/>
      <c r="AB38" s="17"/>
      <c r="AC38" s="17"/>
      <c r="AD38" s="19"/>
      <c r="AE38" s="19"/>
      <c r="AF38" s="29">
        <v>10</v>
      </c>
      <c r="AG38" s="19"/>
      <c r="AH38" t="s" s="21">
        <v>392</v>
      </c>
      <c r="AI38" t="s" s="17">
        <v>410</v>
      </c>
      <c r="AJ38" t="s" s="22">
        <v>411</v>
      </c>
      <c r="AK38" t="s" s="23">
        <v>412</v>
      </c>
      <c r="AL38" s="19"/>
    </row>
    <row r="39" ht="18.9" customHeight="1">
      <c r="B39" t="str" s="15" cm="1">
        <f t="array" ref="B39">G39&amp;"_"&amp;F39</f>
        <v>CON_TC2050-NL</v>
      </c>
      <c r="C39" t="str" s="16" cm="1">
        <f t="array" ref="C39">$F39&amp;IF($G39="LED"," LED","")&amp;IF($V39="",""," ")&amp;$V39&amp;IF($L39="",""," ")&amp;$L39&amp;IF($W39="",""," ")&amp;$W39&amp;IF($X39="",""," ")&amp;$X39&amp;IF($Y39="",""," ")&amp;$Y39&amp;IF($AB39="",""," ")&amp;$AB39&amp;IF($AB39="","","mcd")</f>
        <v>TC2050-NL SilkScreen &amp; Pads</v>
      </c>
      <c r="D39" t="str" s="16" cm="1">
        <f t="array" ref="D39">$F39&amp;" "&amp;G39&amp;IF($V39="",""," ")&amp;$V39&amp;IF($L39="",""," ")&amp;$L39&amp;IF($W39="",""," ")&amp;$W39&amp;IF($X39="",""," ")&amp;$X39&amp;IF($Y39="",""," ")&amp;$Y39&amp;IF($AB39="",""," ")&amp;$AB39&amp;IF($AB39="","","mcd")</f>
        <v>TC2050-NL CON SilkScreen &amp; Pads</v>
      </c>
      <c r="E39" t="str" s="15" cm="1">
        <f t="array" ref="E39">IF(ISBLANK(M39),"",HYPERLINK("https://jlcpcb.com/partdetail/"&amp;$M39,$M39))</f>
      </c>
      <c r="F39" t="str" s="15" cm="1">
        <f t="array" ref="F39">H39</f>
        <v>TC2050-NL</v>
      </c>
      <c r="G39" t="s" s="17">
        <v>170</v>
      </c>
      <c r="H39" t="str" s="19" cm="1">
        <f t="array" ref="H39">AI39</f>
        <v>TC2050-NL</v>
      </c>
      <c r="I39" t="s" s="17">
        <v>8</v>
      </c>
      <c r="J39" s="19"/>
      <c r="K39" t="s" s="17">
        <v>387</v>
      </c>
      <c r="L39" t="s" s="17">
        <v>388</v>
      </c>
      <c r="M39" s="19"/>
      <c r="N39" t="s" s="18">
        <v>417</v>
      </c>
      <c r="O39" s="17"/>
      <c r="P39" s="17"/>
      <c r="Q39" s="17"/>
      <c r="R39" s="17"/>
      <c r="S39" t="s" s="17">
        <v>401</v>
      </c>
      <c r="T39" t="s" s="17">
        <v>409</v>
      </c>
      <c r="U39" t="s" s="17">
        <v>175</v>
      </c>
      <c r="V39" s="17"/>
      <c r="W39" s="17"/>
      <c r="X39" s="17"/>
      <c r="Y39" s="17"/>
      <c r="Z39" s="17"/>
      <c r="AA39" s="17"/>
      <c r="AB39" s="17"/>
      <c r="AC39" s="17"/>
      <c r="AD39" s="19"/>
      <c r="AE39" s="19"/>
      <c r="AF39" s="29">
        <v>10</v>
      </c>
      <c r="AG39" s="19"/>
      <c r="AH39" t="s" s="21">
        <v>392</v>
      </c>
      <c r="AI39" t="s" s="17">
        <v>418</v>
      </c>
      <c r="AJ39" t="s" s="22">
        <v>411</v>
      </c>
      <c r="AK39" t="s" s="23">
        <v>419</v>
      </c>
      <c r="AL39" s="19"/>
    </row>
    <row r="40" ht="18.9" customHeight="1">
      <c r="B40" t="str" s="15" cm="1">
        <f t="array" ref="B40">G40&amp;"_"&amp;F40</f>
        <v>CON_TC2070-FP</v>
      </c>
      <c r="C40" t="str" s="16" cm="1">
        <f t="array" ref="C40">$F40&amp;IF($G40="LED"," LED","")&amp;IF($V40="",""," ")&amp;$V40&amp;IF($L40="",""," ")&amp;$L40&amp;IF($W40="",""," ")&amp;$W40&amp;IF($X40="",""," ")&amp;$X40&amp;IF($Y40="",""," ")&amp;$Y40&amp;IF($AB40="",""," ")&amp;$AB40&amp;IF($AB40="","","mcd")</f>
        <v>TC2070-FP SilkScreen &amp; Pads</v>
      </c>
      <c r="D40" t="str" s="16" cm="1">
        <f t="array" ref="D40">$F40&amp;" "&amp;G40&amp;IF($V40="",""," ")&amp;$V40&amp;IF($L40="",""," ")&amp;$L40&amp;IF($W40="",""," ")&amp;$W40&amp;IF($X40="",""," ")&amp;$X40&amp;IF($Y40="",""," ")&amp;$Y40&amp;IF($AB40="",""," ")&amp;$AB40&amp;IF($AB40="","","mcd")</f>
        <v>TC2070-FP CON SilkScreen &amp; Pads</v>
      </c>
      <c r="E40" t="str" s="15" cm="1">
        <f t="array" ref="E40">IF(ISBLANK(M40),"",HYPERLINK("https://jlcpcb.com/partdetail/"&amp;$M40,$M40))</f>
      </c>
      <c r="F40" t="str" s="15" cm="1">
        <f t="array" ref="F40">H40</f>
        <v>TC2070-FP</v>
      </c>
      <c r="G40" t="s" s="17">
        <v>170</v>
      </c>
      <c r="H40" t="str" s="19" cm="1">
        <f t="array" ref="H40">AI40</f>
        <v>TC2070-FP</v>
      </c>
      <c r="I40" t="s" s="17">
        <v>8</v>
      </c>
      <c r="J40" s="19"/>
      <c r="K40" t="s" s="17">
        <v>387</v>
      </c>
      <c r="L40" t="s" s="17">
        <v>388</v>
      </c>
      <c r="M40" s="28"/>
      <c r="N40" t="s" s="18">
        <v>424</v>
      </c>
      <c r="O40" s="17"/>
      <c r="P40" s="17"/>
      <c r="Q40" s="17"/>
      <c r="R40" s="17"/>
      <c r="S40" t="s" s="17">
        <v>390</v>
      </c>
      <c r="T40" t="s" s="17">
        <v>329</v>
      </c>
      <c r="U40" t="s" s="17">
        <v>175</v>
      </c>
      <c r="V40" s="17"/>
      <c r="W40" s="17"/>
      <c r="X40" s="17"/>
      <c r="Y40" s="17"/>
      <c r="Z40" s="17"/>
      <c r="AA40" s="17"/>
      <c r="AB40" s="17"/>
      <c r="AC40" s="17"/>
      <c r="AD40" s="19"/>
      <c r="AE40" s="19"/>
      <c r="AF40" s="29">
        <v>10</v>
      </c>
      <c r="AG40" s="19"/>
      <c r="AH40" t="s" s="21">
        <v>392</v>
      </c>
      <c r="AI40" t="s" s="17">
        <v>425</v>
      </c>
      <c r="AJ40" t="s" s="22">
        <v>426</v>
      </c>
      <c r="AK40" t="s" s="23">
        <v>427</v>
      </c>
      <c r="AL40" s="19"/>
    </row>
    <row r="41" ht="17.9" customHeight="1">
      <c r="B41" t="str" s="15" cm="1">
        <f t="array" ref="B41">G41&amp;"_"&amp;F41&amp;"_"&amp;R41</f>
        <v>DIO_4.7V_SOD-323</v>
      </c>
      <c r="C41" t="str" s="16" cm="1">
        <f t="array" ref="C41">$F41&amp;IF($G41="LED"," LED","")&amp;IF($V41="",""," ")&amp;$V41&amp;IF($L41="",""," ")&amp;$L41&amp;IF($W41="",""," ")&amp;$W41&amp;IF($X41="",""," ")&amp;$X41&amp;IF($Y41="",""," ")&amp;$Y41&amp;IF($AB41="",""," ")&amp;$AB41&amp;IF($AB41="","","mcd")</f>
        <v>4.7V zener 4.7V 5mA 200mW</v>
      </c>
      <c r="D41" t="str" s="16" cm="1">
        <f t="array" ref="D41">$F41&amp;" "&amp;G41&amp;IF($V41="",""," ")&amp;$V41&amp;IF($L41="",""," ")&amp;$L41&amp;IF($W41="",""," ")&amp;$W41&amp;IF($X41="",""," ")&amp;$X41&amp;IF($Y41="",""," ")&amp;$Y41&amp;IF($AB41="",""," ")&amp;$AB41&amp;IF($AB41="","","mcd")</f>
        <v>4.7V DIO zener 4.7V 5mA 200mW</v>
      </c>
      <c r="E41" t="str" s="15" cm="1">
        <f t="array" ref="E41">IF(ISBLANK(M41),"",HYPERLINK("https://jlcpcb.com/partdetail/"&amp;$M41,$M41))</f>
        <v>C353517</v>
      </c>
      <c r="F41" t="str" s="15" cm="1">
        <f t="array" ref="F41">H41</f>
        <v>4.7V</v>
      </c>
      <c r="G41" t="s" s="17">
        <v>433</v>
      </c>
      <c r="H41" t="s" s="17">
        <v>434</v>
      </c>
      <c r="I41" s="19"/>
      <c r="J41" s="19"/>
      <c r="K41" t="s" s="17">
        <v>10</v>
      </c>
      <c r="L41" t="s" s="17">
        <v>435</v>
      </c>
      <c r="M41" t="s" s="35">
        <v>436</v>
      </c>
      <c r="N41" t="s" s="36">
        <v>437</v>
      </c>
      <c r="O41" s="35"/>
      <c r="P41" s="35"/>
      <c r="Q41" s="35"/>
      <c r="R41" t="s" s="35">
        <v>438</v>
      </c>
      <c r="S41" s="17"/>
      <c r="T41" s="17"/>
      <c r="U41" s="17"/>
      <c r="V41" s="17"/>
      <c r="W41" t="s" s="17">
        <v>434</v>
      </c>
      <c r="X41" t="s" s="17">
        <v>439</v>
      </c>
      <c r="Y41" t="s" s="17">
        <v>440</v>
      </c>
      <c r="Z41" s="17"/>
      <c r="AA41" s="17"/>
      <c r="AB41" s="17"/>
      <c r="AC41" s="17"/>
      <c r="AD41" s="37"/>
      <c r="AE41" s="37"/>
      <c r="AF41" s="20">
        <v>5</v>
      </c>
      <c r="AG41" t="s" s="17">
        <v>51</v>
      </c>
      <c r="AH41" t="s" s="38">
        <v>441</v>
      </c>
      <c r="AI41" t="s" s="35">
        <v>442</v>
      </c>
      <c r="AJ41" t="s" s="21">
        <v>443</v>
      </c>
      <c r="AK41" t="s" s="33">
        <v>444</v>
      </c>
      <c r="AL41" t="s" s="17">
        <v>445</v>
      </c>
    </row>
    <row r="42" ht="17.9" customHeight="1">
      <c r="B42" t="str" s="15" cm="1">
        <f t="array" ref="B42">G42&amp;"_"&amp;F42&amp;"_"&amp;R42</f>
        <v>DIO_BAT54_SOT-23</v>
      </c>
      <c r="C42" t="str" s="16" cm="1">
        <f t="array" ref="C42">$F42&amp;IF($G42="LED"," LED","")&amp;IF($V42="",""," ")&amp;$V42&amp;IF($L42="",""," ")&amp;$L42&amp;IF($W42="",""," ")&amp;$W42&amp;IF($X42="",""," ")&amp;$X42&amp;IF($Y42="",""," ")&amp;$Y42&amp;IF($AB42="",""," ")&amp;$AB42&amp;IF($AB42="","","mcd")</f>
        <v>BAT54 single Schottkey 30V</v>
      </c>
      <c r="D42" t="str" s="16" cm="1">
        <f t="array" ref="D42">$F42&amp;" "&amp;G42&amp;IF($V42="",""," ")&amp;$V42&amp;IF($L42="",""," ")&amp;$L42&amp;IF($W42="",""," ")&amp;$W42&amp;IF($X42="",""," ")&amp;$X42&amp;IF($Y42="",""," ")&amp;$Y42&amp;IF($AB42="",""," ")&amp;$AB42&amp;IF($AB42="","","mcd")</f>
        <v>BAT54 DIO single Schottkey 30V</v>
      </c>
      <c r="E42" t="str" s="15" cm="1">
        <f t="array" ref="E42">IF(ISBLANK(M42),"",HYPERLINK("https://jlcpcb.com/partdetail/"&amp;$M42,$M42))</f>
        <v>C5261070</v>
      </c>
      <c r="F42" t="str" s="15" cm="1">
        <f t="array" ref="F42">H42</f>
        <v>BAT54</v>
      </c>
      <c r="G42" t="s" s="17">
        <v>433</v>
      </c>
      <c r="H42" t="str" s="19" cm="1">
        <f t="array" ref="H42">AI42</f>
        <v>BAT54</v>
      </c>
      <c r="I42" s="19"/>
      <c r="J42" s="19"/>
      <c r="K42" t="s" s="17">
        <v>10</v>
      </c>
      <c r="L42" t="s" s="17">
        <v>451</v>
      </c>
      <c r="M42" t="s" s="35">
        <v>452</v>
      </c>
      <c r="N42" t="s" s="39">
        <v>453</v>
      </c>
      <c r="O42" s="17"/>
      <c r="P42" s="17"/>
      <c r="Q42" s="17"/>
      <c r="R42" t="s" s="17">
        <v>454</v>
      </c>
      <c r="S42" s="17"/>
      <c r="T42" s="17"/>
      <c r="U42" s="17"/>
      <c r="V42" s="17"/>
      <c r="W42" t="s" s="17">
        <v>455</v>
      </c>
      <c r="X42" s="17"/>
      <c r="Y42" s="17"/>
      <c r="Z42" s="17"/>
      <c r="AA42" s="17"/>
      <c r="AB42" s="17"/>
      <c r="AC42" s="17"/>
      <c r="AD42" s="37"/>
      <c r="AE42" s="37"/>
      <c r="AF42" s="20">
        <v>5</v>
      </c>
      <c r="AG42" t="s" s="17">
        <v>51</v>
      </c>
      <c r="AH42" t="s" s="21">
        <v>456</v>
      </c>
      <c r="AI42" t="s" s="17">
        <v>457</v>
      </c>
      <c r="AJ42" t="s" s="40">
        <v>458</v>
      </c>
      <c r="AK42" t="s" s="41">
        <v>459</v>
      </c>
      <c r="AL42" t="s" s="17">
        <v>460</v>
      </c>
    </row>
    <row r="43" ht="17.9" customHeight="1">
      <c r="B43" t="str" s="15" cm="1">
        <f t="array" ref="B43">G43&amp;"_"&amp;F43&amp;"_"&amp;R43</f>
        <v>DIO_BAT54A_SOT-23</v>
      </c>
      <c r="C43" t="str" s="16" cm="1">
        <f t="array" ref="C43">$F43&amp;IF($G43="LED"," LED","")&amp;IF($V43="",""," ")&amp;$V43&amp;IF($L43="",""," ")&amp;$L43&amp;IF($W43="",""," ")&amp;$W43&amp;IF($X43="",""," ")&amp;$X43&amp;IF($Y43="",""," ")&amp;$Y43&amp;IF($AB43="",""," ")&amp;$AB43&amp;IF($AB43="","","mcd")</f>
        <v>BAT54A dual Schottkey common anode 30V</v>
      </c>
      <c r="D43" t="str" s="16" cm="1">
        <f t="array" ref="D43">$F43&amp;" "&amp;G43&amp;IF($V43="",""," ")&amp;$V43&amp;IF($L43="",""," ")&amp;$L43&amp;IF($W43="",""," ")&amp;$W43&amp;IF($X43="",""," ")&amp;$X43&amp;IF($Y43="",""," ")&amp;$Y43&amp;IF($AB43="",""," ")&amp;$AB43&amp;IF($AB43="","","mcd")</f>
        <v>BAT54A DIO dual Schottkey common anode 30V</v>
      </c>
      <c r="E43" t="str" s="15" cm="1">
        <f t="array" ref="E43">IF(ISBLANK(M43),"",HYPERLINK("https://jlcpcb.com/partdetail/"&amp;$M43,$M43))</f>
        <v>C2926172</v>
      </c>
      <c r="F43" t="str" s="15" cm="1">
        <f t="array" ref="F43">H43</f>
        <v>BAT54A</v>
      </c>
      <c r="G43" t="s" s="17">
        <v>433</v>
      </c>
      <c r="H43" t="str" s="19" cm="1">
        <f t="array" ref="H43">AI43</f>
        <v>BAT54A</v>
      </c>
      <c r="I43" s="19"/>
      <c r="J43" s="19"/>
      <c r="K43" t="s" s="17">
        <v>10</v>
      </c>
      <c r="L43" t="s" s="17">
        <v>466</v>
      </c>
      <c r="M43" t="s" s="35">
        <v>467</v>
      </c>
      <c r="N43" t="s" s="39">
        <v>468</v>
      </c>
      <c r="O43" s="17"/>
      <c r="P43" s="17"/>
      <c r="Q43" s="17"/>
      <c r="R43" t="s" s="17">
        <v>454</v>
      </c>
      <c r="S43" s="17"/>
      <c r="T43" s="17"/>
      <c r="U43" s="17"/>
      <c r="V43" s="17"/>
      <c r="W43" t="s" s="17">
        <v>455</v>
      </c>
      <c r="X43" s="17"/>
      <c r="Y43" s="17"/>
      <c r="Z43" s="17"/>
      <c r="AA43" s="17"/>
      <c r="AB43" s="17"/>
      <c r="AC43" s="17"/>
      <c r="AD43" s="37"/>
      <c r="AE43" s="37"/>
      <c r="AF43" s="20">
        <v>5</v>
      </c>
      <c r="AG43" t="s" s="17">
        <v>51</v>
      </c>
      <c r="AH43" t="s" s="21">
        <v>469</v>
      </c>
      <c r="AI43" t="s" s="17">
        <v>470</v>
      </c>
      <c r="AJ43" t="s" s="40">
        <v>471</v>
      </c>
      <c r="AK43" t="s" s="41">
        <v>459</v>
      </c>
      <c r="AL43" t="s" s="17">
        <v>472</v>
      </c>
    </row>
    <row r="44" ht="17.9" customHeight="1">
      <c r="B44" t="str" s="15" cm="1">
        <f t="array" ref="B44">G44&amp;"_"&amp;F44&amp;"_"&amp;R44</f>
        <v>DIO_BAT54C_SOT-23</v>
      </c>
      <c r="C44" t="str" s="16" cm="1">
        <f t="array" ref="C44">$F44&amp;IF($G44="LED"," LED","")&amp;IF($V44="",""," ")&amp;$V44&amp;IF($L44="",""," ")&amp;$L44&amp;IF($W44="",""," ")&amp;$W44&amp;IF($X44="",""," ")&amp;$X44&amp;IF($Y44="",""," ")&amp;$Y44&amp;IF($AB44="",""," ")&amp;$AB44&amp;IF($AB44="","","mcd")</f>
        <v>BAT54C dual Schottkey common cathode 30V</v>
      </c>
      <c r="D44" t="str" s="16" cm="1">
        <f t="array" ref="D44">$F44&amp;" "&amp;G44&amp;IF($V44="",""," ")&amp;$V44&amp;IF($L44="",""," ")&amp;$L44&amp;IF($W44="",""," ")&amp;$W44&amp;IF($X44="",""," ")&amp;$X44&amp;IF($Y44="",""," ")&amp;$Y44&amp;IF($AB44="",""," ")&amp;$AB44&amp;IF($AB44="","","mcd")</f>
        <v>BAT54C DIO dual Schottkey common cathode 30V</v>
      </c>
      <c r="E44" t="str" s="15" cm="1">
        <f t="array" ref="E44">IF(ISBLANK(M44),"",HYPERLINK("https://jlcpcb.com/partdetail/"&amp;$M44,$M44))</f>
        <v>C408388</v>
      </c>
      <c r="F44" t="str" s="15" cm="1">
        <f t="array" ref="F44">H44</f>
        <v>BAT54C</v>
      </c>
      <c r="G44" t="s" s="17">
        <v>433</v>
      </c>
      <c r="H44" t="str" s="19" cm="1">
        <f t="array" ref="H44">AI44</f>
        <v>BAT54C</v>
      </c>
      <c r="I44" s="19"/>
      <c r="J44" s="19"/>
      <c r="K44" t="s" s="17">
        <v>10</v>
      </c>
      <c r="L44" t="s" s="17">
        <v>478</v>
      </c>
      <c r="M44" t="s" s="18">
        <v>479</v>
      </c>
      <c r="N44" t="s" s="18">
        <v>480</v>
      </c>
      <c r="O44" s="17"/>
      <c r="P44" s="17"/>
      <c r="Q44" s="17"/>
      <c r="R44" t="s" s="17">
        <v>454</v>
      </c>
      <c r="S44" s="17"/>
      <c r="T44" s="17"/>
      <c r="U44" s="17"/>
      <c r="V44" s="17"/>
      <c r="W44" t="s" s="17">
        <v>455</v>
      </c>
      <c r="X44" s="17"/>
      <c r="Y44" s="17"/>
      <c r="Z44" s="17"/>
      <c r="AA44" s="17"/>
      <c r="AB44" s="17"/>
      <c r="AC44" s="17"/>
      <c r="AD44" s="28"/>
      <c r="AE44" s="28"/>
      <c r="AF44" s="20">
        <v>1</v>
      </c>
      <c r="AG44" t="s" s="17">
        <v>51</v>
      </c>
      <c r="AH44" t="s" s="21">
        <v>481</v>
      </c>
      <c r="AI44" t="s" s="17">
        <v>482</v>
      </c>
      <c r="AJ44" t="s" s="21">
        <v>483</v>
      </c>
      <c r="AK44" t="s" s="41">
        <v>459</v>
      </c>
      <c r="AL44" t="s" s="17">
        <v>484</v>
      </c>
    </row>
    <row r="45" ht="17.9" customHeight="1">
      <c r="B45" t="str" s="15" cm="1">
        <f t="array" ref="B45">G45&amp;"_"&amp;F45&amp;"_"&amp;R45</f>
        <v>DIO_BAT54S_SOT-23</v>
      </c>
      <c r="C45" t="str" s="16" cm="1">
        <f t="array" ref="C45">$F45&amp;IF($G45="LED"," LED","")&amp;IF($V45="",""," ")&amp;$V45&amp;IF($L45="",""," ")&amp;$L45&amp;IF($W45="",""," ")&amp;$W45&amp;IF($X45="",""," ")&amp;$X45&amp;IF($Y45="",""," ")&amp;$Y45&amp;IF($AB45="",""," ")&amp;$AB45&amp;IF($AB45="","","mcd")</f>
        <v>BAT54S dual Schottkey series 30V</v>
      </c>
      <c r="D45" t="str" s="16" cm="1">
        <f t="array" ref="D45">$F45&amp;" "&amp;G45&amp;IF($V45="",""," ")&amp;$V45&amp;IF($L45="",""," ")&amp;$L45&amp;IF($W45="",""," ")&amp;$W45&amp;IF($X45="",""," ")&amp;$X45&amp;IF($Y45="",""," ")&amp;$Y45&amp;IF($AB45="",""," ")&amp;$AB45&amp;IF($AB45="","","mcd")</f>
        <v>BAT54S DIO dual Schottkey series 30V</v>
      </c>
      <c r="E45" t="str" s="15" cm="1">
        <f t="array" ref="E45">IF(ISBLANK(M45),"",HYPERLINK("https://jlcpcb.com/partdetail/"&amp;$M45,$M45))</f>
        <v>C2926174</v>
      </c>
      <c r="F45" t="str" s="15" cm="1">
        <f t="array" ref="F45">H45</f>
        <v>BAT54S</v>
      </c>
      <c r="G45" t="s" s="17">
        <v>433</v>
      </c>
      <c r="H45" t="str" s="19" cm="1">
        <f t="array" ref="H45">AI45</f>
        <v>BAT54S</v>
      </c>
      <c r="I45" s="19"/>
      <c r="J45" s="19"/>
      <c r="K45" t="s" s="17">
        <v>10</v>
      </c>
      <c r="L45" t="s" s="17">
        <v>490</v>
      </c>
      <c r="M45" t="s" s="35">
        <v>491</v>
      </c>
      <c r="N45" t="s" s="39">
        <v>492</v>
      </c>
      <c r="O45" s="17"/>
      <c r="P45" s="17"/>
      <c r="Q45" s="17"/>
      <c r="R45" t="s" s="17">
        <v>454</v>
      </c>
      <c r="S45" s="17"/>
      <c r="T45" s="17"/>
      <c r="U45" s="17"/>
      <c r="V45" s="17"/>
      <c r="W45" t="s" s="17">
        <v>455</v>
      </c>
      <c r="X45" s="17"/>
      <c r="Y45" s="17"/>
      <c r="Z45" s="17"/>
      <c r="AA45" s="17"/>
      <c r="AB45" s="17"/>
      <c r="AC45" s="17"/>
      <c r="AD45" s="37"/>
      <c r="AE45" s="37"/>
      <c r="AF45" s="20">
        <v>5</v>
      </c>
      <c r="AG45" t="s" s="17">
        <v>51</v>
      </c>
      <c r="AH45" t="s" s="21">
        <v>469</v>
      </c>
      <c r="AI45" t="s" s="17">
        <v>493</v>
      </c>
      <c r="AJ45" t="s" s="40">
        <v>494</v>
      </c>
      <c r="AK45" t="s" s="41">
        <v>459</v>
      </c>
      <c r="AL45" t="s" s="17">
        <v>495</v>
      </c>
    </row>
    <row r="46" ht="17.9" customHeight="1">
      <c r="B46" t="str" s="15" cm="1">
        <f t="array" ref="B46">G46&amp;"_"&amp;F46&amp;"_"&amp;R46</f>
        <v>DIO_BAV99_SOT-23</v>
      </c>
      <c r="C46" t="str" s="16" cm="1">
        <f t="array" ref="C46">$F46&amp;IF($G46="LED"," LED","")&amp;IF($V46="",""," ")&amp;$V46&amp;IF($L46="",""," ")&amp;$L46&amp;IF($W46="",""," ")&amp;$W46&amp;IF($X46="",""," ")&amp;$X46&amp;IF($Y46="",""," ")&amp;$Y46&amp;IF($AB46="",""," ")&amp;$AB46&amp;IF($AB46="","","mcd")</f>
        <v>BAV99 dual switching diode 100V</v>
      </c>
      <c r="D46" t="str" s="16" cm="1">
        <f t="array" ref="D46">$F46&amp;" "&amp;G46&amp;IF($V46="",""," ")&amp;$V46&amp;IF($L46="",""," ")&amp;$L46&amp;IF($W46="",""," ")&amp;$W46&amp;IF($X46="",""," ")&amp;$X46&amp;IF($Y46="",""," ")&amp;$Y46&amp;IF($AB46="",""," ")&amp;$AB46&amp;IF($AB46="","","mcd")</f>
        <v>BAV99 DIO dual switching diode 100V</v>
      </c>
      <c r="E46" t="str" s="15" cm="1">
        <f t="array" ref="E46">IF(ISBLANK(M46),"",HYPERLINK("https://jlcpcb.com/partdetail/"&amp;$M46,$M46))</f>
        <v>C2500</v>
      </c>
      <c r="F46" t="str" s="15" cm="1">
        <f t="array" ref="F46">H46</f>
        <v>BAV99</v>
      </c>
      <c r="G46" t="s" s="17">
        <v>433</v>
      </c>
      <c r="H46" t="s" s="17">
        <v>501</v>
      </c>
      <c r="I46" s="19"/>
      <c r="J46" s="19"/>
      <c r="K46" t="s" s="17">
        <v>10</v>
      </c>
      <c r="L46" t="s" s="17">
        <v>502</v>
      </c>
      <c r="M46" t="s" s="24">
        <v>503</v>
      </c>
      <c r="N46" t="s" s="18">
        <v>504</v>
      </c>
      <c r="O46" s="17"/>
      <c r="P46" s="17"/>
      <c r="Q46" s="17"/>
      <c r="R46" t="s" s="17">
        <v>454</v>
      </c>
      <c r="S46" s="17"/>
      <c r="T46" s="17"/>
      <c r="U46" s="17"/>
      <c r="V46" s="17"/>
      <c r="W46" t="s" s="17">
        <v>505</v>
      </c>
      <c r="X46" s="17"/>
      <c r="Y46" s="17"/>
      <c r="Z46" s="17"/>
      <c r="AA46" s="17"/>
      <c r="AB46" s="17"/>
      <c r="AC46" s="17"/>
      <c r="AD46" s="28"/>
      <c r="AE46" s="28"/>
      <c r="AF46" s="42"/>
      <c r="AG46" s="19"/>
      <c r="AH46" t="s" s="43">
        <v>506</v>
      </c>
      <c r="AI46" t="s" s="24">
        <v>507</v>
      </c>
      <c r="AJ46" t="s" s="21">
        <v>508</v>
      </c>
      <c r="AK46" t="s" s="41">
        <v>459</v>
      </c>
      <c r="AL46" t="s" s="17">
        <v>509</v>
      </c>
    </row>
    <row r="47" ht="18.9" customHeight="1">
      <c r="B47" t="str" s="44" cm="1">
        <f t="array" ref="B47">G47&amp;"_"&amp;R47&amp;"_"&amp;F47</f>
        <v>IC_SMD-6P_4N28SM</v>
      </c>
      <c r="C47" t="str" s="16" cm="1">
        <f t="array" ref="C47">$F47&amp;IF($G47="LED"," LED","")&amp;IF($V47="",""," ")&amp;$V47&amp;IF($L47="",""," ")&amp;$L47&amp;IF($W47="",""," ")&amp;$W47&amp;IF($X47="",""," ")&amp;$X47&amp;IF($Y47="",""," ")&amp;$Y47&amp;IF($AB47="",""," ")&amp;$AB47&amp;IF($AB47="","","mcd")</f>
        <v>4N28SM Phototransistor 0 0.010A</v>
      </c>
      <c r="D47" t="str" s="16" cm="1">
        <f t="array" ref="D47">$F47&amp;" "&amp;G47&amp;IF($V47="",""," ")&amp;$V47&amp;IF($L47="",""," ")&amp;$L47&amp;IF($W47="",""," ")&amp;$W47&amp;IF($X47="",""," ")&amp;$X47&amp;IF($Y47="",""," ")&amp;$Y47&amp;IF($AB47="",""," ")&amp;$AB47&amp;IF($AB47="","","mcd")</f>
        <v>4N28SM IC Phototransistor 0 0.010A</v>
      </c>
      <c r="E47" t="str" s="15" cm="1">
        <f t="array" ref="E47">IF(ISBLANK(M47),"",HYPERLINK("https://jlcpcb.com/partdetail/"&amp;$M47,$M47))</f>
        <v>C898949</v>
      </c>
      <c r="F47" t="str" s="15" cm="1">
        <f t="array" ref="F47">H47</f>
        <v>4N28SM</v>
      </c>
      <c r="G47" t="s" s="17">
        <v>515</v>
      </c>
      <c r="H47" t="str" s="19" cm="1">
        <f t="array" ref="H47">AI47</f>
        <v>4N28SM</v>
      </c>
      <c r="I47" s="19"/>
      <c r="J47" s="19"/>
      <c r="K47" t="s" s="17">
        <v>10</v>
      </c>
      <c r="L47" t="s" s="17">
        <v>516</v>
      </c>
      <c r="M47" t="s" s="18">
        <v>517</v>
      </c>
      <c r="N47" t="s" s="18">
        <v>518</v>
      </c>
      <c r="O47" s="17"/>
      <c r="P47" s="17"/>
      <c r="Q47" s="17"/>
      <c r="R47" t="s" s="17">
        <v>519</v>
      </c>
      <c r="S47" s="17"/>
      <c r="T47" t="s" s="17">
        <v>520</v>
      </c>
      <c r="U47" t="s" s="17">
        <v>521</v>
      </c>
      <c r="V47" s="17"/>
      <c r="W47" t="s" s="17">
        <v>522</v>
      </c>
      <c r="X47" t="s" s="17">
        <v>523</v>
      </c>
      <c r="Y47" s="17"/>
      <c r="Z47" s="17"/>
      <c r="AA47" s="17"/>
      <c r="AB47" s="17"/>
      <c r="AC47" s="17"/>
      <c r="AD47" s="28"/>
      <c r="AE47" s="28"/>
      <c r="AF47" s="20">
        <v>1</v>
      </c>
      <c r="AG47" t="s" s="17">
        <v>51</v>
      </c>
      <c r="AH47" t="s" s="21">
        <v>524</v>
      </c>
      <c r="AI47" t="s" s="17">
        <v>525</v>
      </c>
      <c r="AJ47" t="s" s="40">
        <v>526</v>
      </c>
      <c r="AK47" t="s" s="23">
        <v>527</v>
      </c>
      <c r="AL47" t="s" s="17">
        <v>528</v>
      </c>
    </row>
    <row r="48" ht="20.15" customHeight="1">
      <c r="B48" t="str" s="15" cm="1">
        <f t="array" ref="B48">G48&amp;"_"&amp;F48&amp;"_"&amp;R48</f>
        <v>IC_LM358D_SOP-8</v>
      </c>
      <c r="C48" t="str" s="16" cm="1">
        <f t="array" ref="C48">$F48&amp;IF($G48="LED"," LED","")&amp;IF($V48="",""," ")&amp;$V48&amp;IF($L48="",""," ")&amp;$L48&amp;IF($W48="",""," ")&amp;$W48&amp;IF($X48="",""," ")&amp;$X48&amp;IF($Y48="",""," ")&amp;$Y48&amp;IF($AB48="",""," ")&amp;$AB48&amp;IF($AB48="","","mcd")</f>
        <v>LM358D dual OpAmp ±15V or +30V</v>
      </c>
      <c r="D48" t="str" s="16" cm="1">
        <f t="array" ref="D48">$F48&amp;" "&amp;G48&amp;IF($V48="",""," ")&amp;$V48&amp;IF($L48="",""," ")&amp;$L48&amp;IF($W48="",""," ")&amp;$W48&amp;IF($X48="",""," ")&amp;$X48&amp;IF($Y48="",""," ")&amp;$Y48&amp;IF($AB48="",""," ")&amp;$AB48&amp;IF($AB48="","","mcd")</f>
        <v>LM358D IC dual OpAmp ±15V or +30V</v>
      </c>
      <c r="E48" t="str" s="15" cm="1">
        <f t="array" ref="E48">IF(ISBLANK(M48),"",HYPERLINK("https://jlcpcb.com/partdetail/"&amp;$M48,$M48))</f>
        <v>C2683482</v>
      </c>
      <c r="F48" t="str" s="15" cm="1">
        <f t="array" ref="F48">H48</f>
        <v>LM358D</v>
      </c>
      <c r="G48" t="s" s="17">
        <v>515</v>
      </c>
      <c r="H48" t="str" s="19" cm="1">
        <f t="array" ref="H48">AI48</f>
        <v>LM358D</v>
      </c>
      <c r="I48" s="19"/>
      <c r="J48" t="s" s="17">
        <v>534</v>
      </c>
      <c r="K48" t="s" s="17">
        <v>10</v>
      </c>
      <c r="L48" t="s" s="17">
        <v>535</v>
      </c>
      <c r="M48" t="s" s="18">
        <v>536</v>
      </c>
      <c r="N48" t="s" s="18">
        <v>537</v>
      </c>
      <c r="O48" s="17"/>
      <c r="P48" s="17"/>
      <c r="Q48" s="17"/>
      <c r="R48" t="s" s="17">
        <v>538</v>
      </c>
      <c r="S48" s="17"/>
      <c r="T48" s="17"/>
      <c r="U48" s="17"/>
      <c r="V48" s="17"/>
      <c r="W48" t="s" s="17">
        <v>539</v>
      </c>
      <c r="X48" s="17"/>
      <c r="Y48" s="17"/>
      <c r="Z48" s="17"/>
      <c r="AA48" s="17"/>
      <c r="AB48" s="17"/>
      <c r="AC48" s="17"/>
      <c r="AD48" s="28"/>
      <c r="AE48" s="28"/>
      <c r="AF48" s="20">
        <v>1</v>
      </c>
      <c r="AG48" t="s" s="17">
        <v>51</v>
      </c>
      <c r="AH48" t="s" s="21">
        <v>540</v>
      </c>
      <c r="AI48" t="s" s="17">
        <v>541</v>
      </c>
      <c r="AJ48" t="s" s="22">
        <v>542</v>
      </c>
      <c r="AK48" t="s" s="23">
        <v>543</v>
      </c>
      <c r="AL48" t="s" s="17">
        <v>544</v>
      </c>
    </row>
    <row r="49" ht="20.15" customHeight="1">
      <c r="B49" t="str" s="15" cm="1">
        <f t="array" ref="B49">G49&amp;"_"&amp;F49&amp;"_"&amp;R49</f>
        <v>IC_MCP23017_SOIC-28-300mil</v>
      </c>
      <c r="C49" t="str" s="16" cm="1">
        <f t="array" ref="C49">$F49&amp;IF($G49="LED"," LED","")&amp;IF($V49="",""," ")&amp;$V49&amp;IF($L49="",""," ")&amp;$L49&amp;IF($W49="",""," ")&amp;$W49&amp;IF($X49="",""," ")&amp;$X49&amp;IF($Y49="",""," ")&amp;$Y49&amp;IF($AB49="",""," ")&amp;$AB49&amp;IF($AB49="","","mcd")</f>
        <v>MCP23017 I2C 16-bit I/O Expander</v>
      </c>
      <c r="D49" t="str" s="16" cm="1">
        <f t="array" ref="D49">$F49&amp;" "&amp;G49&amp;IF($V49="",""," ")&amp;$V49&amp;IF($L49="",""," ")&amp;$L49&amp;IF($W49="",""," ")&amp;$W49&amp;IF($X49="",""," ")&amp;$X49&amp;IF($Y49="",""," ")&amp;$Y49&amp;IF($AB49="",""," ")&amp;$AB49&amp;IF($AB49="","","mcd")</f>
        <v>MCP23017 IC I2C 16-bit I/O Expander</v>
      </c>
      <c r="E49" t="str" s="15" cm="1">
        <f t="array" ref="E49">IF(ISBLANK(M49),"",HYPERLINK("https://jlcpcb.com/partdetail/"&amp;$M49,$M49))</f>
        <v>C629440</v>
      </c>
      <c r="F49" t="str" s="15" cm="1">
        <f t="array" ref="F49">H49</f>
        <v>MCP23017</v>
      </c>
      <c r="G49" t="s" s="17">
        <v>515</v>
      </c>
      <c r="H49" t="s" s="17">
        <v>550</v>
      </c>
      <c r="I49" s="19"/>
      <c r="J49" s="19"/>
      <c r="K49" t="s" s="17">
        <v>10</v>
      </c>
      <c r="L49" t="s" s="17">
        <v>551</v>
      </c>
      <c r="M49" t="s" s="18">
        <v>552</v>
      </c>
      <c r="N49" t="s" s="18">
        <v>553</v>
      </c>
      <c r="O49" s="35"/>
      <c r="P49" s="35"/>
      <c r="Q49" s="35"/>
      <c r="R49" t="s" s="35">
        <v>554</v>
      </c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28"/>
      <c r="AE49" s="28"/>
      <c r="AF49" s="20">
        <v>1</v>
      </c>
      <c r="AG49" t="s" s="17">
        <v>51</v>
      </c>
      <c r="AH49" t="s" s="38">
        <v>555</v>
      </c>
      <c r="AI49" t="s" s="35">
        <v>556</v>
      </c>
      <c r="AJ49" t="s" s="21">
        <v>557</v>
      </c>
      <c r="AK49" t="s" s="33">
        <v>558</v>
      </c>
      <c r="AL49" t="s" s="17">
        <v>559</v>
      </c>
    </row>
    <row r="50" ht="20.15" customHeight="1">
      <c r="B50" t="str" s="15" cm="1">
        <f t="array" ref="B50">G50&amp;"_"&amp;F50&amp;"_"&amp;R50</f>
        <v>IC_NE555D_SOP-8</v>
      </c>
      <c r="C50" t="str" s="16" cm="1">
        <f t="array" ref="C50">$F50&amp;IF($G50="LED"," LED","")&amp;IF($V50="",""," ")&amp;$V50&amp;IF($L50="",""," ")&amp;$L50&amp;IF($W50="",""," ")&amp;$W50&amp;IF($X50="",""," ")&amp;$X50&amp;IF($Y50="",""," ")&amp;$Y50&amp;IF($AB50="",""," ")&amp;$AB50&amp;IF($AB50="","","mcd")</f>
        <v>NE555D 16v</v>
      </c>
      <c r="D50" t="str" s="16" cm="1">
        <f t="array" ref="D50">$F50&amp;" "&amp;G50&amp;IF($V50="",""," ")&amp;$V50&amp;IF($L50="",""," ")&amp;$L50&amp;IF($W50="",""," ")&amp;$W50&amp;IF($X50="",""," ")&amp;$X50&amp;IF($Y50="",""," ")&amp;$Y50&amp;IF($AB50="",""," ")&amp;$AB50&amp;IF($AB50="","","mcd")</f>
        <v>NE555D IC 16v</v>
      </c>
      <c r="E50" t="str" s="15" cm="1">
        <f t="array" ref="E50">IF(ISBLANK(M50),"",HYPERLINK("https://jlcpcb.com/partdetail/"&amp;$M50,$M50))</f>
        <v>C695838</v>
      </c>
      <c r="F50" t="str" s="15" cm="1">
        <f t="array" ref="F50">H50</f>
        <v>NE555D</v>
      </c>
      <c r="G50" t="s" s="17">
        <v>515</v>
      </c>
      <c r="H50" t="s" s="17">
        <v>565</v>
      </c>
      <c r="I50" s="19"/>
      <c r="J50" s="19"/>
      <c r="K50" t="s" s="17">
        <v>10</v>
      </c>
      <c r="L50" s="17"/>
      <c r="M50" t="s" s="24">
        <v>566</v>
      </c>
      <c r="N50" t="s" s="18">
        <v>567</v>
      </c>
      <c r="O50" s="35"/>
      <c r="P50" s="35"/>
      <c r="Q50" s="35"/>
      <c r="R50" t="s" s="35">
        <v>538</v>
      </c>
      <c r="S50" s="17"/>
      <c r="T50" s="17"/>
      <c r="U50" s="17"/>
      <c r="V50" s="17"/>
      <c r="W50" t="s" s="17">
        <v>568</v>
      </c>
      <c r="X50" s="17"/>
      <c r="Y50" s="17"/>
      <c r="Z50" s="17"/>
      <c r="AA50" s="17"/>
      <c r="AB50" s="17"/>
      <c r="AC50" s="17"/>
      <c r="AD50" s="28"/>
      <c r="AE50" s="28"/>
      <c r="AF50" s="42"/>
      <c r="AG50" s="19"/>
      <c r="AH50" t="s" s="45">
        <v>569</v>
      </c>
      <c r="AI50" t="s" s="46">
        <v>570</v>
      </c>
      <c r="AJ50" t="s" s="21">
        <v>571</v>
      </c>
      <c r="AK50" t="s" s="33">
        <v>572</v>
      </c>
      <c r="AL50" t="s" s="17">
        <v>573</v>
      </c>
    </row>
    <row r="51" ht="20.15" customHeight="1">
      <c r="B51" t="str" s="15" cm="1">
        <f t="array" ref="B51">G51&amp;"_"&amp;F51&amp;"_"&amp;R51</f>
        <v>IC_NE556_SOP-14</v>
      </c>
      <c r="C51" t="str" s="16" cm="1">
        <f t="array" ref="C51">$F51&amp;IF($G51="LED"," LED","")&amp;IF($V51="",""," ")&amp;$V51&amp;IF($L51="",""," ")&amp;$L51&amp;IF($W51="",""," ")&amp;$W51&amp;IF($X51="",""," ")&amp;$X51&amp;IF($Y51="",""," ")&amp;$Y51&amp;IF($AB51="",""," ")&amp;$AB51&amp;IF($AB51="","","mcd")</f>
        <v>NE556 Dual Timer 16V 600mW</v>
      </c>
      <c r="D51" t="str" s="16" cm="1">
        <f t="array" ref="D51">$F51&amp;" "&amp;G51&amp;IF($V51="",""," ")&amp;$V51&amp;IF($L51="",""," ")&amp;$L51&amp;IF($W51="",""," ")&amp;$W51&amp;IF($X51="",""," ")&amp;$X51&amp;IF($Y51="",""," ")&amp;$Y51&amp;IF($AB51="",""," ")&amp;$AB51&amp;IF($AB51="","","mcd")</f>
        <v>NE556 IC Dual Timer 16V 600mW</v>
      </c>
      <c r="E51" t="str" s="15" cm="1">
        <f t="array" ref="E51">IF(ISBLANK(M51),"",HYPERLINK("https://jlcpcb.com/partdetail/"&amp;$M51,$M51))</f>
        <v>C5145392</v>
      </c>
      <c r="F51" t="str" s="15" cm="1">
        <f t="array" ref="F51">H51</f>
        <v>NE556</v>
      </c>
      <c r="G51" t="s" s="17">
        <v>515</v>
      </c>
      <c r="H51" t="s" s="17">
        <v>579</v>
      </c>
      <c r="I51" s="19"/>
      <c r="J51" s="19"/>
      <c r="K51" t="s" s="17">
        <v>10</v>
      </c>
      <c r="L51" t="s" s="17">
        <v>580</v>
      </c>
      <c r="M51" t="s" s="18">
        <v>581</v>
      </c>
      <c r="N51" t="s" s="18">
        <v>582</v>
      </c>
      <c r="O51" s="35"/>
      <c r="P51" s="35"/>
      <c r="Q51" s="35"/>
      <c r="R51" t="s" s="35">
        <v>583</v>
      </c>
      <c r="S51" s="17"/>
      <c r="T51" s="17"/>
      <c r="U51" s="17"/>
      <c r="V51" s="17"/>
      <c r="W51" t="s" s="17">
        <v>105</v>
      </c>
      <c r="X51" s="17"/>
      <c r="Y51" t="s" s="17">
        <v>584</v>
      </c>
      <c r="Z51" s="17"/>
      <c r="AA51" s="17"/>
      <c r="AB51" s="17"/>
      <c r="AC51" s="17"/>
      <c r="AD51" s="28"/>
      <c r="AE51" s="28"/>
      <c r="AF51" s="20">
        <v>5</v>
      </c>
      <c r="AG51" t="s" s="17">
        <v>51</v>
      </c>
      <c r="AH51" t="s" s="38">
        <v>585</v>
      </c>
      <c r="AI51" t="s" s="35">
        <v>586</v>
      </c>
      <c r="AJ51" t="s" s="21">
        <v>587</v>
      </c>
      <c r="AK51" t="s" s="33">
        <v>588</v>
      </c>
      <c r="AL51" t="s" s="17">
        <v>589</v>
      </c>
    </row>
    <row r="52" ht="20.15" customHeight="1">
      <c r="B52" t="str" s="15" cm="1">
        <f t="array" ref="B52">G52&amp;"_"&amp;F52&amp;"_"&amp;R52</f>
        <v>IC_PCA9685_TSSOP-28</v>
      </c>
      <c r="C52" t="str" s="16" cm="1">
        <f t="array" ref="C52">$F52&amp;IF($G52="LED"," LED","")&amp;IF($V52="",""," ")&amp;$V52&amp;IF($L52="",""," ")&amp;$L52&amp;IF($W52="",""," ")&amp;$W52&amp;IF($X52="",""," ")&amp;$X52&amp;IF($Y52="",""," ")&amp;$Y52&amp;IF($AB52="",""," ")&amp;$AB52&amp;IF($AB52="","","mcd")</f>
        <v>PCA9685 I2C 16-bit PWM LED Driver</v>
      </c>
      <c r="D52" t="str" s="16" cm="1">
        <f t="array" ref="D52">$F52&amp;" "&amp;G52&amp;IF($V52="",""," ")&amp;$V52&amp;IF($L52="",""," ")&amp;$L52&amp;IF($W52="",""," ")&amp;$W52&amp;IF($X52="",""," ")&amp;$X52&amp;IF($Y52="",""," ")&amp;$Y52&amp;IF($AB52="",""," ")&amp;$AB52&amp;IF($AB52="","","mcd")</f>
        <v>PCA9685 IC I2C 16-bit PWM LED Driver</v>
      </c>
      <c r="E52" t="str" s="15" cm="1">
        <f t="array" ref="E52">IF(ISBLANK(M52),"",HYPERLINK("https://jlcpcb.com/partdetail/"&amp;$M52,$M52))</f>
        <v>C2678753</v>
      </c>
      <c r="F52" t="str" s="15" cm="1">
        <f t="array" ref="F52">H52</f>
        <v>PCA9685</v>
      </c>
      <c r="G52" t="s" s="17">
        <v>515</v>
      </c>
      <c r="H52" t="s" s="17">
        <v>595</v>
      </c>
      <c r="I52" s="19"/>
      <c r="J52" s="19"/>
      <c r="K52" t="s" s="17">
        <v>10</v>
      </c>
      <c r="L52" t="s" s="17">
        <v>596</v>
      </c>
      <c r="M52" t="s" s="18">
        <v>597</v>
      </c>
      <c r="N52" t="s" s="18">
        <v>598</v>
      </c>
      <c r="O52" s="35"/>
      <c r="P52" s="35"/>
      <c r="Q52" s="35"/>
      <c r="R52" t="s" s="35">
        <v>599</v>
      </c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28"/>
      <c r="AE52" s="28"/>
      <c r="AF52" s="20">
        <v>1</v>
      </c>
      <c r="AG52" t="s" s="17">
        <v>51</v>
      </c>
      <c r="AH52" t="s" s="38">
        <v>600</v>
      </c>
      <c r="AI52" t="s" s="35">
        <v>601</v>
      </c>
      <c r="AJ52" t="s" s="21">
        <v>602</v>
      </c>
      <c r="AK52" t="s" s="33">
        <v>603</v>
      </c>
      <c r="AL52" t="s" s="17">
        <v>604</v>
      </c>
    </row>
    <row r="53" ht="18.9" customHeight="1">
      <c r="B53" t="str" s="44" cm="1">
        <f t="array" ref="B53">G53&amp;"_"&amp;R53&amp;"_"&amp;F53</f>
        <v>IND_17.2x9.5mm_FIS121NL</v>
      </c>
      <c r="C53" t="str" s="16" cm="1">
        <f t="array" ref="C53">$F53&amp;IF($G53="LED"," LED","")&amp;IF($V53="",""," ")&amp;$V53&amp;IF($L53="",""," ")&amp;$L53&amp;IF($W53="",""," ")&amp;$W53&amp;IF($X53="",""," ")&amp;$X53&amp;IF($Y53="",""," ")&amp;$Y53&amp;IF($AB53="",""," ")&amp;$AB53&amp;IF($AB53="","","mcd")</f>
        <v>FIS121NL Pulse Transformer</v>
      </c>
      <c r="D53" t="str" s="16" cm="1">
        <f t="array" ref="D53">$F53&amp;" "&amp;G53&amp;IF($V53="",""," ")&amp;$V53&amp;IF($L53="",""," ")&amp;$L53&amp;IF($W53="",""," ")&amp;$W53&amp;IF($X53="",""," ")&amp;$X53&amp;IF($Y53="",""," ")&amp;$Y53&amp;IF($AB53="",""," ")&amp;$AB53&amp;IF($AB53="","","mcd")</f>
        <v>FIS121NL IND Pulse Transformer</v>
      </c>
      <c r="E53" t="str" s="15" cm="1">
        <f t="array" ref="E53">IF(ISBLANK(M53),"",HYPERLINK("https://jlcpcb.com/partdetail/"&amp;$M53,$M53))</f>
        <v>C6555619</v>
      </c>
      <c r="F53" t="str" s="15" cm="1">
        <f t="array" ref="F53">H53</f>
        <v>FIS121NL</v>
      </c>
      <c r="G53" t="s" s="17">
        <v>610</v>
      </c>
      <c r="H53" t="str" s="19" cm="1">
        <f t="array" ref="H53">AI53</f>
        <v>FIS121NL</v>
      </c>
      <c r="I53" s="19"/>
      <c r="J53" t="s" s="17">
        <v>611</v>
      </c>
      <c r="K53" t="s" s="17">
        <v>114</v>
      </c>
      <c r="L53" t="s" s="17">
        <v>612</v>
      </c>
      <c r="M53" t="s" s="18">
        <v>613</v>
      </c>
      <c r="N53" t="s" s="18">
        <v>614</v>
      </c>
      <c r="O53" t="s" s="17">
        <v>615</v>
      </c>
      <c r="P53" s="17"/>
      <c r="Q53" s="17"/>
      <c r="R53" t="s" s="18">
        <v>616</v>
      </c>
      <c r="S53" t="s" s="47">
        <v>617</v>
      </c>
      <c r="T53" s="17"/>
      <c r="U53" t="s" s="17">
        <v>618</v>
      </c>
      <c r="V53" s="17"/>
      <c r="W53" s="17"/>
      <c r="X53" s="17"/>
      <c r="Y53" s="17"/>
      <c r="Z53" s="17"/>
      <c r="AA53" s="17"/>
      <c r="AB53" s="17"/>
      <c r="AC53" t="s" s="17">
        <v>619</v>
      </c>
      <c r="AD53" s="28"/>
      <c r="AE53" s="28"/>
      <c r="AF53" s="42"/>
      <c r="AG53" s="19"/>
      <c r="AH53" t="s" s="21">
        <v>620</v>
      </c>
      <c r="AI53" t="s" s="17">
        <v>621</v>
      </c>
      <c r="AJ53" s="48"/>
      <c r="AK53" s="27"/>
      <c r="AL53" t="s" s="17">
        <v>622</v>
      </c>
    </row>
    <row r="54" ht="19.3" customHeight="1">
      <c r="B54" t="str" s="15" cm="1">
        <f t="array" ref="B54">G54&amp;"_"&amp;F54&amp;"_"&amp;R54&amp;"_"&amp;X54</f>
        <v>LED_Blue_0603_20mA</v>
      </c>
      <c r="C54" t="str" s="16" cm="1">
        <f t="array" ref="C54">$F54&amp;IF($G54="LED"," LED","")&amp;IF($V54="",""," ")&amp;$V54&amp;IF($L54="",""," ")&amp;$L54&amp;IF($W54="",""," ")&amp;$W54&amp;IF($X54="",""," ")&amp;$X54&amp;IF($Y54="",""," ")&amp;$Y54&amp;IF($AB54="",""," ")&amp;$AB54&amp;IF($AB54="","","mcd")</f>
        <v>Blue LED clear 3.3V 20mA 240mcd</v>
      </c>
      <c r="D54" t="str" s="16" cm="1">
        <f t="array" ref="D54">$F54&amp;" "&amp;G54&amp;IF($V54="",""," ")&amp;$V54&amp;IF($L54="",""," ")&amp;$L54&amp;IF($W54="",""," ")&amp;$W54&amp;IF($X54="",""," ")&amp;$X54&amp;IF($Y54="",""," ")&amp;$Y54&amp;IF($AB54="",""," ")&amp;$AB54&amp;IF($AB54="","","mcd")</f>
        <v>Blue LED clear 3.3V 20mA 240mcd</v>
      </c>
      <c r="E54" t="str" s="15" cm="1">
        <f t="array" ref="E54">IF(ISBLANK(M54),"",HYPERLINK("https://jlcpcb.com/partdetail/"&amp;$M54,$M54))</f>
        <v>C965807</v>
      </c>
      <c r="F54" t="str" s="15" cm="1">
        <f t="array" ref="F54">H54</f>
        <v>Blue</v>
      </c>
      <c r="G54" t="s" s="17">
        <v>627</v>
      </c>
      <c r="H54" t="s" s="17">
        <v>628</v>
      </c>
      <c r="I54" s="19"/>
      <c r="J54" t="s" s="17">
        <v>629</v>
      </c>
      <c r="K54" t="s" s="17">
        <v>10</v>
      </c>
      <c r="L54" t="s" s="17">
        <v>630</v>
      </c>
      <c r="M54" t="s" s="18">
        <v>631</v>
      </c>
      <c r="N54" t="s" s="18">
        <v>632</v>
      </c>
      <c r="O54" s="17"/>
      <c r="P54" s="17"/>
      <c r="Q54" s="17"/>
      <c r="R54" t="s" s="17">
        <v>48</v>
      </c>
      <c r="S54" s="17"/>
      <c r="T54" s="17"/>
      <c r="U54" s="17"/>
      <c r="V54" s="17"/>
      <c r="W54" t="s" s="17">
        <v>633</v>
      </c>
      <c r="X54" t="s" s="17">
        <v>634</v>
      </c>
      <c r="Y54" s="17"/>
      <c r="Z54" t="s" s="17">
        <v>635</v>
      </c>
      <c r="AA54" t="s" s="17">
        <v>636</v>
      </c>
      <c r="AB54" t="s" s="17">
        <v>637</v>
      </c>
      <c r="AC54" s="17"/>
      <c r="AD54" s="28"/>
      <c r="AE54" s="28"/>
      <c r="AF54" s="20">
        <v>1</v>
      </c>
      <c r="AG54" t="s" s="17">
        <v>51</v>
      </c>
      <c r="AH54" t="s" s="21">
        <v>638</v>
      </c>
      <c r="AI54" t="s" s="17">
        <v>639</v>
      </c>
      <c r="AJ54" t="s" s="22">
        <v>640</v>
      </c>
      <c r="AK54" t="s" s="23">
        <v>641</v>
      </c>
      <c r="AL54" t="s" s="17">
        <v>642</v>
      </c>
    </row>
    <row r="55" ht="18.4" customHeight="1">
      <c r="B55" t="str" s="15" cm="1">
        <f t="array" ref="B55">G55&amp;"_"&amp;F55&amp;"_"&amp;R55&amp;"_"&amp;X55</f>
        <v>LED_Green Emerald_0603_20mA</v>
      </c>
      <c r="C55" t="str" s="16" cm="1">
        <f t="array" ref="C55">$F55&amp;IF($G55="LED"," LED","")&amp;IF($V55="",""," ")&amp;$V55&amp;IF($L55="",""," ")&amp;$L55&amp;IF($W55="",""," ")&amp;$W55&amp;IF($X55="",""," ")&amp;$X55&amp;IF($Y55="",""," ")&amp;$Y55&amp;IF($AB55="",""," ")&amp;$AB55&amp;IF($AB55="","","mcd")</f>
        <v>Green Emerald LED clear 3.3V 20mA 810mcd</v>
      </c>
      <c r="D55" t="str" s="16" cm="1">
        <f t="array" ref="D55">$F55&amp;" "&amp;G55&amp;IF($V55="",""," ")&amp;$V55&amp;IF($L55="",""," ")&amp;$L55&amp;IF($W55="",""," ")&amp;$W55&amp;IF($X55="",""," ")&amp;$X55&amp;IF($Y55="",""," ")&amp;$Y55&amp;IF($AB55="",""," ")&amp;$AB55&amp;IF($AB55="","","mcd")</f>
        <v>Green Emerald LED clear 3.3V 20mA 810mcd</v>
      </c>
      <c r="E55" t="str" s="15" cm="1">
        <f t="array" ref="E55">IF(ISBLANK(M55),"",HYPERLINK("https://jlcpcb.com/partdetail/"&amp;$M55,$M55))</f>
        <v>C965804</v>
      </c>
      <c r="F55" t="str" s="15" cm="1">
        <f t="array" ref="F55">H55</f>
        <v>Green Emerald</v>
      </c>
      <c r="G55" t="s" s="17">
        <v>627</v>
      </c>
      <c r="H55" t="s" s="17">
        <v>647</v>
      </c>
      <c r="I55" s="19"/>
      <c r="J55" t="s" s="17">
        <v>648</v>
      </c>
      <c r="K55" t="s" s="17">
        <v>10</v>
      </c>
      <c r="L55" t="s" s="17">
        <v>630</v>
      </c>
      <c r="M55" t="s" s="18">
        <v>649</v>
      </c>
      <c r="N55" t="s" s="18">
        <v>650</v>
      </c>
      <c r="O55" s="17"/>
      <c r="P55" s="17"/>
      <c r="Q55" s="17"/>
      <c r="R55" t="s" s="17">
        <v>48</v>
      </c>
      <c r="S55" s="17"/>
      <c r="T55" s="17"/>
      <c r="U55" s="17"/>
      <c r="V55" s="17"/>
      <c r="W55" t="s" s="17">
        <v>633</v>
      </c>
      <c r="X55" t="s" s="17">
        <v>634</v>
      </c>
      <c r="Y55" s="17"/>
      <c r="Z55" t="s" s="17">
        <v>635</v>
      </c>
      <c r="AA55" t="s" s="17">
        <v>651</v>
      </c>
      <c r="AB55" t="s" s="17">
        <v>652</v>
      </c>
      <c r="AC55" s="17"/>
      <c r="AD55" s="28"/>
      <c r="AE55" s="28"/>
      <c r="AF55" s="20">
        <v>1</v>
      </c>
      <c r="AG55" t="s" s="17">
        <v>51</v>
      </c>
      <c r="AH55" t="s" s="21">
        <v>638</v>
      </c>
      <c r="AI55" t="s" s="17">
        <v>653</v>
      </c>
      <c r="AJ55" t="s" s="22">
        <v>640</v>
      </c>
      <c r="AK55" t="s" s="23">
        <v>641</v>
      </c>
      <c r="AL55" t="s" s="17">
        <v>654</v>
      </c>
    </row>
    <row r="56" ht="18.9" customHeight="1">
      <c r="B56" t="str" s="15" cm="1">
        <f t="array" ref="B56">G56&amp;"_"&amp;F56&amp;"_"&amp;R56&amp;"_"&amp;X56</f>
        <v>LED_Orange_0603_10mA</v>
      </c>
      <c r="C56" t="str" s="16" cm="1">
        <f t="array" ref="C56">$F56&amp;IF($G56="LED"," LED","")&amp;IF($V56="",""," ")&amp;$V56&amp;IF($L56="",""," ")&amp;$L56&amp;IF($W56="",""," ")&amp;$W56&amp;IF($X56="",""," ")&amp;$X56&amp;IF($Y56="",""," ")&amp;$Y56&amp;IF($AB56="",""," ")&amp;$AB56&amp;IF($AB56="","","mcd")</f>
        <v>Orange LED clear 2.2V 10mA 70mcd</v>
      </c>
      <c r="D56" t="str" s="16" cm="1">
        <f t="array" ref="D56">$F56&amp;" "&amp;G56&amp;IF($V56="",""," ")&amp;$V56&amp;IF($L56="",""," ")&amp;$L56&amp;IF($W56="",""," ")&amp;$W56&amp;IF($X56="",""," ")&amp;$X56&amp;IF($Y56="",""," ")&amp;$Y56&amp;IF($AB56="",""," ")&amp;$AB56&amp;IF($AB56="","","mcd")</f>
        <v>Orange LED clear 2.2V 10mA 70mcd</v>
      </c>
      <c r="E56" t="str" s="15" cm="1">
        <f t="array" ref="E56">IF(ISBLANK(M56),"",HYPERLINK("https://jlcpcb.com/partdetail/"&amp;$M56,$M56))</f>
        <v>C22371303</v>
      </c>
      <c r="F56" t="str" s="15" cm="1">
        <f t="array" ref="F56">H56</f>
        <v>Orange</v>
      </c>
      <c r="G56" t="s" s="17">
        <v>627</v>
      </c>
      <c r="H56" t="s" s="17">
        <v>659</v>
      </c>
      <c r="I56" s="19"/>
      <c r="J56" t="s" s="17">
        <v>660</v>
      </c>
      <c r="K56" t="s" s="17">
        <v>10</v>
      </c>
      <c r="L56" t="s" s="17">
        <v>630</v>
      </c>
      <c r="M56" t="s" s="18">
        <v>661</v>
      </c>
      <c r="N56" t="s" s="18">
        <v>662</v>
      </c>
      <c r="O56" s="17"/>
      <c r="P56" s="17"/>
      <c r="Q56" s="17"/>
      <c r="R56" t="s" s="17">
        <v>48</v>
      </c>
      <c r="S56" s="17"/>
      <c r="T56" s="17"/>
      <c r="U56" s="17"/>
      <c r="V56" s="17"/>
      <c r="W56" t="s" s="17">
        <v>663</v>
      </c>
      <c r="X56" t="s" s="17">
        <v>664</v>
      </c>
      <c r="Y56" s="17"/>
      <c r="Z56" s="17"/>
      <c r="AA56" t="s" s="17">
        <v>665</v>
      </c>
      <c r="AB56" t="s" s="17">
        <v>666</v>
      </c>
      <c r="AC56" s="17"/>
      <c r="AD56" s="28"/>
      <c r="AE56" s="28"/>
      <c r="AF56" s="20">
        <v>1</v>
      </c>
      <c r="AG56" t="s" s="17">
        <v>64</v>
      </c>
      <c r="AH56" t="s" s="21">
        <v>667</v>
      </c>
      <c r="AI56" t="s" s="17">
        <v>668</v>
      </c>
      <c r="AJ56" t="s" s="22">
        <v>640</v>
      </c>
      <c r="AK56" t="s" s="23">
        <v>641</v>
      </c>
      <c r="AL56" t="s" s="17">
        <v>669</v>
      </c>
    </row>
    <row r="57" ht="18.9" customHeight="1">
      <c r="B57" t="str" s="15" cm="1">
        <f t="array" ref="B57">G57&amp;"_"&amp;F57&amp;"_"&amp;R57&amp;"_"&amp;X57</f>
        <v>LED_Orange_0603_20mA</v>
      </c>
      <c r="C57" t="str" s="16" cm="1">
        <f t="array" ref="C57">$F57&amp;IF($G57="LED"," LED","")&amp;IF($V57="",""," ")&amp;$V57&amp;IF($L57="",""," ")&amp;$L57&amp;IF($W57="",""," ")&amp;$W57&amp;IF($X57="",""," ")&amp;$X57&amp;IF($Y57="",""," ")&amp;$Y57&amp;IF($AB57="",""," ")&amp;$AB57&amp;IF($AB57="","","mcd")</f>
        <v>Orange LED clear 2.3V 20mA 315mcd</v>
      </c>
      <c r="D57" t="str" s="16" cm="1">
        <f t="array" ref="D57">$F57&amp;" "&amp;G57&amp;IF($V57="",""," ")&amp;$V57&amp;IF($L57="",""," ")&amp;$L57&amp;IF($W57="",""," ")&amp;$W57&amp;IF($X57="",""," ")&amp;$X57&amp;IF($Y57="",""," ")&amp;$Y57&amp;IF($AB57="",""," ")&amp;$AB57&amp;IF($AB57="","","mcd")</f>
        <v>Orange LED clear 2.3V 20mA 315mcd</v>
      </c>
      <c r="E57" t="str" s="15" cm="1">
        <f t="array" ref="E57">IF(ISBLANK(M57),"",HYPERLINK("https://jlcpcb.com/partdetail/"&amp;$M57,$M57))</f>
        <v>C965800</v>
      </c>
      <c r="F57" t="str" s="15" cm="1">
        <f t="array" ref="F57">H57</f>
        <v>Orange</v>
      </c>
      <c r="G57" t="s" s="17">
        <v>627</v>
      </c>
      <c r="H57" t="s" s="17">
        <v>659</v>
      </c>
      <c r="I57" s="19"/>
      <c r="J57" t="s" s="17">
        <v>660</v>
      </c>
      <c r="K57" t="s" s="17">
        <v>10</v>
      </c>
      <c r="L57" t="s" s="17">
        <v>630</v>
      </c>
      <c r="M57" t="s" s="18">
        <v>673</v>
      </c>
      <c r="N57" t="s" s="18">
        <v>674</v>
      </c>
      <c r="O57" s="17"/>
      <c r="P57" s="17"/>
      <c r="Q57" s="17"/>
      <c r="R57" t="s" s="17">
        <v>48</v>
      </c>
      <c r="S57" s="17"/>
      <c r="T57" s="17"/>
      <c r="U57" s="17"/>
      <c r="V57" s="17"/>
      <c r="W57" t="s" s="17">
        <v>675</v>
      </c>
      <c r="X57" t="s" s="17">
        <v>634</v>
      </c>
      <c r="Y57" s="17"/>
      <c r="Z57" s="17"/>
      <c r="AA57" s="17"/>
      <c r="AB57" t="s" s="17">
        <v>676</v>
      </c>
      <c r="AC57" s="17"/>
      <c r="AD57" s="28"/>
      <c r="AE57" s="28"/>
      <c r="AF57" s="20">
        <v>2</v>
      </c>
      <c r="AG57" t="s" s="17">
        <v>64</v>
      </c>
      <c r="AH57" t="s" s="21">
        <v>638</v>
      </c>
      <c r="AI57" t="s" s="17">
        <v>677</v>
      </c>
      <c r="AJ57" t="s" s="22">
        <v>640</v>
      </c>
      <c r="AK57" t="s" s="23">
        <v>641</v>
      </c>
      <c r="AL57" t="s" s="17">
        <v>678</v>
      </c>
    </row>
    <row r="58" ht="16.4" customHeight="1">
      <c r="B58" t="str" s="15" cm="1">
        <f t="array" ref="B58">G58&amp;"_"&amp;F58&amp;"_"&amp;R58&amp;"_"&amp;X58</f>
        <v>LED_Orange_0603_20mA</v>
      </c>
      <c r="C58" t="str" s="16" cm="1">
        <f t="array" ref="C58">$F58&amp;IF($G58="LED"," LED","")&amp;IF($V58="",""," ")&amp;$V58&amp;IF($L58="",""," ")&amp;$L58&amp;IF($W58="",""," ")&amp;$W58&amp;IF($X58="",""," ")&amp;$X58&amp;IF($Y58="",""," ")&amp;$Y58&amp;IF($AB58="",""," ")&amp;$AB58&amp;IF($AB58="","","mcd")</f>
        <v>Orange LED clear 2.3V 20mA 315mcd</v>
      </c>
      <c r="D58" t="str" s="16" cm="1">
        <f t="array" ref="D58">$F58&amp;" "&amp;G58&amp;IF($V58="",""," ")&amp;$V58&amp;IF($L58="",""," ")&amp;$L58&amp;IF($W58="",""," ")&amp;$W58&amp;IF($X58="",""," ")&amp;$X58&amp;IF($Y58="",""," ")&amp;$Y58&amp;IF($AB58="",""," ")&amp;$AB58&amp;IF($AB58="","","mcd")</f>
        <v>Orange LED clear 2.3V 20mA 315mcd</v>
      </c>
      <c r="E58" t="str" s="15" cm="1">
        <f t="array" ref="E58">IF(ISBLANK(M58),"",HYPERLINK("https://jlcpcb.com/partdetail/"&amp;$M58,$M58))</f>
        <v>C965801</v>
      </c>
      <c r="F58" t="str" s="15" cm="1">
        <f t="array" ref="F58">H58</f>
        <v>Orange</v>
      </c>
      <c r="G58" t="s" s="17">
        <v>627</v>
      </c>
      <c r="H58" t="s" s="17">
        <v>659</v>
      </c>
      <c r="I58" s="19"/>
      <c r="J58" t="s" s="17">
        <v>660</v>
      </c>
      <c r="K58" t="s" s="17">
        <v>10</v>
      </c>
      <c r="L58" t="s" s="17">
        <v>630</v>
      </c>
      <c r="M58" t="s" s="18">
        <v>680</v>
      </c>
      <c r="N58" t="s" s="18">
        <v>674</v>
      </c>
      <c r="O58" s="17"/>
      <c r="P58" s="17"/>
      <c r="Q58" s="17"/>
      <c r="R58" t="s" s="17">
        <v>48</v>
      </c>
      <c r="S58" s="17"/>
      <c r="T58" s="17"/>
      <c r="U58" s="17"/>
      <c r="V58" s="17"/>
      <c r="W58" t="s" s="17">
        <v>675</v>
      </c>
      <c r="X58" t="s" s="17">
        <v>634</v>
      </c>
      <c r="Y58" s="17"/>
      <c r="Z58" t="s" s="17">
        <v>635</v>
      </c>
      <c r="AA58" t="s" s="17">
        <v>681</v>
      </c>
      <c r="AB58" t="s" s="17">
        <v>676</v>
      </c>
      <c r="AC58" s="17"/>
      <c r="AD58" s="28"/>
      <c r="AE58" s="28"/>
      <c r="AF58" s="20">
        <v>3</v>
      </c>
      <c r="AG58" t="s" s="17">
        <v>51</v>
      </c>
      <c r="AH58" t="s" s="21">
        <v>638</v>
      </c>
      <c r="AI58" t="s" s="17">
        <v>682</v>
      </c>
      <c r="AJ58" t="s" s="40">
        <v>640</v>
      </c>
      <c r="AK58" t="s" s="23">
        <v>641</v>
      </c>
      <c r="AL58" t="s" s="17">
        <v>678</v>
      </c>
    </row>
    <row r="59" ht="18.9" customHeight="1">
      <c r="B59" t="str" s="15" cm="1">
        <f t="array" ref="B59">G59&amp;"_"&amp;F59&amp;"_"&amp;R59&amp;"_"&amp;X59</f>
        <v>LED_Red_0603_20mA</v>
      </c>
      <c r="C59" t="str" s="16" cm="1">
        <f t="array" ref="C59">$F59&amp;IF($G59="LED"," LED","")&amp;IF($V59="",""," ")&amp;$V59&amp;IF($L59="",""," ")&amp;$L59&amp;IF($W59="",""," ")&amp;$W59&amp;IF($X59="",""," ")&amp;$X59&amp;IF($Y59="",""," ")&amp;$Y59&amp;IF($AB59="",""," ")&amp;$AB59&amp;IF($AB59="","","mcd")</f>
        <v>Red LED clear 2.2V 20mA 150mcd</v>
      </c>
      <c r="D59" t="str" s="16" cm="1">
        <f t="array" ref="D59">$F59&amp;" "&amp;G59&amp;IF($V59="",""," ")&amp;$V59&amp;IF($L59="",""," ")&amp;$L59&amp;IF($W59="",""," ")&amp;$W59&amp;IF($X59="",""," ")&amp;$X59&amp;IF($Y59="",""," ")&amp;$Y59&amp;IF($AB59="",""," ")&amp;$AB59&amp;IF($AB59="","","mcd")</f>
        <v>Red LED clear 2.2V 20mA 150mcd</v>
      </c>
      <c r="E59" t="str" s="15" cm="1">
        <f t="array" ref="E59">IF(ISBLANK(M59),"",HYPERLINK("https://jlcpcb.com/partdetail/"&amp;$M59,$M59))</f>
        <v>C7288939</v>
      </c>
      <c r="F59" t="str" s="15" cm="1">
        <f t="array" ref="F59">H59</f>
        <v>Red</v>
      </c>
      <c r="G59" t="s" s="17">
        <v>627</v>
      </c>
      <c r="H59" t="s" s="17">
        <v>687</v>
      </c>
      <c r="I59" s="19"/>
      <c r="J59" t="s" s="17">
        <v>688</v>
      </c>
      <c r="K59" t="s" s="17">
        <v>10</v>
      </c>
      <c r="L59" t="s" s="17">
        <v>630</v>
      </c>
      <c r="M59" t="s" s="18">
        <v>689</v>
      </c>
      <c r="N59" t="s" s="18">
        <v>690</v>
      </c>
      <c r="O59" s="17"/>
      <c r="P59" s="17"/>
      <c r="Q59" s="17"/>
      <c r="R59" t="s" s="17">
        <v>48</v>
      </c>
      <c r="S59" s="17"/>
      <c r="T59" s="17"/>
      <c r="U59" s="17"/>
      <c r="V59" s="17"/>
      <c r="W59" t="s" s="17">
        <v>663</v>
      </c>
      <c r="X59" t="s" s="17">
        <v>634</v>
      </c>
      <c r="Y59" s="17"/>
      <c r="Z59" s="17"/>
      <c r="AA59" s="17"/>
      <c r="AB59" t="s" s="17">
        <v>691</v>
      </c>
      <c r="AC59" s="17"/>
      <c r="AD59" s="28"/>
      <c r="AE59" s="28"/>
      <c r="AF59" s="20">
        <v>2</v>
      </c>
      <c r="AG59" t="s" s="17">
        <v>64</v>
      </c>
      <c r="AH59" t="s" s="21">
        <v>692</v>
      </c>
      <c r="AI59" t="s" s="17">
        <v>693</v>
      </c>
      <c r="AJ59" t="s" s="22">
        <v>640</v>
      </c>
      <c r="AK59" t="s" s="23">
        <v>641</v>
      </c>
      <c r="AL59" t="s" s="17">
        <v>694</v>
      </c>
    </row>
    <row r="60" ht="18.05" customHeight="1">
      <c r="B60" t="str" s="15" cm="1">
        <f t="array" ref="B60">G60&amp;"_"&amp;F60&amp;"_"&amp;R60&amp;"_"&amp;X60</f>
        <v>LED_Red_0603_20mA</v>
      </c>
      <c r="C60" t="str" s="16" cm="1">
        <f t="array" ref="C60">$F60&amp;IF($G60="LED"," LED","")&amp;IF($V60="",""," ")&amp;$V60&amp;IF($L60="",""," ")&amp;$L60&amp;IF($W60="",""," ")&amp;$W60&amp;IF($X60="",""," ")&amp;$X60&amp;IF($Y60="",""," ")&amp;$Y60&amp;IF($AB60="",""," ")&amp;$AB60&amp;IF($AB60="","","mcd")</f>
        <v>Red LED clear 2.4V 20mA 360mcd</v>
      </c>
      <c r="D60" t="str" s="16" cm="1">
        <f t="array" ref="D60">$F60&amp;" "&amp;G60&amp;IF($V60="",""," ")&amp;$V60&amp;IF($L60="",""," ")&amp;$L60&amp;IF($W60="",""," ")&amp;$W60&amp;IF($X60="",""," ")&amp;$X60&amp;IF($Y60="",""," ")&amp;$Y60&amp;IF($AB60="",""," ")&amp;$AB60&amp;IF($AB60="","","mcd")</f>
        <v>Red LED clear 2.4V 20mA 360mcd</v>
      </c>
      <c r="E60" t="str" s="15" cm="1">
        <f t="array" ref="E60">IF(ISBLANK(M60),"",HYPERLINK("https://jlcpcb.com/partdetail/"&amp;$M60,$M60))</f>
        <v>C965798</v>
      </c>
      <c r="F60" t="str" s="15" cm="1">
        <f t="array" ref="F60">H60</f>
        <v>Red</v>
      </c>
      <c r="G60" t="s" s="17">
        <v>627</v>
      </c>
      <c r="H60" t="s" s="17">
        <v>687</v>
      </c>
      <c r="I60" s="19"/>
      <c r="J60" t="s" s="17">
        <v>688</v>
      </c>
      <c r="K60" t="s" s="17">
        <v>10</v>
      </c>
      <c r="L60" t="s" s="17">
        <v>630</v>
      </c>
      <c r="M60" t="s" s="18">
        <v>697</v>
      </c>
      <c r="N60" t="s" s="18">
        <v>698</v>
      </c>
      <c r="O60" s="17"/>
      <c r="P60" s="17"/>
      <c r="Q60" s="17"/>
      <c r="R60" t="s" s="17">
        <v>48</v>
      </c>
      <c r="S60" s="17"/>
      <c r="T60" s="17"/>
      <c r="U60" s="17"/>
      <c r="V60" s="17"/>
      <c r="W60" t="s" s="17">
        <v>699</v>
      </c>
      <c r="X60" t="s" s="17">
        <v>634</v>
      </c>
      <c r="Y60" s="17"/>
      <c r="Z60" t="s" s="17">
        <v>635</v>
      </c>
      <c r="AA60" t="s" s="17">
        <v>700</v>
      </c>
      <c r="AB60" t="s" s="17">
        <v>701</v>
      </c>
      <c r="AC60" s="17"/>
      <c r="AD60" s="28"/>
      <c r="AE60" s="28"/>
      <c r="AF60" s="20">
        <v>3</v>
      </c>
      <c r="AG60" t="s" s="17">
        <v>51</v>
      </c>
      <c r="AH60" t="s" s="21">
        <v>638</v>
      </c>
      <c r="AI60" t="s" s="49">
        <v>702</v>
      </c>
      <c r="AJ60" t="s" s="40">
        <v>640</v>
      </c>
      <c r="AK60" t="s" s="23">
        <v>641</v>
      </c>
      <c r="AL60" t="s" s="17">
        <v>703</v>
      </c>
    </row>
    <row r="61" ht="18.9" customHeight="1">
      <c r="B61" t="str" s="15" cm="1">
        <f t="array" ref="B61">G61&amp;"_"&amp;F61&amp;"_"&amp;R61&amp;"_"&amp;X61</f>
        <v>LED_Red_0603_20mA</v>
      </c>
      <c r="C61" t="str" s="16" cm="1">
        <f t="array" ref="C61">$F61&amp;IF($G61="LED"," LED","")&amp;IF($V61="",""," ")&amp;$V61&amp;IF($L61="",""," ")&amp;$L61&amp;IF($W61="",""," ")&amp;$W61&amp;IF($X61="",""," ")&amp;$X61&amp;IF($Y61="",""," ")&amp;$Y61&amp;IF($AB61="",""," ")&amp;$AB61&amp;IF($AB61="","","mcd")</f>
        <v>Red LED clear 2.3V 20mA 330mcd</v>
      </c>
      <c r="D61" t="str" s="16" cm="1">
        <f t="array" ref="D61">$F61&amp;" "&amp;G61&amp;IF($V61="",""," ")&amp;$V61&amp;IF($L61="",""," ")&amp;$L61&amp;IF($W61="",""," ")&amp;$W61&amp;IF($X61="",""," ")&amp;$X61&amp;IF($Y61="",""," ")&amp;$Y61&amp;IF($AB61="",""," ")&amp;$AB61&amp;IF($AB61="","","mcd")</f>
        <v>Red LED clear 2.3V 20mA 330mcd</v>
      </c>
      <c r="E61" t="str" s="15" cm="1">
        <f t="array" ref="E61">IF(ISBLANK(M61),"",HYPERLINK("https://jlcpcb.com/partdetail/"&amp;$M61,$M61))</f>
        <v>C965799</v>
      </c>
      <c r="F61" t="str" s="15" cm="1">
        <f t="array" ref="F61">H61</f>
        <v>Red</v>
      </c>
      <c r="G61" t="s" s="17">
        <v>627</v>
      </c>
      <c r="H61" t="s" s="17">
        <v>687</v>
      </c>
      <c r="I61" s="19"/>
      <c r="J61" t="s" s="17">
        <v>688</v>
      </c>
      <c r="K61" t="s" s="17">
        <v>10</v>
      </c>
      <c r="L61" t="s" s="17">
        <v>630</v>
      </c>
      <c r="M61" t="s" s="18">
        <v>706</v>
      </c>
      <c r="N61" t="s" s="18">
        <v>707</v>
      </c>
      <c r="O61" s="17"/>
      <c r="P61" s="17"/>
      <c r="Q61" s="17"/>
      <c r="R61" t="s" s="17">
        <v>48</v>
      </c>
      <c r="S61" s="17"/>
      <c r="T61" s="17"/>
      <c r="U61" s="17"/>
      <c r="V61" s="17"/>
      <c r="W61" t="s" s="17">
        <v>675</v>
      </c>
      <c r="X61" t="s" s="17">
        <v>634</v>
      </c>
      <c r="Y61" s="17"/>
      <c r="Z61" s="17"/>
      <c r="AA61" s="17"/>
      <c r="AB61" t="s" s="17">
        <v>708</v>
      </c>
      <c r="AC61" s="17"/>
      <c r="AD61" s="28"/>
      <c r="AE61" s="28"/>
      <c r="AF61" s="20">
        <v>1</v>
      </c>
      <c r="AG61" t="s" s="17">
        <v>64</v>
      </c>
      <c r="AH61" t="s" s="21">
        <v>638</v>
      </c>
      <c r="AI61" t="s" s="17">
        <v>709</v>
      </c>
      <c r="AJ61" t="s" s="22">
        <v>640</v>
      </c>
      <c r="AK61" t="s" s="23">
        <v>641</v>
      </c>
      <c r="AL61" t="s" s="17">
        <v>710</v>
      </c>
    </row>
    <row r="62" ht="19.3" customHeight="1">
      <c r="B62" t="str" s="15" cm="1">
        <f t="array" ref="B62">G62&amp;"_"&amp;F62&amp;"_"&amp;R62&amp;"_"&amp;X62</f>
        <v>LED_UltraViolet_0603_</v>
      </c>
      <c r="C62" t="str" s="16" cm="1">
        <f t="array" ref="C62">$F62&amp;IF($G62="LED"," LED","")&amp;IF($V62="",""," ")&amp;$V62&amp;IF($L62="",""," ")&amp;$L62&amp;IF($W62="",""," ")&amp;$W62&amp;IF($X62="",""," ")&amp;$X62&amp;IF($Y62="",""," ")&amp;$Y62&amp;IF($AB62="",""," ")&amp;$AB62&amp;IF($AB62="","","mcd")</f>
        <v>UltraViolet LED clear 3.4V</v>
      </c>
      <c r="D62" t="str" s="16" cm="1">
        <f t="array" ref="D62">$F62&amp;" "&amp;G62&amp;IF($V62="",""," ")&amp;$V62&amp;IF($L62="",""," ")&amp;$L62&amp;IF($W62="",""," ")&amp;$W62&amp;IF($X62="",""," ")&amp;$X62&amp;IF($Y62="",""," ")&amp;$Y62&amp;IF($AB62="",""," ")&amp;$AB62&amp;IF($AB62="","","mcd")</f>
        <v>UltraViolet LED clear 3.4V</v>
      </c>
      <c r="E62" t="str" s="15" cm="1">
        <f t="array" ref="E62">IF(ISBLANK(M62),"",HYPERLINK("https://jlcpcb.com/partdetail/"&amp;$M62,$M62))</f>
        <v>C7371898</v>
      </c>
      <c r="F62" t="str" s="15" cm="1">
        <f t="array" ref="F62">H62</f>
        <v>UltraViolet</v>
      </c>
      <c r="G62" t="s" s="17">
        <v>627</v>
      </c>
      <c r="H62" t="s" s="17">
        <v>715</v>
      </c>
      <c r="I62" s="19"/>
      <c r="J62" t="s" s="17">
        <v>716</v>
      </c>
      <c r="K62" t="s" s="17">
        <v>10</v>
      </c>
      <c r="L62" t="s" s="17">
        <v>630</v>
      </c>
      <c r="M62" t="s" s="18">
        <v>717</v>
      </c>
      <c r="N62" t="s" s="18">
        <v>718</v>
      </c>
      <c r="O62" s="17"/>
      <c r="P62" s="17"/>
      <c r="Q62" s="17"/>
      <c r="R62" t="s" s="17">
        <v>48</v>
      </c>
      <c r="S62" s="17"/>
      <c r="T62" s="17"/>
      <c r="U62" s="17"/>
      <c r="V62" s="17"/>
      <c r="W62" t="s" s="17">
        <v>719</v>
      </c>
      <c r="X62" s="17"/>
      <c r="Y62" s="17"/>
      <c r="Z62" t="s" s="17">
        <v>635</v>
      </c>
      <c r="AA62" t="s" s="18">
        <v>720</v>
      </c>
      <c r="AB62" s="17"/>
      <c r="AC62" s="17"/>
      <c r="AD62" s="28"/>
      <c r="AE62" s="28"/>
      <c r="AF62" s="42"/>
      <c r="AG62" s="19"/>
      <c r="AH62" t="s" s="21">
        <v>638</v>
      </c>
      <c r="AI62" t="s" s="17">
        <v>721</v>
      </c>
      <c r="AJ62" t="s" s="22">
        <v>640</v>
      </c>
      <c r="AK62" t="s" s="23">
        <v>641</v>
      </c>
      <c r="AL62" t="s" s="17">
        <v>722</v>
      </c>
    </row>
    <row r="63" ht="20.95" customHeight="1">
      <c r="B63" t="str" s="15" cm="1">
        <f t="array" ref="B63">G63&amp;"_"&amp;F63&amp;"_"&amp;R63&amp;"_"&amp;X63</f>
        <v>LED_White_0603_20mA</v>
      </c>
      <c r="C63" t="str" s="16" cm="1">
        <f t="array" ref="C63">$F63&amp;IF($G63="LED"," LED","")&amp;IF($V63="",""," ")&amp;$V63&amp;IF($L63="",""," ")&amp;$L63&amp;IF($W63="",""," ")&amp;$W63&amp;IF($X63="",""," ")&amp;$X63&amp;IF($Y63="",""," ")&amp;$Y63&amp;IF($AB63="",""," ")&amp;$AB63&amp;IF($AB63="","","mcd")</f>
        <v>White LED warm 2.7V 20mA 130mcd</v>
      </c>
      <c r="D63" t="str" s="16" cm="1">
        <f t="array" ref="D63">$F63&amp;" "&amp;G63&amp;IF($V63="",""," ")&amp;$V63&amp;IF($L63="",""," ")&amp;$L63&amp;IF($W63="",""," ")&amp;$W63&amp;IF($X63="",""," ")&amp;$X63&amp;IF($Y63="",""," ")&amp;$Y63&amp;IF($AB63="",""," ")&amp;$AB63&amp;IF($AB63="","","mcd")</f>
        <v>White LED warm 2.7V 20mA 130mcd</v>
      </c>
      <c r="E63" t="str" s="15" cm="1">
        <f t="array" ref="E63">IF(ISBLANK(M63),"",HYPERLINK("https://jlcpcb.com/partdetail/"&amp;$M63,$M63))</f>
        <v>C965808</v>
      </c>
      <c r="F63" t="str" s="15" cm="1">
        <f t="array" ref="F63">H63</f>
        <v>White</v>
      </c>
      <c r="G63" t="s" s="17">
        <v>627</v>
      </c>
      <c r="H63" t="s" s="17">
        <v>727</v>
      </c>
      <c r="I63" s="19"/>
      <c r="J63" t="s" s="17">
        <v>728</v>
      </c>
      <c r="K63" t="s" s="17">
        <v>10</v>
      </c>
      <c r="L63" t="s" s="17">
        <v>729</v>
      </c>
      <c r="M63" t="s" s="18">
        <v>730</v>
      </c>
      <c r="N63" t="s" s="18">
        <v>731</v>
      </c>
      <c r="O63" s="17"/>
      <c r="P63" s="17"/>
      <c r="Q63" s="17"/>
      <c r="R63" t="s" s="17">
        <v>48</v>
      </c>
      <c r="S63" s="17"/>
      <c r="T63" s="17"/>
      <c r="U63" s="17"/>
      <c r="V63" s="17"/>
      <c r="W63" t="s" s="17">
        <v>732</v>
      </c>
      <c r="X63" t="s" s="17">
        <v>634</v>
      </c>
      <c r="Y63" s="17"/>
      <c r="Z63" t="s" s="17">
        <v>635</v>
      </c>
      <c r="AA63" t="s" s="17">
        <v>733</v>
      </c>
      <c r="AB63" t="s" s="17">
        <v>734</v>
      </c>
      <c r="AC63" s="17"/>
      <c r="AD63" s="28"/>
      <c r="AE63" s="28"/>
      <c r="AF63" s="20">
        <v>1</v>
      </c>
      <c r="AG63" t="s" s="17">
        <v>51</v>
      </c>
      <c r="AH63" t="s" s="21">
        <v>638</v>
      </c>
      <c r="AI63" t="s" s="17">
        <v>735</v>
      </c>
      <c r="AJ63" t="s" s="22">
        <v>640</v>
      </c>
      <c r="AK63" t="s" s="23">
        <v>641</v>
      </c>
      <c r="AL63" t="s" s="17">
        <v>736</v>
      </c>
    </row>
    <row r="64" ht="18.05" customHeight="1">
      <c r="B64" t="str" s="15" cm="1">
        <f t="array" ref="B64">G64&amp;"_"&amp;F64&amp;"_"&amp;R64</f>
        <v>LED_WS2812B_SMD5050</v>
      </c>
      <c r="C64" t="str" s="16" cm="1">
        <f t="array" ref="C64">$F64&amp;IF($G64="LED"," LED","")&amp;IF($V64="",""," ")&amp;$V64&amp;IF($L64="",""," ")&amp;$L64&amp;IF($W64="",""," ")&amp;$W64&amp;IF($X64="",""," ")&amp;$X64&amp;IF($Y64="",""," ")&amp;$Y64&amp;IF($AB64="",""," ")&amp;$AB64&amp;IF($AB64="","","mcd")</f>
        <v>WS2812B LED WS2812B-WS2812B5050 5v 12mA</v>
      </c>
      <c r="D64" t="str" s="16" cm="1">
        <f t="array" ref="D64">$F64&amp;" "&amp;G64&amp;IF($V64="",""," ")&amp;$V64&amp;IF($L64="",""," ")&amp;$L64&amp;IF($W64="",""," ")&amp;$W64&amp;IF($X64="",""," ")&amp;$X64&amp;IF($Y64="",""," ")&amp;$Y64&amp;IF($AB64="",""," ")&amp;$AB64&amp;IF($AB64="","","mcd")</f>
        <v>WS2812B LED WS2812B-WS2812B5050 5v 12mA</v>
      </c>
      <c r="E64" t="str" s="15" cm="1">
        <f t="array" ref="E64">IF(ISBLANK(M64),"",HYPERLINK("https://jlcpcb.com/partdetail/"&amp;$M64,$M64))</f>
        <v>C2843785</v>
      </c>
      <c r="F64" t="str" s="15" cm="1">
        <f t="array" ref="F64">H64</f>
        <v>WS2812B</v>
      </c>
      <c r="G64" t="s" s="17">
        <v>627</v>
      </c>
      <c r="H64" t="s" s="17">
        <v>741</v>
      </c>
      <c r="I64" s="19"/>
      <c r="J64" t="s" s="17">
        <v>742</v>
      </c>
      <c r="K64" t="s" s="17">
        <v>10</v>
      </c>
      <c r="L64" t="s" s="17">
        <v>743</v>
      </c>
      <c r="M64" t="s" s="18">
        <v>744</v>
      </c>
      <c r="N64" t="s" s="36">
        <v>745</v>
      </c>
      <c r="O64" s="17"/>
      <c r="P64" s="17"/>
      <c r="Q64" s="17"/>
      <c r="R64" t="s" s="17">
        <v>746</v>
      </c>
      <c r="S64" s="17"/>
      <c r="T64" s="17"/>
      <c r="U64" s="17"/>
      <c r="V64" s="17"/>
      <c r="W64" t="s" s="17">
        <v>747</v>
      </c>
      <c r="X64" t="s" s="17">
        <v>748</v>
      </c>
      <c r="Y64" s="17"/>
      <c r="Z64" s="17"/>
      <c r="AA64" s="17"/>
      <c r="AB64" s="17"/>
      <c r="AC64" s="17"/>
      <c r="AD64" s="28"/>
      <c r="AE64" s="28"/>
      <c r="AF64" s="20">
        <v>1</v>
      </c>
      <c r="AG64" t="s" s="17">
        <v>51</v>
      </c>
      <c r="AH64" t="s" s="21">
        <v>638</v>
      </c>
      <c r="AI64" t="s" s="35">
        <v>749</v>
      </c>
      <c r="AJ64" t="s" s="22">
        <v>750</v>
      </c>
      <c r="AK64" t="s" s="23">
        <v>750</v>
      </c>
      <c r="AL64" t="s" s="17">
        <v>751</v>
      </c>
    </row>
    <row r="65" ht="18.05" customHeight="1">
      <c r="B65" t="str" s="15" cm="1">
        <f t="array" ref="B65">G65&amp;"_"&amp;F65&amp;"_"&amp;R65&amp;"_"&amp;X65</f>
        <v>LED_Yellow_0603_20mA</v>
      </c>
      <c r="C65" t="str" s="16" cm="1">
        <f t="array" ref="C65">$F65&amp;IF($G65="LED"," LED","")&amp;IF($V65="",""," ")&amp;$V65&amp;IF($L65="",""," ")&amp;$L65&amp;IF($W65="",""," ")&amp;$W65&amp;IF($X65="",""," ")&amp;$X65&amp;IF($Y65="",""," ")&amp;$Y65&amp;IF($AB65="",""," ")&amp;$AB65&amp;IF($AB65="","","mcd")</f>
        <v>Yellow LED clear 2.3V 20mA 450mcd</v>
      </c>
      <c r="D65" t="str" s="16" cm="1">
        <f t="array" ref="D65">$F65&amp;" "&amp;G65&amp;IF($V65="",""," ")&amp;$V65&amp;IF($L65="",""," ")&amp;$L65&amp;IF($W65="",""," ")&amp;$W65&amp;IF($X65="",""," ")&amp;$X65&amp;IF($Y65="",""," ")&amp;$Y65&amp;IF($AB65="",""," ")&amp;$AB65&amp;IF($AB65="","","mcd")</f>
        <v>Yellow LED clear 2.3V 20mA 450mcd</v>
      </c>
      <c r="E65" t="str" s="15" cm="1">
        <f t="array" ref="E65">IF(ISBLANK(M65),"",HYPERLINK("https://jlcpcb.com/partdetail/"&amp;$M65,$M65))</f>
        <v>C965803</v>
      </c>
      <c r="F65" t="str" s="15" cm="1">
        <f t="array" ref="F65">H65</f>
        <v>Yellow</v>
      </c>
      <c r="G65" t="s" s="17">
        <v>627</v>
      </c>
      <c r="H65" t="s" s="17">
        <v>756</v>
      </c>
      <c r="I65" s="19"/>
      <c r="J65" t="s" s="17">
        <v>757</v>
      </c>
      <c r="K65" t="s" s="17">
        <v>10</v>
      </c>
      <c r="L65" t="s" s="17">
        <v>630</v>
      </c>
      <c r="M65" t="s" s="18">
        <v>758</v>
      </c>
      <c r="N65" t="s" s="18">
        <v>759</v>
      </c>
      <c r="O65" s="17"/>
      <c r="P65" s="17"/>
      <c r="Q65" s="17"/>
      <c r="R65" t="s" s="17">
        <v>48</v>
      </c>
      <c r="S65" s="17"/>
      <c r="T65" s="17"/>
      <c r="U65" s="17"/>
      <c r="V65" s="17"/>
      <c r="W65" t="s" s="17">
        <v>675</v>
      </c>
      <c r="X65" t="s" s="17">
        <v>634</v>
      </c>
      <c r="Y65" s="17"/>
      <c r="Z65" t="s" s="17">
        <v>635</v>
      </c>
      <c r="AA65" t="s" s="17">
        <v>760</v>
      </c>
      <c r="AB65" t="s" s="17">
        <v>761</v>
      </c>
      <c r="AC65" s="17"/>
      <c r="AD65" s="28"/>
      <c r="AE65" s="28"/>
      <c r="AF65" s="20">
        <v>10</v>
      </c>
      <c r="AG65" t="s" s="17">
        <v>51</v>
      </c>
      <c r="AH65" t="s" s="21">
        <v>638</v>
      </c>
      <c r="AI65" t="s" s="17">
        <v>762</v>
      </c>
      <c r="AJ65" t="s" s="40">
        <v>640</v>
      </c>
      <c r="AK65" t="s" s="23">
        <v>641</v>
      </c>
      <c r="AL65" t="s" s="17">
        <v>763</v>
      </c>
    </row>
    <row r="66" ht="18.9" customHeight="1">
      <c r="B66" t="str" s="15" cm="1">
        <f t="array" ref="B66">G66&amp;"_"&amp;F66&amp;"_"&amp;R66&amp;"_"&amp;X66</f>
        <v>LED_Yellow Green_0603_20mA</v>
      </c>
      <c r="C66" t="str" s="16" cm="1">
        <f t="array" ref="C66">$F66&amp;IF($G66="LED"," LED","")&amp;IF($V66="",""," ")&amp;$V66&amp;IF($L66="",""," ")&amp;$L66&amp;IF($W66="",""," ")&amp;$W66&amp;IF($X66="",""," ")&amp;$X66&amp;IF($Y66="",""," ")&amp;$Y66&amp;IF($AB66="",""," ")&amp;$AB66&amp;IF($AB66="","","mcd")</f>
        <v>Yellow Green LED clear 2.4V 20mA 240mcd</v>
      </c>
      <c r="D66" t="str" s="16" cm="1">
        <f t="array" ref="D66">$F66&amp;" "&amp;G66&amp;IF($V66="",""," ")&amp;$V66&amp;IF($L66="",""," ")&amp;$L66&amp;IF($W66="",""," ")&amp;$W66&amp;IF($X66="",""," ")&amp;$X66&amp;IF($Y66="",""," ")&amp;$Y66&amp;IF($AB66="",""," ")&amp;$AB66&amp;IF($AB66="","","mcd")</f>
        <v>Yellow Green LED clear 2.4V 20mA 240mcd</v>
      </c>
      <c r="E66" t="str" s="15" cm="1">
        <f t="array" ref="E66">IF(ISBLANK(M66),"",HYPERLINK("https://jlcpcb.com/partdetail/"&amp;$M66,$M66))</f>
        <v>C965806</v>
      </c>
      <c r="F66" t="str" s="15" cm="1">
        <f t="array" ref="F66">H66</f>
        <v>Yellow Green</v>
      </c>
      <c r="G66" t="s" s="17">
        <v>627</v>
      </c>
      <c r="H66" t="s" s="17">
        <v>768</v>
      </c>
      <c r="I66" s="19"/>
      <c r="J66" t="s" s="17">
        <v>769</v>
      </c>
      <c r="K66" t="s" s="17">
        <v>10</v>
      </c>
      <c r="L66" t="s" s="17">
        <v>630</v>
      </c>
      <c r="M66" t="s" s="18">
        <v>770</v>
      </c>
      <c r="N66" t="s" s="18">
        <v>771</v>
      </c>
      <c r="O66" s="17"/>
      <c r="P66" s="17"/>
      <c r="Q66" s="17"/>
      <c r="R66" t="s" s="17">
        <v>48</v>
      </c>
      <c r="S66" s="17"/>
      <c r="T66" s="17"/>
      <c r="U66" s="17"/>
      <c r="V66" s="17"/>
      <c r="W66" t="s" s="17">
        <v>699</v>
      </c>
      <c r="X66" t="s" s="17">
        <v>634</v>
      </c>
      <c r="Y66" s="17"/>
      <c r="Z66" s="17"/>
      <c r="AA66" t="s" s="17">
        <v>772</v>
      </c>
      <c r="AB66" t="s" s="17">
        <v>637</v>
      </c>
      <c r="AC66" s="17"/>
      <c r="AD66" s="28"/>
      <c r="AE66" s="28"/>
      <c r="AF66" s="20">
        <v>1</v>
      </c>
      <c r="AG66" t="s" s="17">
        <v>64</v>
      </c>
      <c r="AH66" t="s" s="21">
        <v>638</v>
      </c>
      <c r="AI66" t="s" s="17">
        <v>773</v>
      </c>
      <c r="AJ66" t="s" s="22">
        <v>640</v>
      </c>
      <c r="AK66" t="s" s="23">
        <v>641</v>
      </c>
      <c r="AL66" t="s" s="17">
        <v>774</v>
      </c>
    </row>
    <row r="67" ht="18.9" customHeight="1">
      <c r="B67" t="str" s="15" cm="1">
        <f t="array" ref="B67">G67&amp;"_"&amp;F67</f>
        <v>MCU_ESP32-DevKit_V1</v>
      </c>
      <c r="C67" t="str" s="16" cm="1">
        <f t="array" ref="C67">$F67&amp;IF($G67="LED"," LED","")&amp;IF($V67="",""," ")&amp;$V67&amp;IF($L67="",""," ")&amp;$L67&amp;IF($W67="",""," ")&amp;$W67&amp;IF($X67="",""," ")&amp;$X67&amp;IF($Y67="",""," ")&amp;$Y67&amp;IF($AB67="",""," ")&amp;$AB67&amp;IF($AB67="","","mcd")</f>
        <v>ESP32-DevKit_V1 ESP32</v>
      </c>
      <c r="D67" t="str" s="16" cm="1">
        <f t="array" ref="D67">$F67&amp;" "&amp;G67&amp;IF($V67="",""," ")&amp;$V67&amp;IF($L67="",""," ")&amp;$L67&amp;IF($W67="",""," ")&amp;$W67&amp;IF($X67="",""," ")&amp;$X67&amp;IF($Y67="",""," ")&amp;$Y67&amp;IF($AB67="",""," ")&amp;$AB67&amp;IF($AB67="","","mcd")</f>
        <v>ESP32-DevKit_V1 MCU ESP32</v>
      </c>
      <c r="E67" t="str" s="15" cm="1">
        <f t="array" ref="E67">IF(ISBLANK(M67),"",HYPERLINK("https://jlcpcb.com/partdetail/"&amp;$M67,$M67))</f>
      </c>
      <c r="F67" t="str" s="15" cm="1">
        <f t="array" ref="F67">H67</f>
        <v>ESP32-DevKit_V1</v>
      </c>
      <c r="G67" t="s" s="17">
        <v>779</v>
      </c>
      <c r="H67" t="str" s="19" cm="1">
        <f t="array" ref="H67">AI67</f>
        <v>ESP32-DevKit_V1</v>
      </c>
      <c r="I67" t="s" s="17">
        <v>8</v>
      </c>
      <c r="J67" s="19"/>
      <c r="K67" t="s" s="18">
        <v>114</v>
      </c>
      <c r="L67" t="s" s="17">
        <v>780</v>
      </c>
      <c r="M67" s="19"/>
      <c r="N67" t="s" s="18">
        <v>781</v>
      </c>
      <c r="O67" s="17"/>
      <c r="P67" s="17"/>
      <c r="Q67" s="17"/>
      <c r="R67" s="17"/>
      <c r="S67" s="17"/>
      <c r="T67" t="s" s="17">
        <v>782</v>
      </c>
      <c r="U67" t="s" s="17">
        <v>783</v>
      </c>
      <c r="V67" s="17"/>
      <c r="W67" s="17"/>
      <c r="X67" s="17"/>
      <c r="Y67" s="17"/>
      <c r="Z67" s="17"/>
      <c r="AA67" s="17"/>
      <c r="AB67" s="17"/>
      <c r="AC67" s="17"/>
      <c r="AD67" s="19"/>
      <c r="AE67" s="19"/>
      <c r="AF67" s="29">
        <v>10</v>
      </c>
      <c r="AG67" t="s" s="17">
        <v>51</v>
      </c>
      <c r="AH67" t="s" s="21">
        <v>784</v>
      </c>
      <c r="AI67" t="s" s="17">
        <v>785</v>
      </c>
      <c r="AJ67" t="s" s="22">
        <v>786</v>
      </c>
      <c r="AK67" t="s" s="23">
        <v>786</v>
      </c>
      <c r="AL67" t="s" s="17">
        <v>787</v>
      </c>
    </row>
    <row r="68" ht="18.9" customHeight="1">
      <c r="B68" t="str" s="15" cm="1">
        <f t="array" ref="B68">G68&amp;"_"&amp;F68</f>
        <v>MCU_WT32-ETH01</v>
      </c>
      <c r="C68" t="str" s="16" cm="1">
        <f t="array" ref="C68">$F68&amp;IF($G68="LED"," LED","")&amp;IF($V68="",""," ")&amp;$V68&amp;IF($L68="",""," ")&amp;$L68&amp;IF($W68="",""," ")&amp;$W68&amp;IF($X68="",""," ")&amp;$X68&amp;IF($Y68="",""," ")&amp;$Y68&amp;IF($AB68="",""," ")&amp;$AB68&amp;IF($AB68="","","mcd")</f>
        <v>WT32-ETH01 ESP32</v>
      </c>
      <c r="D68" t="str" s="16" cm="1">
        <f t="array" ref="D68">$F68&amp;" "&amp;G68&amp;IF($V68="",""," ")&amp;$V68&amp;IF($L68="",""," ")&amp;$L68&amp;IF($W68="",""," ")&amp;$W68&amp;IF($X68="",""," ")&amp;$X68&amp;IF($Y68="",""," ")&amp;$Y68&amp;IF($AB68="",""," ")&amp;$AB68&amp;IF($AB68="","","mcd")</f>
        <v>WT32-ETH01 MCU ESP32</v>
      </c>
      <c r="E68" t="str" s="15" cm="1">
        <f t="array" ref="E68">IF(ISBLANK(M68),"",HYPERLINK("https://jlcpcb.com/partdetail/"&amp;$M68,$M68))</f>
      </c>
      <c r="F68" t="str" s="15" cm="1">
        <f t="array" ref="F68">H68</f>
        <v>WT32-ETH01</v>
      </c>
      <c r="G68" t="s" s="17">
        <v>779</v>
      </c>
      <c r="H68" t="str" s="19" cm="1">
        <f t="array" ref="H68">AI68</f>
        <v>WT32-ETH01</v>
      </c>
      <c r="I68" t="s" s="17">
        <v>8</v>
      </c>
      <c r="J68" s="19"/>
      <c r="K68" t="s" s="18">
        <v>114</v>
      </c>
      <c r="L68" t="s" s="17">
        <v>780</v>
      </c>
      <c r="M68" s="19"/>
      <c r="N68" t="s" s="18">
        <v>792</v>
      </c>
      <c r="O68" s="17"/>
      <c r="P68" s="17"/>
      <c r="Q68" s="17"/>
      <c r="R68" s="17"/>
      <c r="S68" s="17"/>
      <c r="T68" t="s" s="17">
        <v>793</v>
      </c>
      <c r="U68" t="s" s="17">
        <v>783</v>
      </c>
      <c r="V68" s="17"/>
      <c r="W68" s="17"/>
      <c r="X68" s="17"/>
      <c r="Y68" s="17"/>
      <c r="Z68" s="17"/>
      <c r="AA68" s="17"/>
      <c r="AB68" s="17"/>
      <c r="AC68" s="17"/>
      <c r="AD68" s="19"/>
      <c r="AE68" s="19"/>
      <c r="AF68" s="29">
        <v>10</v>
      </c>
      <c r="AG68" t="s" s="17">
        <v>51</v>
      </c>
      <c r="AH68" t="s" s="21">
        <v>794</v>
      </c>
      <c r="AI68" t="s" s="17">
        <v>792</v>
      </c>
      <c r="AJ68" t="s" s="22">
        <v>795</v>
      </c>
      <c r="AK68" t="s" s="23">
        <v>795</v>
      </c>
      <c r="AL68" t="s" s="17">
        <v>796</v>
      </c>
    </row>
    <row r="69" ht="19" customHeight="1">
      <c r="B69" t="str" s="15" cm="1">
        <f t="array" ref="B69">G69&amp;"_"&amp;L69&amp;"_"&amp;X69&amp;"_"&amp;R70&amp;"_"&amp;F69</f>
        <v>Q_P-FET_2.3A_SOT-23_2301V</v>
      </c>
      <c r="C69" t="str" s="16" cm="1">
        <f t="array" ref="C69">$F69&amp;IF($G69="LED"," LED","")&amp;IF($V69="",""," ")&amp;$V69&amp;IF($L69="",""," ")&amp;$L69&amp;IF($W69="",""," ")&amp;$W69&amp;IF($X69="",""," ")&amp;$X69&amp;IF($Y69="",""," ")&amp;$Y69&amp;IF($AB69="",""," ")&amp;$AB69&amp;IF($AB69="","","mcd")</f>
        <v>2301V P-FET 20V 2.3A</v>
      </c>
      <c r="D69" t="str" s="16" cm="1">
        <f t="array" ref="D69">$F69&amp;" "&amp;G69&amp;IF($V69="",""," ")&amp;$V69&amp;IF($L69="",""," ")&amp;$L69&amp;IF($W69="",""," ")&amp;$W69&amp;IF($X69="",""," ")&amp;$X69&amp;IF($Y69="",""," ")&amp;$Y69&amp;IF($AB69="",""," ")&amp;$AB69&amp;IF($AB69="","","mcd")</f>
        <v>2301V Q P-FET 20V 2.3A</v>
      </c>
      <c r="E69" t="str" s="15" cm="1">
        <f t="array" ref="E69">IF(ISBLANK(M69),"",HYPERLINK("https://jlcpcb.com/partdetail/"&amp;$M69,$M69))</f>
        <v>C7499856</v>
      </c>
      <c r="F69" t="str" s="15" cm="1">
        <f t="array" ref="F69">H69</f>
        <v>2301V</v>
      </c>
      <c r="G69" t="s" s="17">
        <v>802</v>
      </c>
      <c r="H69" t="str" s="19" cm="1">
        <f t="array" ref="H69">AI69</f>
        <v>2301V</v>
      </c>
      <c r="I69" s="19"/>
      <c r="J69" s="19"/>
      <c r="K69" t="s" s="17">
        <v>10</v>
      </c>
      <c r="L69" t="s" s="17">
        <v>803</v>
      </c>
      <c r="M69" t="s" s="18">
        <v>804</v>
      </c>
      <c r="N69" t="s" s="36">
        <v>805</v>
      </c>
      <c r="O69" s="17"/>
      <c r="P69" s="17"/>
      <c r="Q69" s="17"/>
      <c r="R69" t="s" s="17">
        <v>454</v>
      </c>
      <c r="S69" t="s" s="17">
        <v>806</v>
      </c>
      <c r="T69" s="17"/>
      <c r="U69" s="17"/>
      <c r="V69" s="17"/>
      <c r="W69" t="s" s="17">
        <v>807</v>
      </c>
      <c r="X69" t="s" s="17">
        <v>808</v>
      </c>
      <c r="Y69" s="17"/>
      <c r="Z69" s="17"/>
      <c r="AA69" s="17"/>
      <c r="AB69" s="17"/>
      <c r="AC69" s="17"/>
      <c r="AD69" s="28"/>
      <c r="AE69" s="28"/>
      <c r="AF69" s="20">
        <v>1</v>
      </c>
      <c r="AG69" t="s" s="17">
        <v>51</v>
      </c>
      <c r="AH69" t="s" s="38">
        <v>809</v>
      </c>
      <c r="AI69" t="s" s="35">
        <v>810</v>
      </c>
      <c r="AJ69" t="s" s="21">
        <v>811</v>
      </c>
      <c r="AK69" t="s" s="23">
        <v>459</v>
      </c>
      <c r="AL69" t="s" s="17">
        <v>812</v>
      </c>
    </row>
    <row r="70" ht="19" customHeight="1">
      <c r="B70" t="str" s="15" cm="1">
        <f t="array" ref="B70">G70&amp;"_"&amp;L70&amp;"_"&amp;X70&amp;"_"&amp;R71&amp;"_"&amp;F70</f>
        <v>Q_N-FET_300mA_SOT-23_2N7002</v>
      </c>
      <c r="C70" t="str" s="16" cm="1">
        <f t="array" ref="C70">$F70&amp;IF($G70="LED"," LED","")&amp;IF($V70="",""," ")&amp;$V70&amp;IF($L70="",""," ")&amp;$L70&amp;IF($W70="",""," ")&amp;$W70&amp;IF($X70="",""," ")&amp;$X70&amp;IF($Y70="",""," ")&amp;$Y70&amp;IF($AB70="",""," ")&amp;$AB70&amp;IF($AB70="","","mcd")</f>
        <v>2N7002 N-FET 60V 300mA</v>
      </c>
      <c r="D70" t="str" s="16" cm="1">
        <f t="array" ref="D70">$F70&amp;" "&amp;G70&amp;IF($V70="",""," ")&amp;$V70&amp;IF($L70="",""," ")&amp;$L70&amp;IF($W70="",""," ")&amp;$W70&amp;IF($X70="",""," ")&amp;$X70&amp;IF($Y70="",""," ")&amp;$Y70&amp;IF($AB70="",""," ")&amp;$AB70&amp;IF($AB70="","","mcd")</f>
        <v>2N7002 Q N-FET 60V 300mA</v>
      </c>
      <c r="E70" t="str" s="15" cm="1">
        <f t="array" ref="E70">IF(ISBLANK(M70),"",HYPERLINK("https://jlcpcb.com/partdetail/"&amp;$M70,$M70))</f>
        <v>C5224215</v>
      </c>
      <c r="F70" t="str" s="15" cm="1">
        <f t="array" ref="F70">H70</f>
        <v>2N7002</v>
      </c>
      <c r="G70" t="s" s="17">
        <v>802</v>
      </c>
      <c r="H70" t="str" s="19" cm="1">
        <f t="array" ref="H70">AI70</f>
        <v>2N7002</v>
      </c>
      <c r="I70" s="19"/>
      <c r="J70" s="19"/>
      <c r="K70" t="s" s="17">
        <v>10</v>
      </c>
      <c r="L70" t="s" s="17">
        <v>818</v>
      </c>
      <c r="M70" t="s" s="18">
        <v>819</v>
      </c>
      <c r="N70" t="s" s="18">
        <v>820</v>
      </c>
      <c r="O70" s="17"/>
      <c r="P70" s="17"/>
      <c r="Q70" s="17"/>
      <c r="R70" t="s" s="17">
        <v>454</v>
      </c>
      <c r="S70" t="s" s="17">
        <v>806</v>
      </c>
      <c r="T70" s="17"/>
      <c r="U70" s="17"/>
      <c r="V70" s="17"/>
      <c r="W70" t="s" s="17">
        <v>821</v>
      </c>
      <c r="X70" t="s" s="17">
        <v>822</v>
      </c>
      <c r="Y70" s="17"/>
      <c r="Z70" s="17"/>
      <c r="AA70" s="17"/>
      <c r="AB70" s="17"/>
      <c r="AC70" s="17"/>
      <c r="AD70" s="28"/>
      <c r="AE70" s="28"/>
      <c r="AF70" s="20">
        <v>1</v>
      </c>
      <c r="AG70" t="s" s="17">
        <v>51</v>
      </c>
      <c r="AH70" t="s" s="21">
        <v>823</v>
      </c>
      <c r="AI70" t="s" s="17">
        <v>824</v>
      </c>
      <c r="AJ70" t="s" s="22">
        <v>825</v>
      </c>
      <c r="AK70" t="s" s="23">
        <v>459</v>
      </c>
      <c r="AL70" t="s" s="17">
        <v>826</v>
      </c>
    </row>
    <row r="71" ht="19" customHeight="1">
      <c r="B71" t="str" s="15" cm="1">
        <f t="array" ref="B71">G71&amp;"_"&amp;L71&amp;"_"&amp;X71&amp;"_"&amp;R72&amp;"_"&amp;F71</f>
        <v>Q_PNP_500mA_SOT-23_BC807</v>
      </c>
      <c r="C71" t="str" s="16" cm="1">
        <f t="array" ref="C71">$F71&amp;IF($G71="LED"," LED","")&amp;IF($V71="",""," ")&amp;$V71&amp;IF($L71="",""," ")&amp;$L71&amp;IF($W71="",""," ")&amp;$W71&amp;IF($X71="",""," ")&amp;$X71&amp;IF($Y71="",""," ")&amp;$Y71&amp;IF($AB71="",""," ")&amp;$AB71&amp;IF($AB71="","","mcd")</f>
        <v>BC807 PNP 45V 500mA 300mW</v>
      </c>
      <c r="D71" t="str" s="16" cm="1">
        <f t="array" ref="D71">$F71&amp;" "&amp;G71&amp;IF($V71="",""," ")&amp;$V71&amp;IF($L71="",""," ")&amp;$L71&amp;IF($W71="",""," ")&amp;$W71&amp;IF($X71="",""," ")&amp;$X71&amp;IF($Y71="",""," ")&amp;$Y71&amp;IF($AB71="",""," ")&amp;$AB71&amp;IF($AB71="","","mcd")</f>
        <v>BC807 Q PNP 45V 500mA 300mW</v>
      </c>
      <c r="E71" t="str" s="15" cm="1">
        <f t="array" ref="E71">IF(ISBLANK(M71),"",HYPERLINK("https://jlcpcb.com/partdetail/"&amp;$M71,$M71))</f>
        <v>C5184433</v>
      </c>
      <c r="F71" t="str" s="15" cm="1">
        <f t="array" ref="F71">H71</f>
        <v>BC807</v>
      </c>
      <c r="G71" t="s" s="17">
        <v>802</v>
      </c>
      <c r="H71" t="s" s="35">
        <v>832</v>
      </c>
      <c r="I71" s="37"/>
      <c r="J71" s="37"/>
      <c r="K71" t="s" s="17">
        <v>10</v>
      </c>
      <c r="L71" t="s" s="17">
        <v>833</v>
      </c>
      <c r="M71" t="s" s="18">
        <v>834</v>
      </c>
      <c r="N71" t="s" s="36">
        <v>835</v>
      </c>
      <c r="O71" s="35"/>
      <c r="P71" s="35"/>
      <c r="Q71" s="35"/>
      <c r="R71" t="s" s="35">
        <v>454</v>
      </c>
      <c r="S71" s="17"/>
      <c r="T71" s="17"/>
      <c r="U71" s="17"/>
      <c r="V71" s="17"/>
      <c r="W71" t="s" s="17">
        <v>836</v>
      </c>
      <c r="X71" t="s" s="17">
        <v>837</v>
      </c>
      <c r="Y71" t="s" s="17">
        <v>838</v>
      </c>
      <c r="Z71" s="17"/>
      <c r="AA71" s="17"/>
      <c r="AB71" s="17"/>
      <c r="AC71" s="17"/>
      <c r="AD71" s="28"/>
      <c r="AE71" s="28"/>
      <c r="AF71" s="20">
        <v>1</v>
      </c>
      <c r="AG71" t="s" s="17">
        <v>51</v>
      </c>
      <c r="AH71" t="s" s="21">
        <v>456</v>
      </c>
      <c r="AI71" t="s" s="35">
        <v>839</v>
      </c>
      <c r="AJ71" t="s" s="21">
        <v>840</v>
      </c>
      <c r="AK71" t="s" s="23">
        <v>459</v>
      </c>
      <c r="AL71" t="s" s="17">
        <v>841</v>
      </c>
    </row>
    <row r="72" ht="18.9" customHeight="1">
      <c r="B72" t="str" s="15" cm="1">
        <f t="array" ref="B72">G72&amp;"_"&amp;F72</f>
        <v>Q_BSS138</v>
      </c>
      <c r="C72" t="str" s="16" cm="1">
        <f t="array" ref="C72">$F72&amp;IF($G72="LED"," LED","")&amp;IF($V72="",""," ")&amp;$V72&amp;IF($L72="",""," ")&amp;$L72&amp;IF($W72="",""," ")&amp;$W72&amp;IF($X72="",""," ")&amp;$X72&amp;IF($Y72="",""," ")&amp;$Y72&amp;IF($AB72="",""," ")&amp;$AB72&amp;IF($AB72="","","mcd")</f>
        <v>BSS138 N-FET 60V 400mA</v>
      </c>
      <c r="D72" s="16"/>
      <c r="E72" t="str" s="15" cm="1">
        <f t="array" ref="E72">IF(ISBLANK(M72),"",HYPERLINK("https://jlcpcb.com/partdetail/"&amp;$M72,$M72))</f>
        <v>C5224269</v>
      </c>
      <c r="F72" t="str" s="15" cm="1">
        <f t="array" ref="F72">H72</f>
        <v>BSS138</v>
      </c>
      <c r="G72" t="s" s="17">
        <v>802</v>
      </c>
      <c r="H72" t="s" s="17">
        <v>846</v>
      </c>
      <c r="I72" s="50"/>
      <c r="J72" s="50"/>
      <c r="K72" t="s" s="17">
        <v>10</v>
      </c>
      <c r="L72" t="s" s="17">
        <v>818</v>
      </c>
      <c r="M72" t="s" s="17">
        <v>847</v>
      </c>
      <c r="N72" t="s" s="18">
        <v>848</v>
      </c>
      <c r="O72" s="17"/>
      <c r="P72" s="17"/>
      <c r="Q72" s="17"/>
      <c r="R72" t="s" s="17">
        <v>454</v>
      </c>
      <c r="S72" t="s" s="17">
        <v>806</v>
      </c>
      <c r="T72" s="17"/>
      <c r="U72" s="17"/>
      <c r="V72" s="17"/>
      <c r="W72" t="s" s="17">
        <v>821</v>
      </c>
      <c r="X72" t="s" s="17">
        <v>849</v>
      </c>
      <c r="Y72" s="17"/>
      <c r="Z72" s="17"/>
      <c r="AA72" s="17"/>
      <c r="AB72" s="17"/>
      <c r="AC72" s="17"/>
      <c r="AD72" s="19"/>
      <c r="AE72" s="19"/>
      <c r="AF72" s="30"/>
      <c r="AG72" s="19"/>
      <c r="AH72" t="s" s="51">
        <v>823</v>
      </c>
      <c r="AI72" t="s" s="17">
        <v>850</v>
      </c>
      <c r="AJ72" t="s" s="22">
        <v>825</v>
      </c>
      <c r="AK72" t="s" s="23">
        <v>459</v>
      </c>
      <c r="AL72" t="s" s="17">
        <v>851</v>
      </c>
    </row>
    <row r="73" ht="19" customHeight="1">
      <c r="B73" t="str" s="15" cm="1">
        <f t="array" ref="B73">G73&amp;"_"&amp;L73&amp;"_"&amp;X73&amp;"_"&amp;R74&amp;"_"&amp;F73</f>
        <v>Q_N-FET_10A_SOT-23_DMN4468</v>
      </c>
      <c r="C73" t="str" s="16" cm="1">
        <f t="array" ref="C73">$F73&amp;IF($G73="LED"," LED","")&amp;IF($V73="",""," ")&amp;$V73&amp;IF($L73="",""," ")&amp;$L73&amp;IF($W73="",""," ")&amp;$W73&amp;IF($X73="",""," ")&amp;$X73&amp;IF($Y73="",""," ")&amp;$Y73&amp;IF($AB73="",""," ")&amp;$AB73&amp;IF($AB73="","","mcd")</f>
        <v>DMN4468 N-FET 30v 10A</v>
      </c>
      <c r="D73" t="str" s="16" cm="1">
        <f t="array" ref="D73">$F73&amp;" "&amp;G73&amp;IF($V73="",""," ")&amp;$V73&amp;IF($L73="",""," ")&amp;$L73&amp;IF($W73="",""," ")&amp;$W73&amp;IF($X73="",""," ")&amp;$X73&amp;IF($Y73="",""," ")&amp;$Y73&amp;IF($AB73="",""," ")&amp;$AB73&amp;IF($AB73="","","mcd")</f>
        <v>DMN4468 Q N-FET 30v 10A</v>
      </c>
      <c r="E73" t="str" s="15" cm="1">
        <f t="array" ref="E73">IF(ISBLANK(M73),"",HYPERLINK("https://jlcpcb.com/partdetail/"&amp;$M73,$M73))</f>
        <v>C878901</v>
      </c>
      <c r="F73" t="str" s="15" cm="1">
        <f t="array" ref="F73">H73</f>
        <v>DMN4468</v>
      </c>
      <c r="G73" t="s" s="17">
        <v>802</v>
      </c>
      <c r="H73" t="s" s="17">
        <v>857</v>
      </c>
      <c r="I73" s="19"/>
      <c r="J73" s="19"/>
      <c r="K73" t="s" s="17">
        <v>10</v>
      </c>
      <c r="L73" t="s" s="17">
        <v>818</v>
      </c>
      <c r="M73" t="s" s="18">
        <v>858</v>
      </c>
      <c r="N73" t="s" s="18">
        <v>859</v>
      </c>
      <c r="O73" s="17"/>
      <c r="P73" s="17"/>
      <c r="Q73" s="17"/>
      <c r="R73" t="s" s="17">
        <v>860</v>
      </c>
      <c r="S73" s="17"/>
      <c r="T73" s="17"/>
      <c r="U73" s="17"/>
      <c r="V73" s="17"/>
      <c r="W73" t="s" s="17">
        <v>861</v>
      </c>
      <c r="X73" t="s" s="17">
        <v>862</v>
      </c>
      <c r="Y73" s="17"/>
      <c r="Z73" s="17"/>
      <c r="AA73" s="17"/>
      <c r="AB73" s="17"/>
      <c r="AC73" s="17"/>
      <c r="AD73" s="28"/>
      <c r="AE73" s="28"/>
      <c r="AF73" s="20">
        <v>1</v>
      </c>
      <c r="AG73" t="s" s="17">
        <v>51</v>
      </c>
      <c r="AH73" t="s" s="21">
        <v>863</v>
      </c>
      <c r="AI73" t="s" s="17">
        <v>864</v>
      </c>
      <c r="AJ73" t="s" s="22">
        <v>865</v>
      </c>
      <c r="AK73" t="s" s="23">
        <v>866</v>
      </c>
      <c r="AL73" t="s" s="17">
        <v>867</v>
      </c>
    </row>
    <row r="74" ht="19" customHeight="1">
      <c r="B74" t="str" s="15" cm="1">
        <f t="array" ref="B74">G74&amp;"_"&amp;L74&amp;"_"&amp;X74&amp;"_"&amp;R75&amp;"_"&amp;F74</f>
        <v>Q_NPN_600mA_SOT-23_MMBT2222LT1G</v>
      </c>
      <c r="C74" t="str" s="16" cm="1">
        <f t="array" ref="C74">$F74&amp;IF($G74="LED"," LED","")&amp;IF($V74="",""," ")&amp;$V74&amp;IF($L74="",""," ")&amp;$L74&amp;IF($W74="",""," ")&amp;$W74&amp;IF($X74="",""," ")&amp;$X74&amp;IF($Y74="",""," ")&amp;$Y74&amp;IF($AB74="",""," ")&amp;$AB74&amp;IF($AB74="","","mcd")</f>
        <v>MMBT2222LT1G NPN 30V 600mA 300mW</v>
      </c>
      <c r="D74" t="str" s="16" cm="1">
        <f t="array" ref="D74">$F74&amp;" "&amp;G74&amp;IF($V74="",""," ")&amp;$V74&amp;IF($L74="",""," ")&amp;$L74&amp;IF($W74="",""," ")&amp;$W74&amp;IF($X74="",""," ")&amp;$X74&amp;IF($Y74="",""," ")&amp;$Y74&amp;IF($AB74="",""," ")&amp;$AB74&amp;IF($AB74="","","mcd")</f>
        <v>MMBT2222LT1G Q NPN 30V 600mA 300mW</v>
      </c>
      <c r="E74" t="str" s="15" cm="1">
        <f t="array" ref="E74">IF(ISBLANK(M74),"",HYPERLINK("https://jlcpcb.com/partdetail/"&amp;$M74,$M74))</f>
      </c>
      <c r="F74" t="str" s="15" cm="1">
        <f t="array" ref="F74">H74</f>
        <v>MMBT2222LT1G</v>
      </c>
      <c r="G74" t="s" s="17">
        <v>802</v>
      </c>
      <c r="H74" t="str" s="19" cm="1">
        <f t="array" ref="H74">AI74</f>
        <v>MMBT2222LT1G</v>
      </c>
      <c r="I74" s="19"/>
      <c r="J74" s="19"/>
      <c r="K74" t="s" s="17">
        <v>10</v>
      </c>
      <c r="L74" t="s" s="17">
        <v>872</v>
      </c>
      <c r="M74" s="28"/>
      <c r="N74" t="s" s="36">
        <v>873</v>
      </c>
      <c r="O74" s="17"/>
      <c r="P74" s="17"/>
      <c r="Q74" s="17"/>
      <c r="R74" t="s" s="17">
        <v>454</v>
      </c>
      <c r="S74" s="17"/>
      <c r="T74" s="17"/>
      <c r="U74" s="17"/>
      <c r="V74" s="17"/>
      <c r="W74" t="s" s="17">
        <v>455</v>
      </c>
      <c r="X74" t="s" s="35">
        <v>874</v>
      </c>
      <c r="Y74" t="s" s="35">
        <v>838</v>
      </c>
      <c r="Z74" s="35"/>
      <c r="AA74" s="35"/>
      <c r="AB74" s="17"/>
      <c r="AC74" s="17"/>
      <c r="AD74" s="28"/>
      <c r="AE74" s="28"/>
      <c r="AF74" s="20">
        <v>10</v>
      </c>
      <c r="AG74" t="s" s="17">
        <v>51</v>
      </c>
      <c r="AH74" t="s" s="21">
        <v>524</v>
      </c>
      <c r="AI74" t="s" s="35">
        <v>875</v>
      </c>
      <c r="AJ74" t="s" s="21">
        <v>876</v>
      </c>
      <c r="AK74" t="s" s="23">
        <v>459</v>
      </c>
      <c r="AL74" s="19"/>
    </row>
    <row r="75" ht="19" customHeight="1">
      <c r="B75" t="str" s="15" cm="1">
        <f t="array" ref="B75">G75&amp;"_"&amp;L75&amp;"_"&amp;X75&amp;"_"&amp;R76&amp;"_"&amp;F75</f>
        <v>Q_NPN_200mA_TO-220_MMBT3904</v>
      </c>
      <c r="C75" t="str" s="16" cm="1">
        <f t="array" ref="C75">$F75&amp;IF($G75="LED"," LED","")&amp;IF($V75="",""," ")&amp;$V75&amp;IF($L75="",""," ")&amp;$L75&amp;IF($W75="",""," ")&amp;$W75&amp;IF($X75="",""," ")&amp;$X75&amp;IF($Y75="",""," ")&amp;$Y75&amp;IF($AB75="",""," ")&amp;$AB75&amp;IF($AB75="","","mcd")</f>
        <v>MMBT3904 NPN 40V 200mA 200mW</v>
      </c>
      <c r="D75" t="str" s="16" cm="1">
        <f t="array" ref="D75">$F75&amp;" "&amp;G75&amp;IF($V75="",""," ")&amp;$V75&amp;IF($L75="",""," ")&amp;$L75&amp;IF($W75="",""," ")&amp;$W75&amp;IF($X75="",""," ")&amp;$X75&amp;IF($Y75="",""," ")&amp;$Y75&amp;IF($AB75="",""," ")&amp;$AB75&amp;IF($AB75="","","mcd")</f>
        <v>MMBT3904 Q NPN 40V 200mA 200mW</v>
      </c>
      <c r="E75" t="str" s="15" cm="1">
        <f t="array" ref="E75">IF(ISBLANK(M75),"",HYPERLINK("https://jlcpcb.com/partdetail/"&amp;$M75,$M75))</f>
        <v>C5184404</v>
      </c>
      <c r="F75" t="str" s="15" cm="1">
        <f t="array" ref="F75">H75</f>
        <v>MMBT3904</v>
      </c>
      <c r="G75" t="s" s="17">
        <v>802</v>
      </c>
      <c r="H75" t="str" s="19" cm="1">
        <f t="array" ref="H75">AI75</f>
        <v>MMBT3904</v>
      </c>
      <c r="I75" s="19"/>
      <c r="J75" s="19"/>
      <c r="K75" t="s" s="17">
        <v>10</v>
      </c>
      <c r="L75" t="s" s="17">
        <v>872</v>
      </c>
      <c r="M75" t="s" s="18">
        <v>882</v>
      </c>
      <c r="N75" t="s" s="36">
        <v>883</v>
      </c>
      <c r="O75" s="17"/>
      <c r="P75" s="17"/>
      <c r="Q75" s="17"/>
      <c r="R75" t="s" s="17">
        <v>454</v>
      </c>
      <c r="S75" s="17"/>
      <c r="T75" s="17"/>
      <c r="U75" s="17"/>
      <c r="V75" s="17"/>
      <c r="W75" t="s" s="17">
        <v>884</v>
      </c>
      <c r="X75" t="s" s="35">
        <v>885</v>
      </c>
      <c r="Y75" t="s" s="35">
        <v>440</v>
      </c>
      <c r="Z75" s="35"/>
      <c r="AA75" s="35"/>
      <c r="AB75" s="17"/>
      <c r="AC75" s="17"/>
      <c r="AD75" s="28"/>
      <c r="AE75" s="28"/>
      <c r="AF75" s="20">
        <v>1</v>
      </c>
      <c r="AG75" t="s" s="17">
        <v>51</v>
      </c>
      <c r="AH75" t="s" s="21">
        <v>456</v>
      </c>
      <c r="AI75" t="s" s="35">
        <v>886</v>
      </c>
      <c r="AJ75" t="s" s="21">
        <v>876</v>
      </c>
      <c r="AK75" t="s" s="23">
        <v>459</v>
      </c>
      <c r="AL75" t="s" s="17">
        <v>887</v>
      </c>
    </row>
    <row r="76" ht="19" customHeight="1">
      <c r="B76" t="str" s="15" cm="1">
        <f t="array" ref="B76">G76&amp;"_"&amp;F76&amp;"_"&amp;R76</f>
        <v>REG_78L05_TO-220</v>
      </c>
      <c r="C76" t="str" s="16" cm="1">
        <f t="array" ref="C76">$F76&amp;IF($G76="LED"," LED","")&amp;IF($V76="",""," ")&amp;$V76&amp;IF($L76="",""," ")&amp;$L76&amp;IF($W76="",""," ")&amp;$W76&amp;IF($X76="",""," ")&amp;$X76&amp;IF($Y76="",""," ")&amp;$Y76&amp;IF($AB76="",""," ")&amp;$AB76&amp;IF($AB76="","","mcd")</f>
        <v>78L05 5v 5v 1A</v>
      </c>
      <c r="D76" t="str" s="16" cm="1">
        <f t="array" ref="D76">$F76&amp;" "&amp;G76&amp;IF($V76="",""," ")&amp;$V76&amp;IF($L76="",""," ")&amp;$L76&amp;IF($W76="",""," ")&amp;$W76&amp;IF($X76="",""," ")&amp;$X76&amp;IF($Y76="",""," ")&amp;$Y76&amp;IF($AB76="",""," ")&amp;$AB76&amp;IF($AB76="","","mcd")</f>
        <v>78L05 REG 5v 5v 1A</v>
      </c>
      <c r="E76" t="str" s="15" cm="1">
        <f t="array" ref="E76">IF(ISBLANK(M76),"",HYPERLINK("https://jlcpcb.com/partdetail/"&amp;$M76,$M76))</f>
      </c>
      <c r="F76" t="str" s="15" cm="1">
        <f t="array" ref="F76">H76</f>
        <v>78L05</v>
      </c>
      <c r="G76" t="s" s="17">
        <v>892</v>
      </c>
      <c r="H76" t="s" s="35">
        <v>893</v>
      </c>
      <c r="I76" s="37"/>
      <c r="J76" s="37"/>
      <c r="K76" t="s" s="17">
        <v>114</v>
      </c>
      <c r="L76" t="s" s="17">
        <v>747</v>
      </c>
      <c r="M76" s="28"/>
      <c r="N76" t="s" s="36">
        <v>894</v>
      </c>
      <c r="O76" s="18"/>
      <c r="P76" s="18"/>
      <c r="Q76" s="18"/>
      <c r="R76" t="s" s="18">
        <v>895</v>
      </c>
      <c r="S76" s="17"/>
      <c r="T76" s="17"/>
      <c r="U76" s="18"/>
      <c r="V76" s="17"/>
      <c r="W76" t="s" s="17">
        <v>747</v>
      </c>
      <c r="X76" t="s" s="35">
        <v>896</v>
      </c>
      <c r="Y76" s="35"/>
      <c r="Z76" s="35"/>
      <c r="AA76" s="35"/>
      <c r="AB76" s="17"/>
      <c r="AC76" s="17"/>
      <c r="AD76" s="28"/>
      <c r="AE76" s="28"/>
      <c r="AF76" s="20">
        <v>10</v>
      </c>
      <c r="AG76" t="s" s="17">
        <v>51</v>
      </c>
      <c r="AH76" s="34"/>
      <c r="AI76" s="28"/>
      <c r="AJ76" s="26"/>
      <c r="AK76" s="27"/>
      <c r="AL76" s="19"/>
    </row>
    <row r="77" ht="19" customHeight="1">
      <c r="B77" t="str" s="15" cm="1">
        <f t="array" ref="B77">G77&amp;"_"&amp;F77&amp;"_"&amp;R77</f>
        <v>REG_78M05_TO-252-2</v>
      </c>
      <c r="C77" t="str" s="16" cm="1">
        <f t="array" ref="C77">$F77&amp;IF($G77="LED"," LED","")&amp;IF($V77="",""," ")&amp;$V77&amp;IF($L77="",""," ")&amp;$L77&amp;IF($W77="",""," ")&amp;$W77&amp;IF($X77="",""," ")&amp;$X77&amp;IF($Y77="",""," ")&amp;$Y77&amp;IF($AB77="",""," ")&amp;$AB77&amp;IF($AB77="","","mcd")</f>
        <v>78M05 5v 5v 1A</v>
      </c>
      <c r="D77" t="str" s="16" cm="1">
        <f t="array" ref="D77">$F77&amp;" "&amp;G77&amp;IF($V77="",""," ")&amp;$V77&amp;IF($L77="",""," ")&amp;$L77&amp;IF($W77="",""," ")&amp;$W77&amp;IF($X77="",""," ")&amp;$X77&amp;IF($Y77="",""," ")&amp;$Y77&amp;IF($AB77="",""," ")&amp;$AB77&amp;IF($AB77="","","mcd")</f>
        <v>78M05 REG 5v 5v 1A</v>
      </c>
      <c r="E77" t="str" s="15" cm="1">
        <f t="array" ref="E77">IF(ISBLANK(M77),"",HYPERLINK("https://jlcpcb.com/partdetail/"&amp;$M77,$M77))</f>
        <v>C347278</v>
      </c>
      <c r="F77" t="s" s="32">
        <v>901</v>
      </c>
      <c r="G77" t="s" s="17">
        <v>892</v>
      </c>
      <c r="H77" t="s" s="35">
        <v>901</v>
      </c>
      <c r="I77" s="37"/>
      <c r="J77" s="37"/>
      <c r="K77" t="s" s="17">
        <v>10</v>
      </c>
      <c r="L77" t="s" s="17">
        <v>747</v>
      </c>
      <c r="M77" t="s" s="18">
        <v>902</v>
      </c>
      <c r="N77" t="s" s="36">
        <v>903</v>
      </c>
      <c r="O77" s="18"/>
      <c r="P77" s="18"/>
      <c r="Q77" s="18"/>
      <c r="R77" t="s" s="18">
        <v>904</v>
      </c>
      <c r="S77" s="17"/>
      <c r="T77" s="17"/>
      <c r="U77" s="18"/>
      <c r="V77" s="17"/>
      <c r="W77" t="s" s="17">
        <v>747</v>
      </c>
      <c r="X77" t="s" s="35">
        <v>896</v>
      </c>
      <c r="Y77" s="35"/>
      <c r="Z77" s="35"/>
      <c r="AA77" s="35"/>
      <c r="AB77" s="17"/>
      <c r="AC77" s="17"/>
      <c r="AD77" s="28"/>
      <c r="AE77" s="28"/>
      <c r="AF77" s="42"/>
      <c r="AG77" s="19"/>
      <c r="AH77" t="s" s="33">
        <v>905</v>
      </c>
      <c r="AI77" t="s" s="18">
        <v>901</v>
      </c>
      <c r="AJ77" t="s" s="21">
        <v>906</v>
      </c>
      <c r="AK77" t="s" s="23">
        <v>907</v>
      </c>
      <c r="AL77" t="s" s="17">
        <v>908</v>
      </c>
    </row>
    <row r="78" ht="19" customHeight="1">
      <c r="B78" t="str" s="15" cm="1">
        <f t="array" ref="B78">G78&amp;"_"&amp;F78&amp;"_"&amp;R78</f>
        <v>REG_AMS1117-3.3_SOT-223-3</v>
      </c>
      <c r="C78" t="str" s="16" cm="1">
        <f t="array" ref="C78">$F78&amp;IF($G78="LED"," LED","")&amp;IF($V78="",""," ")&amp;$V78&amp;IF($L78="",""," ")&amp;$L78&amp;IF($W78="",""," ")&amp;$W78&amp;IF($X78="",""," ")&amp;$X78&amp;IF($Y78="",""," ")&amp;$Y78&amp;IF($AB78="",""," ")&amp;$AB78&amp;IF($AB78="","","mcd")</f>
        <v>AMS1117-3.3 3v3 3v3 1A</v>
      </c>
      <c r="D78" t="str" s="16" cm="1">
        <f t="array" ref="D78">$F78&amp;" "&amp;G78&amp;IF($V78="",""," ")&amp;$V78&amp;IF($L78="",""," ")&amp;$L78&amp;IF($W78="",""," ")&amp;$W78&amp;IF($X78="",""," ")&amp;$X78&amp;IF($Y78="",""," ")&amp;$Y78&amp;IF($AB78="",""," ")&amp;$AB78&amp;IF($AB78="","","mcd")</f>
        <v>AMS1117-3.3 REG 3v3 3v3 1A</v>
      </c>
      <c r="E78" t="str" s="15" cm="1">
        <f t="array" ref="E78">IF(ISBLANK(M78),"",HYPERLINK("https://jlcpcb.com/partdetail/"&amp;$M78,$M78))</f>
        <v>C5345982</v>
      </c>
      <c r="F78" t="str" s="15" cm="1">
        <f t="array" ref="F78">H78</f>
        <v>AMS1117-3.3</v>
      </c>
      <c r="G78" t="s" s="17">
        <v>892</v>
      </c>
      <c r="H78" t="str" s="19" cm="1">
        <f t="array" ref="H78">AI78</f>
        <v>AMS1117-3.3</v>
      </c>
      <c r="I78" s="19"/>
      <c r="J78" s="19"/>
      <c r="K78" t="s" s="17">
        <v>10</v>
      </c>
      <c r="L78" t="s" s="17">
        <v>915</v>
      </c>
      <c r="M78" t="s" s="18">
        <v>916</v>
      </c>
      <c r="N78" t="s" s="36">
        <v>917</v>
      </c>
      <c r="O78" s="18"/>
      <c r="P78" s="18"/>
      <c r="Q78" s="18"/>
      <c r="R78" t="s" s="18">
        <v>918</v>
      </c>
      <c r="S78" s="17"/>
      <c r="T78" s="17"/>
      <c r="U78" s="18"/>
      <c r="V78" s="17"/>
      <c r="W78" t="s" s="17">
        <v>915</v>
      </c>
      <c r="X78" t="s" s="35">
        <v>896</v>
      </c>
      <c r="Y78" s="35"/>
      <c r="Z78" s="35"/>
      <c r="AA78" s="35"/>
      <c r="AB78" s="17"/>
      <c r="AC78" s="17"/>
      <c r="AD78" s="28"/>
      <c r="AE78" s="28"/>
      <c r="AF78" s="20">
        <v>10</v>
      </c>
      <c r="AG78" t="s" s="17">
        <v>51</v>
      </c>
      <c r="AH78" t="s" s="33">
        <v>919</v>
      </c>
      <c r="AI78" t="s" s="18">
        <v>914</v>
      </c>
      <c r="AJ78" t="s" s="21">
        <v>920</v>
      </c>
      <c r="AK78" t="s" s="23">
        <v>921</v>
      </c>
      <c r="AL78" t="s" s="17">
        <v>922</v>
      </c>
    </row>
    <row r="79" ht="19" customHeight="1">
      <c r="B79" t="str" s="15" cm="1">
        <f t="array" ref="B79">G79&amp;"_"&amp;F79&amp;"_"&amp;R79</f>
        <v>REG_AMS1117-5.0_SOT-223-3</v>
      </c>
      <c r="C79" t="str" s="16" cm="1">
        <f t="array" ref="C79">$F79&amp;IF($G79="LED"," LED","")&amp;IF($V79="",""," ")&amp;$V79&amp;IF($L79="",""," ")&amp;$L79&amp;IF($W79="",""," ")&amp;$W79&amp;IF($X79="",""," ")&amp;$X79&amp;IF($Y79="",""," ")&amp;$Y79&amp;IF($AB79="",""," ")&amp;$AB79&amp;IF($AB79="","","mcd")</f>
        <v>AMS1117-5.0 5v 5v0 1A</v>
      </c>
      <c r="D79" t="str" s="16" cm="1">
        <f t="array" ref="D79">$F79&amp;" "&amp;G79&amp;IF($V79="",""," ")&amp;$V79&amp;IF($L79="",""," ")&amp;$L79&amp;IF($W79="",""," ")&amp;$W79&amp;IF($X79="",""," ")&amp;$X79&amp;IF($Y79="",""," ")&amp;$Y79&amp;IF($AB79="",""," ")&amp;$AB79&amp;IF($AB79="","","mcd")</f>
        <v>AMS1117-5.0 REG 5v 5v0 1A</v>
      </c>
      <c r="E79" t="str" s="15" cm="1">
        <f t="array" ref="E79">IF(ISBLANK(M79),"",HYPERLINK("https://jlcpcb.com/partdetail/"&amp;$M79,$M79))</f>
        <v>C5345984</v>
      </c>
      <c r="F79" t="str" s="15" cm="1">
        <f t="array" ref="F79">H79</f>
        <v>AMS1117-5.0</v>
      </c>
      <c r="G79" t="s" s="17">
        <v>892</v>
      </c>
      <c r="H79" t="str" s="19" cm="1">
        <f t="array" ref="H79">AI79</f>
        <v>AMS1117-5.0</v>
      </c>
      <c r="I79" s="19"/>
      <c r="J79" s="19"/>
      <c r="K79" t="s" s="17">
        <v>10</v>
      </c>
      <c r="L79" t="s" s="17">
        <v>747</v>
      </c>
      <c r="M79" t="s" s="18">
        <v>929</v>
      </c>
      <c r="N79" t="s" s="36">
        <v>930</v>
      </c>
      <c r="O79" s="18"/>
      <c r="P79" s="18"/>
      <c r="Q79" s="18"/>
      <c r="R79" t="s" s="18">
        <v>918</v>
      </c>
      <c r="S79" s="17"/>
      <c r="T79" s="17"/>
      <c r="U79" s="18"/>
      <c r="V79" s="17"/>
      <c r="W79" t="s" s="17">
        <v>931</v>
      </c>
      <c r="X79" t="s" s="35">
        <v>896</v>
      </c>
      <c r="Y79" s="35"/>
      <c r="Z79" s="35"/>
      <c r="AA79" s="35"/>
      <c r="AB79" s="17"/>
      <c r="AC79" s="17"/>
      <c r="AD79" s="28"/>
      <c r="AE79" s="28"/>
      <c r="AF79" s="20">
        <v>1</v>
      </c>
      <c r="AG79" t="s" s="17">
        <v>51</v>
      </c>
      <c r="AH79" t="s" s="33">
        <v>919</v>
      </c>
      <c r="AI79" t="s" s="18">
        <v>928</v>
      </c>
      <c r="AJ79" t="s" s="21">
        <v>920</v>
      </c>
      <c r="AK79" t="s" s="23">
        <v>921</v>
      </c>
      <c r="AL79" t="s" s="17">
        <v>932</v>
      </c>
    </row>
    <row r="80" ht="19" customHeight="1">
      <c r="B80" t="str" s="15" cm="1">
        <f t="array" ref="B80">G80&amp;"_"&amp;F80&amp;"_"&amp;R80</f>
        <v>REG_AMS1117-ADJ_SOT-223-3</v>
      </c>
      <c r="C80" t="str" s="16" cm="1">
        <f t="array" ref="C80">$F80&amp;IF($G80="LED"," LED","")&amp;IF($V80="",""," ")&amp;$V80&amp;IF($L80="",""," ")&amp;$L80&amp;IF($W80="",""," ")&amp;$W80&amp;IF($X80="",""," ")&amp;$X80&amp;IF($Y80="",""," ")&amp;$Y80&amp;IF($AB80="",""," ")&amp;$AB80&amp;IF($AB80="","","mcd")</f>
        <v>AMS1117-ADJ ADJ 1.25-10.5v 1A</v>
      </c>
      <c r="D80" t="str" s="16" cm="1">
        <f t="array" ref="D80">$F80&amp;" "&amp;G80&amp;IF($V80="",""," ")&amp;$V80&amp;IF($L80="",""," ")&amp;$L80&amp;IF($W80="",""," ")&amp;$W80&amp;IF($X80="",""," ")&amp;$X80&amp;IF($Y80="",""," ")&amp;$Y80&amp;IF($AB80="",""," ")&amp;$AB80&amp;IF($AB80="","","mcd")</f>
        <v>AMS1117-ADJ REG ADJ 1.25-10.5v 1A</v>
      </c>
      <c r="E80" t="str" s="15" cm="1">
        <f t="array" ref="E80">IF(ISBLANK(M80),"",HYPERLINK("https://jlcpcb.com/partdetail/"&amp;$M80,$M80))</f>
        <v>C5345985</v>
      </c>
      <c r="F80" t="str" s="15" cm="1">
        <f t="array" ref="F80">H80</f>
        <v>AMS1117-ADJ</v>
      </c>
      <c r="G80" t="s" s="17">
        <v>892</v>
      </c>
      <c r="H80" t="str" s="19" cm="1">
        <f t="array" ref="H80">AI80</f>
        <v>AMS1117-ADJ</v>
      </c>
      <c r="I80" s="19"/>
      <c r="J80" s="19"/>
      <c r="K80" t="s" s="17">
        <v>10</v>
      </c>
      <c r="L80" t="s" s="17">
        <v>939</v>
      </c>
      <c r="M80" t="s" s="18">
        <v>940</v>
      </c>
      <c r="N80" t="s" s="36">
        <v>941</v>
      </c>
      <c r="O80" s="18"/>
      <c r="P80" s="18"/>
      <c r="Q80" s="18"/>
      <c r="R80" t="s" s="18">
        <v>918</v>
      </c>
      <c r="S80" s="17"/>
      <c r="T80" s="17"/>
      <c r="U80" s="18"/>
      <c r="V80" s="17"/>
      <c r="W80" t="s" s="17">
        <v>942</v>
      </c>
      <c r="X80" t="s" s="35">
        <v>896</v>
      </c>
      <c r="Y80" s="35"/>
      <c r="Z80" s="35"/>
      <c r="AA80" s="35"/>
      <c r="AB80" s="17"/>
      <c r="AC80" s="17"/>
      <c r="AD80" s="28"/>
      <c r="AE80" s="28"/>
      <c r="AF80" s="20">
        <v>10</v>
      </c>
      <c r="AG80" t="s" s="17">
        <v>51</v>
      </c>
      <c r="AH80" t="s" s="33">
        <v>919</v>
      </c>
      <c r="AI80" t="s" s="18">
        <v>938</v>
      </c>
      <c r="AJ80" t="s" s="21">
        <v>920</v>
      </c>
      <c r="AK80" t="s" s="23">
        <v>921</v>
      </c>
      <c r="AL80" t="s" s="17">
        <v>943</v>
      </c>
    </row>
    <row r="81" ht="18.9" customHeight="1">
      <c r="B81" t="str" s="44" cm="1">
        <f t="array" ref="B81">G81&amp;"_"&amp;V81&amp;"_"&amp;Y81&amp;"_"&amp;R81&amp;"_"&amp;F81</f>
        <v>RES_5%_100mW_0603_100K</v>
      </c>
      <c r="C81" t="str" s="16" cm="1">
        <f t="array" ref="C81">$F81&amp;IF($G81="LED"," LED","")&amp;IF($V81="",""," ")&amp;$V81&amp;IF($L81="",""," ")&amp;$L81&amp;IF($W81="",""," ")&amp;$W81&amp;IF($X81="",""," ")&amp;$X81&amp;IF($Y81="",""," ")&amp;$Y81&amp;IF($AB81="",""," ")&amp;$AB81&amp;IF($AB81="","","mcd")</f>
        <v>100K 5% thick film 75V 100mW</v>
      </c>
      <c r="D81" t="str" s="16" cm="1">
        <f t="array" ref="D81">$F81&amp;" "&amp;G81&amp;IF($V81="",""," ")&amp;$V81&amp;IF($L81="",""," ")&amp;$L81&amp;IF($W81="",""," ")&amp;$W81&amp;IF($X81="",""," ")&amp;$X81&amp;IF($Y81="",""," ")&amp;$Y81&amp;IF($AB81="",""," ")&amp;$AB81&amp;IF($AB81="","","mcd")</f>
        <v>100K RES 5% thick film 75V 100mW</v>
      </c>
      <c r="E81" t="str" s="15" cm="1">
        <f t="array" ref="E81">IF(ISBLANK(M81),"",HYPERLINK("https://jlcpcb.com/partdetail/"&amp;$M81,$M81))</f>
        <v>C15458</v>
      </c>
      <c r="F81" t="str" s="15" cm="1">
        <f t="array" ref="F81">O81</f>
        <v>100K</v>
      </c>
      <c r="G81" t="s" s="17">
        <v>949</v>
      </c>
      <c r="H81" s="17"/>
      <c r="I81" s="17"/>
      <c r="J81" s="17"/>
      <c r="K81" t="s" s="17">
        <v>10</v>
      </c>
      <c r="L81" t="s" s="17">
        <v>950</v>
      </c>
      <c r="M81" t="s" s="18">
        <v>951</v>
      </c>
      <c r="N81" t="s" s="18">
        <v>952</v>
      </c>
      <c r="O81" t="s" s="17">
        <v>953</v>
      </c>
      <c r="P81" s="17"/>
      <c r="Q81" s="17"/>
      <c r="R81" t="s" s="17">
        <v>48</v>
      </c>
      <c r="S81" s="17"/>
      <c r="T81" s="17"/>
      <c r="U81" s="17"/>
      <c r="V81" t="s" s="17">
        <v>954</v>
      </c>
      <c r="W81" t="s" s="17">
        <v>955</v>
      </c>
      <c r="X81" s="17"/>
      <c r="Y81" t="s" s="17">
        <v>956</v>
      </c>
      <c r="Z81" s="17"/>
      <c r="AA81" s="17"/>
      <c r="AB81" s="17"/>
      <c r="AC81" s="17"/>
      <c r="AD81" s="28"/>
      <c r="AE81" s="28"/>
      <c r="AF81" s="20">
        <v>1</v>
      </c>
      <c r="AG81" t="s" s="17">
        <v>51</v>
      </c>
      <c r="AH81" t="s" s="21">
        <v>957</v>
      </c>
      <c r="AI81" t="s" s="17">
        <v>958</v>
      </c>
      <c r="AJ81" t="s" s="40">
        <v>959</v>
      </c>
      <c r="AK81" t="s" s="23">
        <v>960</v>
      </c>
      <c r="AL81" t="s" s="17">
        <v>961</v>
      </c>
    </row>
    <row r="82" ht="18.9" customHeight="1">
      <c r="B82" t="str" s="44" cm="1">
        <f t="array" ref="B82">G82&amp;"_"&amp;V82&amp;"_"&amp;Y82&amp;"_"&amp;R82&amp;"_"&amp;F82</f>
        <v>RES_5%_100mW_0603_10K</v>
      </c>
      <c r="C82" t="str" s="16" cm="1">
        <f t="array" ref="C82">$F82&amp;IF($G82="LED"," LED","")&amp;IF($V82="",""," ")&amp;$V82&amp;IF($L82="",""," ")&amp;$L82&amp;IF($W82="",""," ")&amp;$W82&amp;IF($X82="",""," ")&amp;$X82&amp;IF($Y82="",""," ")&amp;$Y82&amp;IF($AB82="",""," ")&amp;$AB82&amp;IF($AB82="","","mcd")</f>
        <v>10K 5% thick film 75V 100mW</v>
      </c>
      <c r="D82" t="str" s="16" cm="1">
        <f t="array" ref="D82">$F82&amp;" "&amp;G82&amp;IF($V82="",""," ")&amp;$V82&amp;IF($L82="",""," ")&amp;$L82&amp;IF($W82="",""," ")&amp;$W82&amp;IF($X82="",""," ")&amp;$X82&amp;IF($Y82="",""," ")&amp;$Y82&amp;IF($AB82="",""," ")&amp;$AB82&amp;IF($AB82="","","mcd")</f>
        <v>10K RES 5% thick film 75V 100mW</v>
      </c>
      <c r="E82" t="str" s="15" cm="1">
        <f t="array" ref="E82">IF(ISBLANK(M82),"",HYPERLINK("https://jlcpcb.com/partdetail/"&amp;$M82,$M82))</f>
        <v>C15401</v>
      </c>
      <c r="F82" t="str" s="15" cm="1">
        <f t="array" ref="F82">O82</f>
        <v>10K</v>
      </c>
      <c r="G82" t="s" s="17">
        <v>949</v>
      </c>
      <c r="H82" s="17"/>
      <c r="I82" s="17"/>
      <c r="J82" s="17"/>
      <c r="K82" t="s" s="17">
        <v>10</v>
      </c>
      <c r="L82" t="s" s="17">
        <v>950</v>
      </c>
      <c r="M82" t="s" s="18">
        <v>967</v>
      </c>
      <c r="N82" t="s" s="18">
        <v>968</v>
      </c>
      <c r="O82" t="s" s="17">
        <v>969</v>
      </c>
      <c r="P82" s="17"/>
      <c r="Q82" s="17"/>
      <c r="R82" t="s" s="17">
        <v>48</v>
      </c>
      <c r="S82" s="17"/>
      <c r="T82" s="17"/>
      <c r="U82" s="17"/>
      <c r="V82" t="s" s="17">
        <v>954</v>
      </c>
      <c r="W82" t="s" s="17">
        <v>955</v>
      </c>
      <c r="X82" s="17"/>
      <c r="Y82" t="s" s="17">
        <v>956</v>
      </c>
      <c r="Z82" s="17"/>
      <c r="AA82" s="17"/>
      <c r="AB82" s="17"/>
      <c r="AC82" s="17"/>
      <c r="AD82" s="28"/>
      <c r="AE82" s="28"/>
      <c r="AF82" s="20">
        <v>3</v>
      </c>
      <c r="AG82" t="s" s="17">
        <v>51</v>
      </c>
      <c r="AH82" t="s" s="21">
        <v>957</v>
      </c>
      <c r="AI82" t="s" s="17">
        <v>970</v>
      </c>
      <c r="AJ82" t="s" s="40">
        <v>959</v>
      </c>
      <c r="AK82" t="s" s="23">
        <v>960</v>
      </c>
      <c r="AL82" t="s" s="17">
        <v>971</v>
      </c>
    </row>
    <row r="83" ht="18.9" customHeight="1">
      <c r="B83" t="str" s="44" cm="1">
        <f t="array" ref="B83">G83&amp;"_"&amp;V83&amp;"_"&amp;Y83&amp;"_"&amp;R83&amp;"_"&amp;F83</f>
        <v>RES_5%_100mW_0603_10K</v>
      </c>
      <c r="C83" t="str" s="16" cm="1">
        <f t="array" ref="C83">$F83&amp;IF($G83="LED"," LED","")&amp;IF($V83="",""," ")&amp;$V83&amp;IF($L83="",""," ")&amp;$L83&amp;IF($W83="",""," ")&amp;$W83&amp;IF($X83="",""," ")&amp;$X83&amp;IF($Y83="",""," ")&amp;$Y83&amp;IF($AB83="",""," ")&amp;$AB83&amp;IF($AB83="","","mcd")</f>
        <v>10K 5% thick film 75V 100mW</v>
      </c>
      <c r="D83" t="str" s="16" cm="1">
        <f t="array" ref="D83">$F83&amp;" "&amp;G83&amp;IF($V83="",""," ")&amp;$V83&amp;IF($L83="",""," ")&amp;$L83&amp;IF($W83="",""," ")&amp;$W83&amp;IF($X83="",""," ")&amp;$X83&amp;IF($Y83="",""," ")&amp;$Y83&amp;IF($AB83="",""," ")&amp;$AB83&amp;IF($AB83="","","mcd")</f>
        <v>10K RES 5% thick film 75V 100mW</v>
      </c>
      <c r="E83" t="str" s="15" cm="1">
        <f t="array" ref="E83">IF(ISBLANK(M83),"",HYPERLINK("https://jlcpcb.com/partdetail/"&amp;$M83,$M83))</f>
        <v>C2930027</v>
      </c>
      <c r="F83" t="str" s="15" cm="1">
        <f t="array" ref="F83">O83</f>
        <v>10K</v>
      </c>
      <c r="G83" t="s" s="17">
        <v>949</v>
      </c>
      <c r="H83" s="17"/>
      <c r="I83" s="17"/>
      <c r="J83" s="17"/>
      <c r="K83" t="s" s="17">
        <v>10</v>
      </c>
      <c r="L83" t="s" s="17">
        <v>950</v>
      </c>
      <c r="M83" t="s" s="18">
        <v>973</v>
      </c>
      <c r="N83" t="s" s="18">
        <v>968</v>
      </c>
      <c r="O83" t="s" s="17">
        <v>969</v>
      </c>
      <c r="P83" s="17"/>
      <c r="Q83" s="17"/>
      <c r="R83" t="s" s="17">
        <v>48</v>
      </c>
      <c r="S83" s="17"/>
      <c r="T83" s="17"/>
      <c r="U83" s="17"/>
      <c r="V83" t="s" s="17">
        <v>954</v>
      </c>
      <c r="W83" t="s" s="17">
        <v>955</v>
      </c>
      <c r="X83" s="17"/>
      <c r="Y83" t="s" s="17">
        <v>956</v>
      </c>
      <c r="Z83" s="17"/>
      <c r="AA83" s="17"/>
      <c r="AB83" s="17"/>
      <c r="AC83" s="17"/>
      <c r="AD83" s="28"/>
      <c r="AE83" s="28"/>
      <c r="AF83" s="20">
        <v>2</v>
      </c>
      <c r="AG83" t="s" s="17">
        <v>64</v>
      </c>
      <c r="AH83" t="s" s="21">
        <v>974</v>
      </c>
      <c r="AI83" t="s" s="17">
        <v>975</v>
      </c>
      <c r="AJ83" t="s" s="22">
        <v>959</v>
      </c>
      <c r="AK83" t="s" s="23">
        <v>960</v>
      </c>
      <c r="AL83" t="s" s="17">
        <v>976</v>
      </c>
    </row>
    <row r="84" ht="18.9" customHeight="1">
      <c r="B84" t="str" s="44" cm="1">
        <f t="array" ref="B84">G84&amp;"_"&amp;V84&amp;"_"&amp;Y84&amp;"_"&amp;R84&amp;"_"&amp;F84</f>
        <v>RES_5%_100mW_0603_10K</v>
      </c>
      <c r="C84" t="str" s="16" cm="1">
        <f t="array" ref="C84">$F84&amp;IF($G84="LED"," LED","")&amp;IF($V84="",""," ")&amp;$V84&amp;IF($L84="",""," ")&amp;$L84&amp;IF($W84="",""," ")&amp;$W84&amp;IF($X84="",""," ")&amp;$X84&amp;IF($Y84="",""," ")&amp;$Y84&amp;IF($AB84="",""," ")&amp;$AB84&amp;IF($AB84="","","mcd")</f>
        <v>10K 5% thick film 150V 100mW</v>
      </c>
      <c r="D84" t="str" s="16" cm="1">
        <f t="array" ref="D84">$F84&amp;" "&amp;G84&amp;IF($V84="",""," ")&amp;$V84&amp;IF($L84="",""," ")&amp;$L84&amp;IF($W84="",""," ")&amp;$W84&amp;IF($X84="",""," ")&amp;$X84&amp;IF($Y84="",""," ")&amp;$Y84&amp;IF($AB84="",""," ")&amp;$AB84&amp;IF($AB84="","","mcd")</f>
        <v>10K RES 5% thick film 150V 100mW</v>
      </c>
      <c r="E84" t="str" s="15" cm="1">
        <f t="array" ref="E84">IF(ISBLANK(M84),"",HYPERLINK("https://jlcpcb.com/partdetail/"&amp;$M84,$M84))</f>
        <v>C4118381</v>
      </c>
      <c r="F84" t="str" s="15" cm="1">
        <f t="array" ref="F84">O84</f>
        <v>10K</v>
      </c>
      <c r="G84" t="s" s="17">
        <v>949</v>
      </c>
      <c r="H84" s="17"/>
      <c r="I84" s="17"/>
      <c r="J84" s="17"/>
      <c r="K84" t="s" s="17">
        <v>10</v>
      </c>
      <c r="L84" t="s" s="17">
        <v>950</v>
      </c>
      <c r="M84" t="s" s="18">
        <v>980</v>
      </c>
      <c r="N84" t="s" s="18">
        <v>981</v>
      </c>
      <c r="O84" t="s" s="17">
        <v>969</v>
      </c>
      <c r="P84" s="17"/>
      <c r="Q84" s="17"/>
      <c r="R84" t="s" s="17">
        <v>48</v>
      </c>
      <c r="S84" s="17"/>
      <c r="T84" s="17"/>
      <c r="U84" s="17"/>
      <c r="V84" t="s" s="17">
        <v>954</v>
      </c>
      <c r="W84" t="s" s="17">
        <v>982</v>
      </c>
      <c r="X84" s="17"/>
      <c r="Y84" t="s" s="17">
        <v>956</v>
      </c>
      <c r="Z84" s="17"/>
      <c r="AA84" s="17"/>
      <c r="AB84" s="17"/>
      <c r="AC84" s="17"/>
      <c r="AD84" s="28"/>
      <c r="AE84" s="28"/>
      <c r="AF84" s="20">
        <v>1</v>
      </c>
      <c r="AG84" t="s" s="17">
        <v>64</v>
      </c>
      <c r="AH84" t="s" s="21">
        <v>52</v>
      </c>
      <c r="AI84" t="s" s="17">
        <v>983</v>
      </c>
      <c r="AJ84" t="s" s="22">
        <v>959</v>
      </c>
      <c r="AK84" t="s" s="23">
        <v>960</v>
      </c>
      <c r="AL84" t="s" s="17">
        <v>984</v>
      </c>
    </row>
    <row r="85" ht="18.9" customHeight="1">
      <c r="B85" t="str" s="44" cm="1">
        <f t="array" ref="B85">G85&amp;"_"&amp;V85&amp;"_"&amp;Y85&amp;"_"&amp;R85&amp;"_"&amp;F85</f>
        <v>RES_5%_100mW_0603_12k</v>
      </c>
      <c r="C85" t="str" s="16" cm="1">
        <f t="array" ref="C85">$F85&amp;IF($G85="LED"," LED","")&amp;IF($V85="",""," ")&amp;$V85&amp;IF($L85="",""," ")&amp;$L85&amp;IF($W85="",""," ")&amp;$W85&amp;IF($X85="",""," ")&amp;$X85&amp;IF($Y85="",""," ")&amp;$Y85&amp;IF($AB85="",""," ")&amp;$AB85&amp;IF($AB85="","","mcd")</f>
        <v>12k 5% thick film 75V 100mW</v>
      </c>
      <c r="D85" t="str" s="16" cm="1">
        <f t="array" ref="D85">$F85&amp;" "&amp;G85&amp;IF($V85="",""," ")&amp;$V85&amp;IF($L85="",""," ")&amp;$L85&amp;IF($W85="",""," ")&amp;$W85&amp;IF($X85="",""," ")&amp;$X85&amp;IF($Y85="",""," ")&amp;$Y85&amp;IF($AB85="",""," ")&amp;$AB85&amp;IF($AB85="","","mcd")</f>
        <v>12k RES 5% thick film 75V 100mW</v>
      </c>
      <c r="E85" t="str" s="15" cm="1">
        <f t="array" ref="E85">IF(ISBLANK(M85),"",HYPERLINK("https://jlcpcb.com/partdetail/"&amp;$M85,$M85))</f>
        <v>C25577</v>
      </c>
      <c r="F85" t="str" s="15" cm="1">
        <f t="array" ref="F85">O85</f>
        <v>12k</v>
      </c>
      <c r="G85" t="s" s="17">
        <v>949</v>
      </c>
      <c r="H85" s="17"/>
      <c r="I85" s="17"/>
      <c r="J85" s="17"/>
      <c r="K85" t="s" s="17">
        <v>10</v>
      </c>
      <c r="L85" t="s" s="17">
        <v>950</v>
      </c>
      <c r="M85" t="s" s="18">
        <v>990</v>
      </c>
      <c r="N85" t="s" s="18">
        <v>991</v>
      </c>
      <c r="O85" t="s" s="17">
        <v>992</v>
      </c>
      <c r="P85" s="17"/>
      <c r="Q85" s="17"/>
      <c r="R85" t="s" s="17">
        <v>48</v>
      </c>
      <c r="S85" s="17"/>
      <c r="T85" s="17"/>
      <c r="U85" s="17"/>
      <c r="V85" t="s" s="17">
        <v>954</v>
      </c>
      <c r="W85" t="s" s="17">
        <v>955</v>
      </c>
      <c r="X85" s="17"/>
      <c r="Y85" t="s" s="17">
        <v>956</v>
      </c>
      <c r="Z85" s="17"/>
      <c r="AA85" s="17"/>
      <c r="AB85" s="17"/>
      <c r="AC85" s="17"/>
      <c r="AD85" s="28"/>
      <c r="AE85" s="28"/>
      <c r="AF85" s="42"/>
      <c r="AG85" s="19"/>
      <c r="AH85" t="s" s="21">
        <v>957</v>
      </c>
      <c r="AI85" t="s" s="17">
        <v>993</v>
      </c>
      <c r="AJ85" t="s" s="40">
        <v>959</v>
      </c>
      <c r="AK85" t="s" s="23">
        <v>960</v>
      </c>
      <c r="AL85" t="s" s="17">
        <v>994</v>
      </c>
    </row>
    <row r="86" ht="18.4" customHeight="1">
      <c r="B86" t="str" s="44" cm="1">
        <f t="array" ref="B86">G86&amp;"_"&amp;V86&amp;"_"&amp;Y86&amp;"_"&amp;R86&amp;"_"&amp;F86</f>
        <v>RES_5%_100mW_0603_1K</v>
      </c>
      <c r="C86" t="str" s="16" cm="1">
        <f t="array" ref="C86">$F86&amp;IF($G86="LED"," LED","")&amp;IF($V86="",""," ")&amp;$V86&amp;IF($L86="",""," ")&amp;$L86&amp;IF($W86="",""," ")&amp;$W86&amp;IF($X86="",""," ")&amp;$X86&amp;IF($Y86="",""," ")&amp;$Y86&amp;IF($AB86="",""," ")&amp;$AB86&amp;IF($AB86="","","mcd")</f>
        <v>1K 5% thick film 75V 100mW</v>
      </c>
      <c r="D86" t="str" s="16" cm="1">
        <f t="array" ref="D86">$F86&amp;" "&amp;G86&amp;IF($V86="",""," ")&amp;$V86&amp;IF($L86="",""," ")&amp;$L86&amp;IF($W86="",""," ")&amp;$W86&amp;IF($X86="",""," ")&amp;$X86&amp;IF($Y86="",""," ")&amp;$Y86&amp;IF($AB86="",""," ")&amp;$AB86&amp;IF($AB86="","","mcd")</f>
        <v>1K RES 5% thick film 75V 100mW</v>
      </c>
      <c r="E86" t="str" s="15" cm="1">
        <f t="array" ref="E86">IF(ISBLANK(M86),"",HYPERLINK("https://jlcpcb.com/partdetail/"&amp;$M86,$M86))</f>
        <v>C25585</v>
      </c>
      <c r="F86" t="str" s="15" cm="1">
        <f t="array" ref="F86">O86</f>
        <v>1K</v>
      </c>
      <c r="G86" t="s" s="17">
        <v>949</v>
      </c>
      <c r="H86" s="17"/>
      <c r="I86" s="17"/>
      <c r="J86" s="17"/>
      <c r="K86" t="s" s="17">
        <v>10</v>
      </c>
      <c r="L86" t="s" s="17">
        <v>950</v>
      </c>
      <c r="M86" t="s" s="18">
        <v>1000</v>
      </c>
      <c r="N86" t="s" s="18">
        <v>1001</v>
      </c>
      <c r="O86" t="s" s="17">
        <v>1002</v>
      </c>
      <c r="P86" s="17"/>
      <c r="Q86" s="17"/>
      <c r="R86" t="s" s="17">
        <v>48</v>
      </c>
      <c r="S86" s="17"/>
      <c r="T86" s="17"/>
      <c r="U86" s="17"/>
      <c r="V86" t="s" s="17">
        <v>954</v>
      </c>
      <c r="W86" t="s" s="17">
        <v>955</v>
      </c>
      <c r="X86" s="17"/>
      <c r="Y86" t="s" s="17">
        <v>956</v>
      </c>
      <c r="Z86" s="17"/>
      <c r="AA86" s="17"/>
      <c r="AB86" s="17"/>
      <c r="AC86" s="17"/>
      <c r="AD86" s="28"/>
      <c r="AE86" s="28"/>
      <c r="AF86" s="20">
        <v>1</v>
      </c>
      <c r="AG86" t="s" s="17">
        <v>51</v>
      </c>
      <c r="AH86" t="s" s="21">
        <v>957</v>
      </c>
      <c r="AI86" t="s" s="17">
        <v>1003</v>
      </c>
      <c r="AJ86" t="s" s="22">
        <v>959</v>
      </c>
      <c r="AK86" t="s" s="23">
        <v>960</v>
      </c>
      <c r="AL86" t="s" s="17">
        <v>1004</v>
      </c>
    </row>
    <row r="87" ht="18.9" customHeight="1">
      <c r="B87" t="str" s="44" cm="1">
        <f t="array" ref="B87">G87&amp;"_"&amp;V87&amp;"_"&amp;Y87&amp;"_"&amp;R87&amp;"_"&amp;F87</f>
        <v>RES_1%_100mW_0603_1M</v>
      </c>
      <c r="C87" t="str" s="16" cm="1">
        <f t="array" ref="C87">$F87&amp;IF($G87="LED"," LED","")&amp;IF($V87="",""," ")&amp;$V87&amp;IF($L87="",""," ")&amp;$L87&amp;IF($W87="",""," ")&amp;$W87&amp;IF($X87="",""," ")&amp;$X87&amp;IF($Y87="",""," ")&amp;$Y87&amp;IF($AB87="",""," ")&amp;$AB87&amp;IF($AB87="","","mcd")</f>
        <v>1M 1% thick film 75V 100mW</v>
      </c>
      <c r="D87" t="str" s="16" cm="1">
        <f t="array" ref="D87">$F87&amp;" "&amp;G87&amp;IF($V87="",""," ")&amp;$V87&amp;IF($L87="",""," ")&amp;$L87&amp;IF($W87="",""," ")&amp;$W87&amp;IF($X87="",""," ")&amp;$X87&amp;IF($Y87="",""," ")&amp;$Y87&amp;IF($AB87="",""," ")&amp;$AB87&amp;IF($AB87="","","mcd")</f>
        <v>1M RES 1% thick film 75V 100mW</v>
      </c>
      <c r="E87" t="str" s="15" cm="1">
        <f t="array" ref="E87">IF(ISBLANK(M87),"",HYPERLINK("https://jlcpcb.com/partdetail/"&amp;$M87,$M87))</f>
        <v>C22935</v>
      </c>
      <c r="F87" t="str" s="15" cm="1">
        <f t="array" ref="F87">O87</f>
        <v>1M</v>
      </c>
      <c r="G87" t="s" s="17">
        <v>949</v>
      </c>
      <c r="H87" s="17"/>
      <c r="I87" s="17"/>
      <c r="J87" s="17"/>
      <c r="K87" t="s" s="17">
        <v>10</v>
      </c>
      <c r="L87" t="s" s="17">
        <v>950</v>
      </c>
      <c r="M87" t="s" s="18">
        <v>1010</v>
      </c>
      <c r="N87" t="s" s="18">
        <v>1011</v>
      </c>
      <c r="O87" t="s" s="17">
        <v>1012</v>
      </c>
      <c r="P87" s="17"/>
      <c r="Q87" s="17"/>
      <c r="R87" t="s" s="17">
        <v>48</v>
      </c>
      <c r="S87" s="17"/>
      <c r="T87" s="17"/>
      <c r="U87" s="17"/>
      <c r="V87" t="s" s="17">
        <v>1013</v>
      </c>
      <c r="W87" t="s" s="17">
        <v>955</v>
      </c>
      <c r="X87" s="17"/>
      <c r="Y87" t="s" s="17">
        <v>956</v>
      </c>
      <c r="Z87" s="17"/>
      <c r="AA87" s="17"/>
      <c r="AB87" s="17"/>
      <c r="AC87" s="17"/>
      <c r="AD87" s="28"/>
      <c r="AE87" s="28"/>
      <c r="AF87" s="20">
        <v>1</v>
      </c>
      <c r="AG87" t="s" s="17">
        <v>64</v>
      </c>
      <c r="AH87" t="s" s="21">
        <v>957</v>
      </c>
      <c r="AI87" t="s" s="17">
        <v>1014</v>
      </c>
      <c r="AJ87" t="s" s="22">
        <v>959</v>
      </c>
      <c r="AK87" t="s" s="23">
        <v>960</v>
      </c>
      <c r="AL87" t="s" s="17">
        <v>1015</v>
      </c>
    </row>
    <row r="88" ht="17.7" customHeight="1">
      <c r="B88" t="str" s="44" cm="1">
        <f t="array" ref="B88">G88&amp;"_"&amp;V88&amp;"_"&amp;Y88&amp;"_"&amp;R88&amp;"_"&amp;F88</f>
        <v>RES_5%_100mW_0603_1M</v>
      </c>
      <c r="C88" t="str" s="16" cm="1">
        <f t="array" ref="C88">$F88&amp;IF($G88="LED"," LED","")&amp;IF($V88="",""," ")&amp;$V88&amp;IF($L88="",""," ")&amp;$L88&amp;IF($W88="",""," ")&amp;$W88&amp;IF($X88="",""," ")&amp;$X88&amp;IF($Y88="",""," ")&amp;$Y88&amp;IF($AB88="",""," ")&amp;$AB88&amp;IF($AB88="","","mcd")</f>
        <v>1M 5% thick film 75V 100mW</v>
      </c>
      <c r="D88" t="str" s="16" cm="1">
        <f t="array" ref="D88">$F88&amp;" "&amp;G88&amp;IF($V88="",""," ")&amp;$V88&amp;IF($L88="",""," ")&amp;$L88&amp;IF($W88="",""," ")&amp;$W88&amp;IF($X88="",""," ")&amp;$X88&amp;IF($Y88="",""," ")&amp;$Y88&amp;IF($AB88="",""," ")&amp;$AB88&amp;IF($AB88="","","mcd")</f>
        <v>1M RES 5% thick film 75V 100mW</v>
      </c>
      <c r="E88" t="str" s="15" cm="1">
        <f t="array" ref="E88">IF(ISBLANK(M88),"",HYPERLINK("https://jlcpcb.com/partdetail/"&amp;$M88,$M88))</f>
        <v>C26098</v>
      </c>
      <c r="F88" t="str" s="15" cm="1">
        <f t="array" ref="F88">O88</f>
        <v>1M</v>
      </c>
      <c r="G88" t="s" s="17">
        <v>949</v>
      </c>
      <c r="H88" s="17"/>
      <c r="I88" s="17"/>
      <c r="J88" s="17"/>
      <c r="K88" t="s" s="17">
        <v>10</v>
      </c>
      <c r="L88" t="s" s="17">
        <v>950</v>
      </c>
      <c r="M88" t="s" s="18">
        <v>1020</v>
      </c>
      <c r="N88" t="s" s="18">
        <v>1021</v>
      </c>
      <c r="O88" t="s" s="17">
        <v>1012</v>
      </c>
      <c r="P88" s="17"/>
      <c r="Q88" s="17"/>
      <c r="R88" t="s" s="17">
        <v>48</v>
      </c>
      <c r="S88" s="17"/>
      <c r="T88" s="17"/>
      <c r="U88" s="17"/>
      <c r="V88" t="s" s="17">
        <v>954</v>
      </c>
      <c r="W88" t="s" s="17">
        <v>955</v>
      </c>
      <c r="X88" s="17"/>
      <c r="Y88" t="s" s="17">
        <v>956</v>
      </c>
      <c r="Z88" s="17"/>
      <c r="AA88" s="17"/>
      <c r="AB88" s="17"/>
      <c r="AC88" s="17"/>
      <c r="AD88" s="28"/>
      <c r="AE88" s="28"/>
      <c r="AF88" s="20">
        <v>2</v>
      </c>
      <c r="AG88" t="s" s="17">
        <v>51</v>
      </c>
      <c r="AH88" t="s" s="21">
        <v>957</v>
      </c>
      <c r="AI88" t="s" s="35">
        <v>1022</v>
      </c>
      <c r="AJ88" t="s" s="40">
        <v>959</v>
      </c>
      <c r="AK88" t="s" s="23">
        <v>960</v>
      </c>
      <c r="AL88" t="s" s="17">
        <v>1023</v>
      </c>
    </row>
    <row r="89" ht="19.3" customHeight="1">
      <c r="B89" t="str" s="44" cm="1">
        <f t="array" ref="B89">G89&amp;"_"&amp;V89&amp;"_"&amp;Y89&amp;"_"&amp;R89&amp;"_"&amp;F89</f>
        <v>RES_5%_100mW_0603_2.2K</v>
      </c>
      <c r="C89" t="str" s="16" cm="1">
        <f t="array" ref="C89">$F89&amp;IF($G89="LED"," LED","")&amp;IF($V89="",""," ")&amp;$V89&amp;IF($L89="",""," ")&amp;$L89&amp;IF($W89="",""," ")&amp;$W89&amp;IF($X89="",""," ")&amp;$X89&amp;IF($Y89="",""," ")&amp;$Y89&amp;IF($AB89="",""," ")&amp;$AB89&amp;IF($AB89="","","mcd")</f>
        <v>2.2K 5% thick film 75V 100mW</v>
      </c>
      <c r="D89" t="str" s="16" cm="1">
        <f t="array" ref="D89">$F89&amp;" "&amp;G89&amp;IF($V89="",""," ")&amp;$V89&amp;IF($L89="",""," ")&amp;$L89&amp;IF($W89="",""," ")&amp;$W89&amp;IF($X89="",""," ")&amp;$X89&amp;IF($Y89="",""," ")&amp;$Y89&amp;IF($AB89="",""," ")&amp;$AB89&amp;IF($AB89="","","mcd")</f>
        <v>2.2K RES 5% thick film 75V 100mW</v>
      </c>
      <c r="E89" t="str" s="15" cm="1">
        <f t="array" ref="E89">IF(ISBLANK(M89),"",HYPERLINK("https://jlcpcb.com/partdetail/"&amp;$M89,$M89))</f>
        <v>C25992</v>
      </c>
      <c r="F89" t="str" s="15" cm="1">
        <f t="array" ref="F89">O89</f>
        <v>2.2K</v>
      </c>
      <c r="G89" t="s" s="17">
        <v>949</v>
      </c>
      <c r="H89" s="17"/>
      <c r="I89" s="17"/>
      <c r="J89" s="17"/>
      <c r="K89" t="s" s="17">
        <v>10</v>
      </c>
      <c r="L89" t="s" s="17">
        <v>950</v>
      </c>
      <c r="M89" t="s" s="18">
        <v>1029</v>
      </c>
      <c r="N89" t="s" s="18">
        <v>1030</v>
      </c>
      <c r="O89" t="s" s="17">
        <v>1031</v>
      </c>
      <c r="P89" s="17"/>
      <c r="Q89" s="17"/>
      <c r="R89" t="s" s="17">
        <v>48</v>
      </c>
      <c r="S89" s="17"/>
      <c r="T89" s="17"/>
      <c r="U89" s="17"/>
      <c r="V89" t="s" s="17">
        <v>954</v>
      </c>
      <c r="W89" t="s" s="17">
        <v>955</v>
      </c>
      <c r="X89" s="17"/>
      <c r="Y89" t="s" s="17">
        <v>956</v>
      </c>
      <c r="Z89" s="17"/>
      <c r="AA89" s="17"/>
      <c r="AB89" s="17"/>
      <c r="AC89" s="17"/>
      <c r="AD89" s="28"/>
      <c r="AE89" s="28"/>
      <c r="AF89" s="20">
        <v>1</v>
      </c>
      <c r="AG89" t="s" s="17">
        <v>51</v>
      </c>
      <c r="AH89" t="s" s="21">
        <v>957</v>
      </c>
      <c r="AI89" t="s" s="21">
        <v>1032</v>
      </c>
      <c r="AJ89" t="s" s="40">
        <v>959</v>
      </c>
      <c r="AK89" t="s" s="23">
        <v>960</v>
      </c>
      <c r="AL89" t="s" s="17">
        <v>1033</v>
      </c>
    </row>
    <row r="90" ht="18.9" customHeight="1">
      <c r="B90" t="str" s="44" cm="1">
        <f t="array" ref="B90">G90&amp;"_"&amp;V90&amp;"_"&amp;Y90&amp;"_"&amp;R90&amp;"_"&amp;F90</f>
        <v>RES_5%_100mW_0603_2.2M</v>
      </c>
      <c r="C90" t="str" s="16" cm="1">
        <f t="array" ref="C90">$F90&amp;IF($G90="LED"," LED","")&amp;IF($V90="",""," ")&amp;$V90&amp;IF($L90="",""," ")&amp;$L90&amp;IF($W90="",""," ")&amp;$W90&amp;IF($X90="",""," ")&amp;$X90&amp;IF($Y90="",""," ")&amp;$Y90&amp;IF($AB90="",""," ")&amp;$AB90&amp;IF($AB90="","","mcd")</f>
        <v>2.2M 5% thick film 75V 100mW</v>
      </c>
      <c r="D90" t="str" s="16" cm="1">
        <f t="array" ref="D90">$F90&amp;" "&amp;G90&amp;IF($V90="",""," ")&amp;$V90&amp;IF($L90="",""," ")&amp;$L90&amp;IF($W90="",""," ")&amp;$W90&amp;IF($X90="",""," ")&amp;$X90&amp;IF($Y90="",""," ")&amp;$Y90&amp;IF($AB90="",""," ")&amp;$AB90&amp;IF($AB90="","","mcd")</f>
        <v>2.2M RES 5% thick film 75V 100mW</v>
      </c>
      <c r="E90" t="str" s="15" cm="1">
        <f t="array" ref="E90">IF(ISBLANK(M90),"",HYPERLINK("https://jlcpcb.com/partdetail/"&amp;$M90,$M90))</f>
        <v>C18679</v>
      </c>
      <c r="F90" t="str" s="15" cm="1">
        <f t="array" ref="F90">O90</f>
        <v>2.2M</v>
      </c>
      <c r="G90" t="s" s="17">
        <v>949</v>
      </c>
      <c r="H90" s="17"/>
      <c r="I90" s="17"/>
      <c r="J90" s="17"/>
      <c r="K90" t="s" s="17">
        <v>10</v>
      </c>
      <c r="L90" t="s" s="17">
        <v>950</v>
      </c>
      <c r="M90" t="s" s="18">
        <v>1039</v>
      </c>
      <c r="N90" t="s" s="18">
        <v>1040</v>
      </c>
      <c r="O90" t="s" s="17">
        <v>1041</v>
      </c>
      <c r="P90" s="17"/>
      <c r="Q90" s="17"/>
      <c r="R90" t="s" s="17">
        <v>48</v>
      </c>
      <c r="S90" s="17"/>
      <c r="T90" s="17"/>
      <c r="U90" s="17"/>
      <c r="V90" t="s" s="17">
        <v>954</v>
      </c>
      <c r="W90" t="s" s="17">
        <v>955</v>
      </c>
      <c r="X90" s="17"/>
      <c r="Y90" t="s" s="17">
        <v>956</v>
      </c>
      <c r="Z90" s="17"/>
      <c r="AA90" s="17"/>
      <c r="AB90" s="17"/>
      <c r="AC90" s="17"/>
      <c r="AD90" s="28"/>
      <c r="AE90" s="28"/>
      <c r="AF90" s="20">
        <v>3</v>
      </c>
      <c r="AG90" t="s" s="17">
        <v>51</v>
      </c>
      <c r="AH90" t="s" s="21">
        <v>957</v>
      </c>
      <c r="AI90" t="s" s="17">
        <v>1042</v>
      </c>
      <c r="AJ90" t="s" s="22">
        <v>959</v>
      </c>
      <c r="AK90" t="s" s="23">
        <v>960</v>
      </c>
      <c r="AL90" t="s" s="17">
        <v>1043</v>
      </c>
    </row>
    <row r="91" ht="18.9" customHeight="1">
      <c r="B91" t="str" s="44" cm="1">
        <f t="array" ref="B91">G91&amp;"_"&amp;V91&amp;"_"&amp;Y91&amp;"_"&amp;R91&amp;"_"&amp;F91</f>
        <v>RES_5%_100mW_0603_2.2M</v>
      </c>
      <c r="C91" t="str" s="16" cm="1">
        <f t="array" ref="C91">$F91&amp;IF($G91="LED"," LED","")&amp;IF($V91="",""," ")&amp;$V91&amp;IF($L91="",""," ")&amp;$L91&amp;IF($W91="",""," ")&amp;$W91&amp;IF($X91="",""," ")&amp;$X91&amp;IF($Y91="",""," ")&amp;$Y91&amp;IF($AB91="",""," ")&amp;$AB91&amp;IF($AB91="","","mcd")</f>
        <v>2.2M 5% thick film 75V 100mW</v>
      </c>
      <c r="D91" t="str" s="16" cm="1">
        <f t="array" ref="D91">$F91&amp;" "&amp;G91&amp;IF($V91="",""," ")&amp;$V91&amp;IF($L91="",""," ")&amp;$L91&amp;IF($W91="",""," ")&amp;$W91&amp;IF($X91="",""," ")&amp;$X91&amp;IF($Y91="",""," ")&amp;$Y91&amp;IF($AB91="",""," ")&amp;$AB91&amp;IF($AB91="","","mcd")</f>
        <v>2.2M RES 5% thick film 75V 100mW</v>
      </c>
      <c r="E91" t="str" s="15" cm="1">
        <f t="array" ref="E91">IF(ISBLANK(M91),"",HYPERLINK("https://jlcpcb.com/partdetail/"&amp;$M91,$M91))</f>
        <v>C18679</v>
      </c>
      <c r="F91" t="str" s="15" cm="1">
        <f t="array" ref="F91">O91</f>
        <v>2.2M</v>
      </c>
      <c r="G91" t="s" s="17">
        <v>949</v>
      </c>
      <c r="H91" s="17"/>
      <c r="I91" s="17"/>
      <c r="J91" s="17"/>
      <c r="K91" t="s" s="17">
        <v>10</v>
      </c>
      <c r="L91" t="s" s="17">
        <v>950</v>
      </c>
      <c r="M91" t="s" s="18">
        <v>1039</v>
      </c>
      <c r="N91" t="s" s="18">
        <v>1040</v>
      </c>
      <c r="O91" t="s" s="17">
        <v>1041</v>
      </c>
      <c r="P91" s="17"/>
      <c r="Q91" s="17"/>
      <c r="R91" t="s" s="17">
        <v>48</v>
      </c>
      <c r="S91" s="17"/>
      <c r="T91" s="17"/>
      <c r="U91" s="17"/>
      <c r="V91" t="s" s="17">
        <v>954</v>
      </c>
      <c r="W91" t="s" s="17">
        <v>955</v>
      </c>
      <c r="X91" s="17"/>
      <c r="Y91" t="s" s="17">
        <v>956</v>
      </c>
      <c r="Z91" s="17"/>
      <c r="AA91" s="17"/>
      <c r="AB91" s="17"/>
      <c r="AC91" s="17"/>
      <c r="AD91" s="28"/>
      <c r="AE91" s="28"/>
      <c r="AF91" s="20">
        <v>2</v>
      </c>
      <c r="AG91" t="s" s="17">
        <v>64</v>
      </c>
      <c r="AH91" t="s" s="21">
        <v>957</v>
      </c>
      <c r="AI91" t="s" s="17">
        <v>1042</v>
      </c>
      <c r="AJ91" t="s" s="40">
        <v>959</v>
      </c>
      <c r="AK91" t="s" s="23">
        <v>960</v>
      </c>
      <c r="AL91" t="s" s="17">
        <v>1043</v>
      </c>
    </row>
    <row r="92" ht="18.9" customHeight="1">
      <c r="B92" t="str" s="44" cm="1">
        <f t="array" ref="B92">G92&amp;"_"&amp;V92&amp;"_"&amp;Y92&amp;"_"&amp;R92&amp;"_"&amp;F92</f>
        <v>RES_5%_100mW_0603_2.2M</v>
      </c>
      <c r="C92" t="str" s="16" cm="1">
        <f t="array" ref="C92">$F92&amp;IF($G92="LED"," LED","")&amp;IF($V92="",""," ")&amp;$V92&amp;IF($L92="",""," ")&amp;$L92&amp;IF($W92="",""," ")&amp;$W92&amp;IF($X92="",""," ")&amp;$X92&amp;IF($Y92="",""," ")&amp;$Y92&amp;IF($AB92="",""," ")&amp;$AB92&amp;IF($AB92="","","mcd")</f>
        <v>2.2M 5% thick film 50V 100mW</v>
      </c>
      <c r="D92" t="str" s="16" cm="1">
        <f t="array" ref="D92">$F92&amp;" "&amp;G92&amp;IF($V92="",""," ")&amp;$V92&amp;IF($L92="",""," ")&amp;$L92&amp;IF($W92="",""," ")&amp;$W92&amp;IF($X92="",""," ")&amp;$X92&amp;IF($Y92="",""," ")&amp;$Y92&amp;IF($AB92="",""," ")&amp;$AB92&amp;IF($AB92="","","mcd")</f>
        <v>2.2M RES 5% thick film 50V 100mW</v>
      </c>
      <c r="E92" t="str" s="15" cm="1">
        <f t="array" ref="E92">IF(ISBLANK(M92),"",HYPERLINK("https://jlcpcb.com/partdetail/"&amp;$M92,$M92))</f>
        <v>C403986</v>
      </c>
      <c r="F92" t="str" s="15" cm="1">
        <f t="array" ref="F92">O92</f>
        <v>2.2M</v>
      </c>
      <c r="G92" t="s" s="17">
        <v>949</v>
      </c>
      <c r="H92" s="17"/>
      <c r="I92" s="17"/>
      <c r="J92" s="17"/>
      <c r="K92" t="s" s="17">
        <v>10</v>
      </c>
      <c r="L92" t="s" s="17">
        <v>950</v>
      </c>
      <c r="M92" t="s" s="18">
        <v>1047</v>
      </c>
      <c r="N92" t="s" s="18">
        <v>1048</v>
      </c>
      <c r="O92" t="s" s="17">
        <v>1041</v>
      </c>
      <c r="P92" s="17"/>
      <c r="Q92" s="17"/>
      <c r="R92" t="s" s="17">
        <v>48</v>
      </c>
      <c r="S92" s="17"/>
      <c r="T92" s="17"/>
      <c r="U92" s="17"/>
      <c r="V92" t="s" s="17">
        <v>954</v>
      </c>
      <c r="W92" t="s" s="17">
        <v>50</v>
      </c>
      <c r="X92" s="17"/>
      <c r="Y92" t="s" s="17">
        <v>956</v>
      </c>
      <c r="Z92" s="17"/>
      <c r="AA92" s="17"/>
      <c r="AB92" s="17"/>
      <c r="AC92" s="17"/>
      <c r="AD92" s="28"/>
      <c r="AE92" s="28"/>
      <c r="AF92" s="20">
        <v>1</v>
      </c>
      <c r="AG92" t="s" s="17">
        <v>64</v>
      </c>
      <c r="AH92" t="s" s="21">
        <v>1049</v>
      </c>
      <c r="AI92" t="s" s="17">
        <v>1050</v>
      </c>
      <c r="AJ92" t="s" s="40">
        <v>959</v>
      </c>
      <c r="AK92" t="s" s="23">
        <v>960</v>
      </c>
      <c r="AL92" t="s" s="17">
        <v>1051</v>
      </c>
    </row>
    <row r="93" ht="18.9" customHeight="1">
      <c r="B93" t="str" s="15" cm="1">
        <f t="array" ref="B93">G93&amp;"_"&amp;V93&amp;"_"&amp;Y93&amp;"_"&amp;R93&amp;"_"&amp;F93</f>
        <v>RES_5%_100mW_0603_200</v>
      </c>
      <c r="C93" t="str" s="16" cm="1">
        <f t="array" ref="C93">$F93&amp;IF($G93="LED"," LED","")&amp;IF($V93="",""," ")&amp;$V93&amp;IF($L93="",""," ")&amp;$L93&amp;IF($W93="",""," ")&amp;$W93&amp;IF($X93="",""," ")&amp;$X93&amp;IF($Y93="",""," ")&amp;$Y93&amp;IF($AB93="",""," ")&amp;$AB93&amp;IF($AB93="","","mcd")</f>
        <v>200 5% thick film 75V 100mW</v>
      </c>
      <c r="D93" t="str" s="16" cm="1">
        <f t="array" ref="D93">$F93&amp;" "&amp;G93&amp;IF($V93="",""," ")&amp;$V93&amp;IF($L93="",""," ")&amp;$L93&amp;IF($W93="",""," ")&amp;$W93&amp;IF($X93="",""," ")&amp;$X93&amp;IF($Y93="",""," ")&amp;$Y93&amp;IF($AB93="",""," ")&amp;$AB93&amp;IF($AB93="","","mcd")</f>
        <v>200 RES 5% thick film 75V 100mW</v>
      </c>
      <c r="E93" t="str" s="15" cm="1">
        <f t="array" ref="E93">IF(ISBLANK(M93),"",HYPERLINK("https://jlcpcb.com/partdetail/"&amp;$M93,$M93))</f>
        <v>C2907123</v>
      </c>
      <c r="F93" t="str" s="15" cm="1">
        <f t="array" ref="F93">O93</f>
        <v>200</v>
      </c>
      <c r="G93" t="s" s="17">
        <v>949</v>
      </c>
      <c r="H93" s="17"/>
      <c r="I93" s="17"/>
      <c r="J93" s="17"/>
      <c r="K93" t="s" s="17">
        <v>10</v>
      </c>
      <c r="L93" t="s" s="17">
        <v>950</v>
      </c>
      <c r="M93" t="s" s="18">
        <v>1057</v>
      </c>
      <c r="N93" t="s" s="18">
        <v>1058</v>
      </c>
      <c r="O93" t="s" s="17">
        <v>1059</v>
      </c>
      <c r="P93" s="17"/>
      <c r="Q93" s="17"/>
      <c r="R93" t="s" s="17">
        <v>48</v>
      </c>
      <c r="S93" s="17"/>
      <c r="T93" s="17"/>
      <c r="U93" s="17"/>
      <c r="V93" t="s" s="17">
        <v>954</v>
      </c>
      <c r="W93" t="s" s="17">
        <v>955</v>
      </c>
      <c r="X93" s="17"/>
      <c r="Y93" t="s" s="17">
        <v>956</v>
      </c>
      <c r="Z93" s="17"/>
      <c r="AA93" s="17"/>
      <c r="AB93" s="17"/>
      <c r="AC93" s="17"/>
      <c r="AD93" s="28"/>
      <c r="AE93" s="28"/>
      <c r="AF93" s="20">
        <v>1</v>
      </c>
      <c r="AG93" t="s" s="17">
        <v>64</v>
      </c>
      <c r="AH93" t="s" s="21">
        <v>974</v>
      </c>
      <c r="AI93" t="s" s="17">
        <v>1060</v>
      </c>
      <c r="AJ93" t="s" s="22">
        <v>959</v>
      </c>
      <c r="AK93" t="s" s="23">
        <v>960</v>
      </c>
      <c r="AL93" t="s" s="17">
        <v>1061</v>
      </c>
    </row>
    <row r="94" ht="18.9" customHeight="1">
      <c r="B94" t="str" s="44" cm="1">
        <f t="array" ref="B94">G94&amp;"_"&amp;V94&amp;"_"&amp;Y94&amp;"_"&amp;R94&amp;"_"&amp;F94</f>
        <v>RES_5%_100mW_0603_220</v>
      </c>
      <c r="C94" t="str" s="16" cm="1">
        <f t="array" ref="C94">$F94&amp;IF($G94="LED"," LED","")&amp;IF($V94="",""," ")&amp;$V94&amp;IF($L94="",""," ")&amp;$L94&amp;IF($W94="",""," ")&amp;$W94&amp;IF($X94="",""," ")&amp;$X94&amp;IF($Y94="",""," ")&amp;$Y94&amp;IF($AB94="",""," ")&amp;$AB94&amp;IF($AB94="","","mcd")</f>
        <v>220 5% thick film 75V 100mW</v>
      </c>
      <c r="D94" t="str" s="16" cm="1">
        <f t="array" ref="D94">$F94&amp;" "&amp;G94&amp;IF($V94="",""," ")&amp;$V94&amp;IF($L94="",""," ")&amp;$L94&amp;IF($W94="",""," ")&amp;$W94&amp;IF($X94="",""," ")&amp;$X94&amp;IF($Y94="",""," ")&amp;$Y94&amp;IF($AB94="",""," ")&amp;$AB94&amp;IF($AB94="","","mcd")</f>
        <v>220 RES 5% thick film 75V 100mW</v>
      </c>
      <c r="E94" t="str" s="15" cm="1">
        <f t="array" ref="E94">IF(ISBLANK(M94),"",HYPERLINK("https://jlcpcb.com/partdetail/"&amp;$M94,$M94))</f>
        <v>C1226</v>
      </c>
      <c r="F94" t="str" s="15" cm="1">
        <f t="array" ref="F94">O94</f>
        <v>220</v>
      </c>
      <c r="G94" t="s" s="17">
        <v>949</v>
      </c>
      <c r="H94" s="17"/>
      <c r="I94" s="17"/>
      <c r="J94" s="17"/>
      <c r="K94" t="s" s="17">
        <v>10</v>
      </c>
      <c r="L94" t="s" s="17">
        <v>950</v>
      </c>
      <c r="M94" t="s" s="18">
        <v>1067</v>
      </c>
      <c r="N94" t="s" s="18">
        <v>1068</v>
      </c>
      <c r="O94" t="s" s="17">
        <v>1069</v>
      </c>
      <c r="P94" s="17"/>
      <c r="Q94" s="17"/>
      <c r="R94" t="s" s="17">
        <v>48</v>
      </c>
      <c r="S94" s="17"/>
      <c r="T94" s="17"/>
      <c r="U94" s="17"/>
      <c r="V94" t="s" s="17">
        <v>954</v>
      </c>
      <c r="W94" t="s" s="17">
        <v>955</v>
      </c>
      <c r="X94" s="17"/>
      <c r="Y94" t="s" s="17">
        <v>956</v>
      </c>
      <c r="Z94" s="17"/>
      <c r="AA94" s="17"/>
      <c r="AB94" s="17"/>
      <c r="AC94" s="17"/>
      <c r="AD94" s="28"/>
      <c r="AE94" s="28"/>
      <c r="AF94" s="20">
        <v>3</v>
      </c>
      <c r="AG94" t="s" s="17">
        <v>51</v>
      </c>
      <c r="AH94" t="s" s="21">
        <v>957</v>
      </c>
      <c r="AI94" t="s" s="17">
        <v>1070</v>
      </c>
      <c r="AJ94" t="s" s="40">
        <v>959</v>
      </c>
      <c r="AK94" t="s" s="23">
        <v>960</v>
      </c>
      <c r="AL94" t="s" s="17">
        <v>1071</v>
      </c>
    </row>
    <row r="95" ht="18.9" customHeight="1">
      <c r="B95" t="str" s="44" cm="1">
        <f t="array" ref="B95">G95&amp;"_"&amp;V95&amp;"_"&amp;Y95&amp;"_"&amp;R95&amp;"_"&amp;F95</f>
        <v>RES_1%_100mW_0603_220</v>
      </c>
      <c r="C95" t="str" s="16" cm="1">
        <f t="array" ref="C95">$F95&amp;IF($G95="LED"," LED","")&amp;IF($V95="",""," ")&amp;$V95&amp;IF($L95="",""," ")&amp;$L95&amp;IF($W95="",""," ")&amp;$W95&amp;IF($X95="",""," ")&amp;$X95&amp;IF($Y95="",""," ")&amp;$Y95&amp;IF($AB95="",""," ")&amp;$AB95&amp;IF($AB95="","","mcd")</f>
        <v>220 1% thick film 150V 100mW</v>
      </c>
      <c r="D95" t="str" s="16" cm="1">
        <f t="array" ref="D95">$F95&amp;" "&amp;G95&amp;IF($V95="",""," ")&amp;$V95&amp;IF($L95="",""," ")&amp;$L95&amp;IF($W95="",""," ")&amp;$W95&amp;IF($X95="",""," ")&amp;$X95&amp;IF($Y95="",""," ")&amp;$Y95&amp;IF($AB95="",""," ")&amp;$AB95&amp;IF($AB95="","","mcd")</f>
        <v>220 RES 1% thick film 150V 100mW</v>
      </c>
      <c r="E95" t="str" s="15" cm="1">
        <f t="array" ref="E95">IF(ISBLANK(M95),"",HYPERLINK("https://jlcpcb.com/partdetail/"&amp;$M95,$M95))</f>
        <v>C5842375</v>
      </c>
      <c r="F95" t="str" s="15" cm="1">
        <f t="array" ref="F95">O95</f>
        <v>220</v>
      </c>
      <c r="G95" t="s" s="17">
        <v>949</v>
      </c>
      <c r="H95" s="17"/>
      <c r="I95" s="17"/>
      <c r="J95" s="17"/>
      <c r="K95" t="s" s="17">
        <v>10</v>
      </c>
      <c r="L95" t="s" s="17">
        <v>950</v>
      </c>
      <c r="M95" t="s" s="18">
        <v>1076</v>
      </c>
      <c r="N95" t="s" s="18">
        <v>1077</v>
      </c>
      <c r="O95" t="s" s="17">
        <v>1069</v>
      </c>
      <c r="P95" s="17"/>
      <c r="Q95" s="17"/>
      <c r="R95" t="s" s="17">
        <v>48</v>
      </c>
      <c r="S95" s="17"/>
      <c r="T95" s="17"/>
      <c r="U95" s="17"/>
      <c r="V95" t="s" s="17">
        <v>1013</v>
      </c>
      <c r="W95" t="s" s="17">
        <v>982</v>
      </c>
      <c r="X95" s="17"/>
      <c r="Y95" t="s" s="17">
        <v>956</v>
      </c>
      <c r="Z95" s="17"/>
      <c r="AA95" s="17"/>
      <c r="AB95" s="17"/>
      <c r="AC95" s="17"/>
      <c r="AD95" s="28"/>
      <c r="AE95" s="28"/>
      <c r="AF95" s="20">
        <v>2</v>
      </c>
      <c r="AG95" t="s" s="17">
        <v>64</v>
      </c>
      <c r="AH95" t="s" s="21">
        <v>52</v>
      </c>
      <c r="AI95" t="s" s="17">
        <v>1078</v>
      </c>
      <c r="AJ95" t="s" s="22">
        <v>959</v>
      </c>
      <c r="AK95" t="s" s="23">
        <v>960</v>
      </c>
      <c r="AL95" t="s" s="17">
        <v>1079</v>
      </c>
    </row>
    <row r="96" ht="18.9" customHeight="1">
      <c r="B96" t="str" s="44" cm="1">
        <f t="array" ref="B96">G96&amp;"_"&amp;V96&amp;"_"&amp;Y96&amp;"_"&amp;R96&amp;"_"&amp;F96</f>
        <v>RES_5%_100mW_0603_22K</v>
      </c>
      <c r="C96" t="str" s="16" cm="1">
        <f t="array" ref="C96">$F96&amp;IF($G96="LED"," LED","")&amp;IF($V96="",""," ")&amp;$V96&amp;IF($L96="",""," ")&amp;$L96&amp;IF($W96="",""," ")&amp;$W96&amp;IF($X96="",""," ")&amp;$X96&amp;IF($Y96="",""," ")&amp;$Y96&amp;IF($AB96="",""," ")&amp;$AB96&amp;IF($AB96="","","mcd")</f>
        <v>22K 5% thick film 75V 100mW</v>
      </c>
      <c r="D96" t="str" s="16" cm="1">
        <f t="array" ref="D96">$F96&amp;" "&amp;G96&amp;IF($V96="",""," ")&amp;$V96&amp;IF($L96="",""," ")&amp;$L96&amp;IF($W96="",""," ")&amp;$W96&amp;IF($X96="",""," ")&amp;$X96&amp;IF($Y96="",""," ")&amp;$Y96&amp;IF($AB96="",""," ")&amp;$AB96&amp;IF($AB96="","","mcd")</f>
        <v>22K RES 5% thick film 75V 100mW</v>
      </c>
      <c r="E96" t="str" s="15" cm="1">
        <f t="array" ref="E96">IF(ISBLANK(M96),"",HYPERLINK("https://jlcpcb.com/partdetail/"&amp;$M96,$M96))</f>
        <v>C23344</v>
      </c>
      <c r="F96" t="str" s="15" cm="1">
        <f t="array" ref="F96">O96</f>
        <v>22K</v>
      </c>
      <c r="G96" t="s" s="17">
        <v>949</v>
      </c>
      <c r="H96" s="17"/>
      <c r="I96" s="17"/>
      <c r="J96" s="17"/>
      <c r="K96" t="s" s="17">
        <v>10</v>
      </c>
      <c r="L96" t="s" s="17">
        <v>950</v>
      </c>
      <c r="M96" t="s" s="18">
        <v>1085</v>
      </c>
      <c r="N96" t="s" s="18">
        <v>1086</v>
      </c>
      <c r="O96" t="s" s="17">
        <v>1087</v>
      </c>
      <c r="P96" s="17"/>
      <c r="Q96" s="17"/>
      <c r="R96" t="s" s="17">
        <v>48</v>
      </c>
      <c r="S96" s="17"/>
      <c r="T96" s="17"/>
      <c r="U96" s="17"/>
      <c r="V96" t="s" s="17">
        <v>954</v>
      </c>
      <c r="W96" t="s" s="17">
        <v>955</v>
      </c>
      <c r="X96" s="17"/>
      <c r="Y96" t="s" s="17">
        <v>956</v>
      </c>
      <c r="Z96" s="17"/>
      <c r="AA96" s="17"/>
      <c r="AB96" s="17"/>
      <c r="AC96" s="17"/>
      <c r="AD96" s="28"/>
      <c r="AE96" s="28"/>
      <c r="AF96" s="20">
        <v>1</v>
      </c>
      <c r="AG96" t="s" s="17">
        <v>51</v>
      </c>
      <c r="AH96" t="s" s="21">
        <v>957</v>
      </c>
      <c r="AI96" t="s" s="17">
        <v>1088</v>
      </c>
      <c r="AJ96" t="s" s="40">
        <v>959</v>
      </c>
      <c r="AK96" t="s" s="23">
        <v>960</v>
      </c>
      <c r="AL96" t="s" s="17">
        <v>1089</v>
      </c>
    </row>
    <row r="97" ht="19.3" customHeight="1">
      <c r="B97" t="str" s="44" cm="1">
        <f t="array" ref="B97">G97&amp;"_"&amp;V97&amp;"_"&amp;Y97&amp;"_"&amp;R97&amp;"_"&amp;F97</f>
        <v>RES_5%_100mW_0603_3.3K</v>
      </c>
      <c r="C97" t="str" s="16" cm="1">
        <f t="array" ref="C97">$F97&amp;IF($G97="LED"," LED","")&amp;IF($V97="",""," ")&amp;$V97&amp;IF($L97="",""," ")&amp;$L97&amp;IF($W97="",""," ")&amp;$W97&amp;IF($X97="",""," ")&amp;$X97&amp;IF($Y97="",""," ")&amp;$Y97&amp;IF($AB97="",""," ")&amp;$AB97&amp;IF($AB97="","","mcd")</f>
        <v>3.3K 5% thick film 75V 100mW</v>
      </c>
      <c r="D97" t="str" s="16" cm="1">
        <f t="array" ref="D97">$F97&amp;" "&amp;G97&amp;IF($V97="",""," ")&amp;$V97&amp;IF($L97="",""," ")&amp;$L97&amp;IF($W97="",""," ")&amp;$W97&amp;IF($X97="",""," ")&amp;$X97&amp;IF($Y97="",""," ")&amp;$Y97&amp;IF($AB97="",""," ")&amp;$AB97&amp;IF($AB97="","","mcd")</f>
        <v>3.3K RES 5% thick film 75V 100mW</v>
      </c>
      <c r="E97" t="str" s="15" cm="1">
        <f t="array" ref="E97">IF(ISBLANK(M97),"",HYPERLINK("https://jlcpcb.com/partdetail/"&amp;$M97,$M97))</f>
        <v>C25995</v>
      </c>
      <c r="F97" t="str" s="15" cm="1">
        <f t="array" ref="F97">O97</f>
        <v>3.3K</v>
      </c>
      <c r="G97" t="s" s="17">
        <v>949</v>
      </c>
      <c r="H97" s="17"/>
      <c r="I97" s="17"/>
      <c r="J97" s="17"/>
      <c r="K97" t="s" s="17">
        <v>10</v>
      </c>
      <c r="L97" t="s" s="17">
        <v>950</v>
      </c>
      <c r="M97" t="s" s="18">
        <v>1095</v>
      </c>
      <c r="N97" t="s" s="18">
        <v>1096</v>
      </c>
      <c r="O97" t="s" s="17">
        <v>1097</v>
      </c>
      <c r="P97" s="17"/>
      <c r="Q97" s="17"/>
      <c r="R97" t="s" s="17">
        <v>48</v>
      </c>
      <c r="S97" s="17"/>
      <c r="T97" s="17"/>
      <c r="U97" s="17"/>
      <c r="V97" t="s" s="17">
        <v>954</v>
      </c>
      <c r="W97" t="s" s="17">
        <v>955</v>
      </c>
      <c r="X97" s="17"/>
      <c r="Y97" t="s" s="17">
        <v>956</v>
      </c>
      <c r="Z97" s="17"/>
      <c r="AA97" s="17"/>
      <c r="AB97" s="17"/>
      <c r="AC97" s="17"/>
      <c r="AD97" s="28"/>
      <c r="AE97" s="28"/>
      <c r="AF97" s="20">
        <v>2</v>
      </c>
      <c r="AG97" t="s" s="17">
        <v>51</v>
      </c>
      <c r="AH97" t="s" s="21">
        <v>957</v>
      </c>
      <c r="AI97" t="s" s="21">
        <v>1098</v>
      </c>
      <c r="AJ97" t="s" s="40">
        <v>959</v>
      </c>
      <c r="AK97" t="s" s="23">
        <v>960</v>
      </c>
      <c r="AL97" t="s" s="17">
        <v>1099</v>
      </c>
    </row>
    <row r="98" ht="18.9" customHeight="1">
      <c r="B98" t="str" s="44" cm="1">
        <f t="array" ref="B98">G98&amp;"_"&amp;V98&amp;"_"&amp;Y98&amp;"_"&amp;R98&amp;"_"&amp;F98</f>
        <v>RES_1%_100mW_0603_3.3K</v>
      </c>
      <c r="C98" t="str" s="16" cm="1">
        <f t="array" ref="C98">$F98&amp;IF($G98="LED"," LED","")&amp;IF($V98="",""," ")&amp;$V98&amp;IF($L98="",""," ")&amp;$L98&amp;IF($W98="",""," ")&amp;$W98&amp;IF($X98="",""," ")&amp;$X98&amp;IF($Y98="",""," ")&amp;$Y98&amp;IF($AB98="",""," ")&amp;$AB98&amp;IF($AB98="","","mcd")</f>
        <v>3.3K 1% thick film 75V 100mW</v>
      </c>
      <c r="D98" t="str" s="16" cm="1">
        <f t="array" ref="D98">$F98&amp;" "&amp;G98&amp;IF($V98="",""," ")&amp;$V98&amp;IF($L98="",""," ")&amp;$L98&amp;IF($W98="",""," ")&amp;$W98&amp;IF($X98="",""," ")&amp;$X98&amp;IF($Y98="",""," ")&amp;$Y98&amp;IF($AB98="",""," ")&amp;$AB98&amp;IF($AB98="","","mcd")</f>
        <v>3.3K RES 1% thick film 75V 100mW</v>
      </c>
      <c r="E98" t="str" s="15" cm="1">
        <f t="array" ref="E98">IF(ISBLANK(M98),"",HYPERLINK("https://jlcpcb.com/partdetail/"&amp;$M98,$M98))</f>
        <v>C2907023</v>
      </c>
      <c r="F98" t="str" s="15" cm="1">
        <f t="array" ref="F98">O98</f>
        <v>3.3K</v>
      </c>
      <c r="G98" t="s" s="17">
        <v>949</v>
      </c>
      <c r="H98" s="17"/>
      <c r="I98" s="17"/>
      <c r="J98" s="17"/>
      <c r="K98" t="s" s="17">
        <v>10</v>
      </c>
      <c r="L98" t="s" s="17">
        <v>950</v>
      </c>
      <c r="M98" t="s" s="18">
        <v>1104</v>
      </c>
      <c r="N98" t="s" s="18">
        <v>1105</v>
      </c>
      <c r="O98" t="s" s="17">
        <v>1097</v>
      </c>
      <c r="P98" s="17"/>
      <c r="Q98" s="17"/>
      <c r="R98" t="s" s="17">
        <v>48</v>
      </c>
      <c r="S98" s="17"/>
      <c r="T98" s="17"/>
      <c r="U98" s="17"/>
      <c r="V98" t="s" s="17">
        <v>1013</v>
      </c>
      <c r="W98" t="s" s="17">
        <v>955</v>
      </c>
      <c r="X98" s="17"/>
      <c r="Y98" t="s" s="17">
        <v>956</v>
      </c>
      <c r="Z98" s="17"/>
      <c r="AA98" s="17"/>
      <c r="AB98" s="17"/>
      <c r="AC98" s="17"/>
      <c r="AD98" s="28"/>
      <c r="AE98" s="28"/>
      <c r="AF98" s="20">
        <v>1</v>
      </c>
      <c r="AG98" t="s" s="17">
        <v>64</v>
      </c>
      <c r="AH98" t="s" s="21">
        <v>974</v>
      </c>
      <c r="AI98" t="s" s="17">
        <v>1106</v>
      </c>
      <c r="AJ98" t="s" s="22">
        <v>959</v>
      </c>
      <c r="AK98" t="s" s="23">
        <v>960</v>
      </c>
      <c r="AL98" t="s" s="17">
        <v>1107</v>
      </c>
    </row>
    <row r="99" ht="18.9" customHeight="1">
      <c r="B99" t="str" s="44" cm="1">
        <f t="array" ref="B99">G99&amp;"_"&amp;V99&amp;"_"&amp;Y99&amp;"_"&amp;R99&amp;"_"&amp;F99</f>
        <v>RES_5%_100mW_0603_330</v>
      </c>
      <c r="C99" t="str" s="16" cm="1">
        <f t="array" ref="C99">$F99&amp;IF($G99="LED"," LED","")&amp;IF($V99="",""," ")&amp;$V99&amp;IF($L99="",""," ")&amp;$L99&amp;IF($W99="",""," ")&amp;$W99&amp;IF($X99="",""," ")&amp;$X99&amp;IF($Y99="",""," ")&amp;$Y99&amp;IF($AB99="",""," ")&amp;$AB99&amp;IF($AB99="","","mcd")</f>
        <v>330 5% thick film 75V 100mW</v>
      </c>
      <c r="D99" t="str" s="16" cm="1">
        <f t="array" ref="D99">$F99&amp;" "&amp;G99&amp;IF($V99="",""," ")&amp;$V99&amp;IF($L99="",""," ")&amp;$L99&amp;IF($W99="",""," ")&amp;$W99&amp;IF($X99="",""," ")&amp;$X99&amp;IF($Y99="",""," ")&amp;$Y99&amp;IF($AB99="",""," ")&amp;$AB99&amp;IF($AB99="","","mcd")</f>
        <v>330 RES 5% thick film 75V 100mW</v>
      </c>
      <c r="E99" t="str" s="15" cm="1">
        <f t="array" ref="E99">IF(ISBLANK(M99),"",HYPERLINK("https://jlcpcb.com/partdetail/"&amp;$M99,$M99))</f>
        <v>C25231</v>
      </c>
      <c r="F99" t="str" s="15" cm="1">
        <f t="array" ref="F99">O99</f>
        <v>330</v>
      </c>
      <c r="G99" t="s" s="17">
        <v>949</v>
      </c>
      <c r="H99" s="17"/>
      <c r="I99" s="17"/>
      <c r="J99" s="17"/>
      <c r="K99" t="s" s="17">
        <v>10</v>
      </c>
      <c r="L99" t="s" s="17">
        <v>950</v>
      </c>
      <c r="M99" t="s" s="18">
        <v>1113</v>
      </c>
      <c r="N99" t="s" s="18">
        <v>1114</v>
      </c>
      <c r="O99" t="s" s="17">
        <v>708</v>
      </c>
      <c r="P99" s="17"/>
      <c r="Q99" s="17"/>
      <c r="R99" t="s" s="17">
        <v>48</v>
      </c>
      <c r="S99" s="17"/>
      <c r="T99" s="17"/>
      <c r="U99" s="17"/>
      <c r="V99" t="s" s="17">
        <v>954</v>
      </c>
      <c r="W99" t="s" s="17">
        <v>955</v>
      </c>
      <c r="X99" s="17"/>
      <c r="Y99" t="s" s="17">
        <v>956</v>
      </c>
      <c r="Z99" s="17"/>
      <c r="AA99" s="17"/>
      <c r="AB99" s="17"/>
      <c r="AC99" s="17"/>
      <c r="AD99" s="28"/>
      <c r="AE99" s="28"/>
      <c r="AF99" s="20">
        <v>1</v>
      </c>
      <c r="AG99" t="s" s="17">
        <v>51</v>
      </c>
      <c r="AH99" t="s" s="21">
        <v>957</v>
      </c>
      <c r="AI99" t="s" s="17">
        <v>1115</v>
      </c>
      <c r="AJ99" t="s" s="40">
        <v>959</v>
      </c>
      <c r="AK99" t="s" s="23">
        <v>960</v>
      </c>
      <c r="AL99" t="s" s="17">
        <v>1116</v>
      </c>
    </row>
    <row r="100" ht="19.3" customHeight="1">
      <c r="B100" t="str" s="44" cm="1">
        <f t="array" ref="B100">G100&amp;"_"&amp;V100&amp;"_"&amp;Y100&amp;"_"&amp;R100&amp;"_"&amp;F100</f>
        <v>RES_5%_100mW_0603_4.7K</v>
      </c>
      <c r="C100" t="str" s="16" cm="1">
        <f t="array" ref="C100">$F100&amp;IF($G100="LED"," LED","")&amp;IF($V100="",""," ")&amp;$V100&amp;IF($L100="",""," ")&amp;$L100&amp;IF($W100="",""," ")&amp;$W100&amp;IF($X100="",""," ")&amp;$X100&amp;IF($Y100="",""," ")&amp;$Y100&amp;IF($AB100="",""," ")&amp;$AB100&amp;IF($AB100="","","mcd")</f>
        <v>4.7K 5% thick film 75V 100mW</v>
      </c>
      <c r="D100" t="str" s="16" cm="1">
        <f t="array" ref="D100">$F100&amp;" "&amp;G100&amp;IF($V100="",""," ")&amp;$V100&amp;IF($L100="",""," ")&amp;$L100&amp;IF($W100="",""," ")&amp;$W100&amp;IF($X100="",""," ")&amp;$X100&amp;IF($Y100="",""," ")&amp;$Y100&amp;IF($AB100="",""," ")&amp;$AB100&amp;IF($AB100="","","mcd")</f>
        <v>4.7K RES 5% thick film 75V 100mW</v>
      </c>
      <c r="E100" t="str" s="15" cm="1">
        <f t="array" ref="E100">IF(ISBLANK(M100),"",HYPERLINK("https://jlcpcb.com/partdetail/"&amp;$M100,$M100))</f>
        <v>C25999</v>
      </c>
      <c r="F100" t="str" s="15" cm="1">
        <f t="array" ref="F100">O100</f>
        <v>4.7K</v>
      </c>
      <c r="G100" t="s" s="17">
        <v>949</v>
      </c>
      <c r="H100" s="17"/>
      <c r="I100" s="17"/>
      <c r="J100" s="17"/>
      <c r="K100" t="s" s="17">
        <v>10</v>
      </c>
      <c r="L100" t="s" s="17">
        <v>950</v>
      </c>
      <c r="M100" t="s" s="18">
        <v>1122</v>
      </c>
      <c r="N100" t="s" s="18">
        <v>1123</v>
      </c>
      <c r="O100" t="s" s="17">
        <v>1124</v>
      </c>
      <c r="P100" s="17"/>
      <c r="Q100" s="17"/>
      <c r="R100" t="s" s="17">
        <v>48</v>
      </c>
      <c r="S100" s="17"/>
      <c r="T100" s="17"/>
      <c r="U100" s="17"/>
      <c r="V100" t="s" s="17">
        <v>954</v>
      </c>
      <c r="W100" t="s" s="17">
        <v>955</v>
      </c>
      <c r="X100" s="17"/>
      <c r="Y100" t="s" s="17">
        <v>956</v>
      </c>
      <c r="Z100" s="17"/>
      <c r="AA100" s="17"/>
      <c r="AB100" s="17"/>
      <c r="AC100" s="17"/>
      <c r="AD100" s="28"/>
      <c r="AE100" s="28"/>
      <c r="AF100" s="20">
        <v>1</v>
      </c>
      <c r="AG100" t="s" s="17">
        <v>51</v>
      </c>
      <c r="AH100" t="s" s="21">
        <v>957</v>
      </c>
      <c r="AI100" t="s" s="21">
        <v>1125</v>
      </c>
      <c r="AJ100" t="s" s="40">
        <v>959</v>
      </c>
      <c r="AK100" t="s" s="23">
        <v>960</v>
      </c>
      <c r="AL100" t="s" s="17">
        <v>1126</v>
      </c>
    </row>
    <row r="101" ht="18.9" customHeight="1">
      <c r="B101" t="str" s="44" cm="1">
        <f t="array" ref="B101">G101&amp;"_"&amp;V101&amp;"_"&amp;Y101&amp;"_"&amp;R101&amp;"_"&amp;F101</f>
        <v>RES_5%_100mW_0603_470</v>
      </c>
      <c r="C101" t="str" s="16" cm="1">
        <f t="array" ref="C101">$F101&amp;IF($G101="LED"," LED","")&amp;IF($V101="",""," ")&amp;$V101&amp;IF($L101="",""," ")&amp;$L101&amp;IF($W101="",""," ")&amp;$W101&amp;IF($X101="",""," ")&amp;$X101&amp;IF($Y101="",""," ")&amp;$Y101&amp;IF($AB101="",""," ")&amp;$AB101&amp;IF($AB101="","","mcd")</f>
        <v>470 5% thick film 75V 100mW</v>
      </c>
      <c r="D101" t="str" s="16" cm="1">
        <f t="array" ref="D101">$F101&amp;" "&amp;G101&amp;IF($V101="",""," ")&amp;$V101&amp;IF($L101="",""," ")&amp;$L101&amp;IF($W101="",""," ")&amp;$W101&amp;IF($X101="",""," ")&amp;$X101&amp;IF($Y101="",""," ")&amp;$Y101&amp;IF($AB101="",""," ")&amp;$AB101&amp;IF($AB101="","","mcd")</f>
        <v>470 RES 5% thick film 75V 100mW</v>
      </c>
      <c r="E101" t="str" s="15" cm="1">
        <f t="array" ref="E101">IF(ISBLANK(M101),"",HYPERLINK("https://jlcpcb.com/partdetail/"&amp;$M101,$M101))</f>
        <v>C25241</v>
      </c>
      <c r="F101" t="str" s="15" cm="1">
        <f t="array" ref="F101">O101</f>
        <v>470</v>
      </c>
      <c r="G101" t="s" s="17">
        <v>949</v>
      </c>
      <c r="H101" s="17"/>
      <c r="I101" s="17"/>
      <c r="J101" s="17"/>
      <c r="K101" t="s" s="17">
        <v>10</v>
      </c>
      <c r="L101" t="s" s="17">
        <v>950</v>
      </c>
      <c r="M101" t="s" s="18">
        <v>1132</v>
      </c>
      <c r="N101" t="s" s="18">
        <v>1133</v>
      </c>
      <c r="O101" t="s" s="17">
        <v>1134</v>
      </c>
      <c r="P101" s="17"/>
      <c r="Q101" s="17"/>
      <c r="R101" t="s" s="17">
        <v>48</v>
      </c>
      <c r="S101" s="17"/>
      <c r="T101" s="17"/>
      <c r="U101" s="17"/>
      <c r="V101" t="s" s="17">
        <v>954</v>
      </c>
      <c r="W101" t="s" s="17">
        <v>955</v>
      </c>
      <c r="X101" s="17"/>
      <c r="Y101" t="s" s="17">
        <v>956</v>
      </c>
      <c r="Z101" s="17"/>
      <c r="AA101" s="17"/>
      <c r="AB101" s="17"/>
      <c r="AC101" s="17"/>
      <c r="AD101" s="28"/>
      <c r="AE101" s="28"/>
      <c r="AF101" s="20">
        <v>1</v>
      </c>
      <c r="AG101" t="s" s="17">
        <v>51</v>
      </c>
      <c r="AH101" t="s" s="21">
        <v>957</v>
      </c>
      <c r="AI101" t="s" s="17">
        <v>1135</v>
      </c>
      <c r="AJ101" t="s" s="40">
        <v>959</v>
      </c>
      <c r="AK101" t="s" s="23">
        <v>960</v>
      </c>
      <c r="AL101" t="s" s="17">
        <v>1136</v>
      </c>
    </row>
    <row r="102" ht="19.3" customHeight="1">
      <c r="B102" t="str" s="44" cm="1">
        <f t="array" ref="B102">G102&amp;"_"&amp;V102&amp;"_"&amp;Y102&amp;"_"&amp;R102&amp;"_"&amp;F102</f>
        <v>RES_5%_100mW_0603_5.6K</v>
      </c>
      <c r="C102" t="str" s="16" cm="1">
        <f t="array" ref="C102">$F102&amp;IF($G102="LED"," LED","")&amp;IF($V102="",""," ")&amp;$V102&amp;IF($L102="",""," ")&amp;$L102&amp;IF($W102="",""," ")&amp;$W102&amp;IF($X102="",""," ")&amp;$X102&amp;IF($Y102="",""," ")&amp;$Y102&amp;IF($AB102="",""," ")&amp;$AB102&amp;IF($AB102="","","mcd")</f>
        <v>5.6K 5% thick film 75V 100mW</v>
      </c>
      <c r="D102" t="str" s="16" cm="1">
        <f t="array" ref="D102">$F102&amp;" "&amp;G102&amp;IF($V102="",""," ")&amp;$V102&amp;IF($L102="",""," ")&amp;$L102&amp;IF($W102="",""," ")&amp;$W102&amp;IF($X102="",""," ")&amp;$X102&amp;IF($Y102="",""," ")&amp;$Y102&amp;IF($AB102="",""," ")&amp;$AB102&amp;IF($AB102="","","mcd")</f>
        <v>5.6K RES 5% thick film 75V 100mW</v>
      </c>
      <c r="E102" t="str" s="15" cm="1">
        <f t="array" ref="E102">IF(ISBLANK(M102),"",HYPERLINK("https://jlcpcb.com/partdetail/"&amp;$M102,$M102))</f>
        <v>C26001</v>
      </c>
      <c r="F102" t="str" s="15" cm="1">
        <f t="array" ref="F102">O102</f>
        <v>5.6K</v>
      </c>
      <c r="G102" t="s" s="17">
        <v>949</v>
      </c>
      <c r="H102" s="17"/>
      <c r="I102" s="17"/>
      <c r="J102" s="17"/>
      <c r="K102" t="s" s="17">
        <v>10</v>
      </c>
      <c r="L102" t="s" s="17">
        <v>950</v>
      </c>
      <c r="M102" t="s" s="18">
        <v>1142</v>
      </c>
      <c r="N102" t="s" s="18">
        <v>1143</v>
      </c>
      <c r="O102" t="s" s="17">
        <v>1144</v>
      </c>
      <c r="P102" s="17"/>
      <c r="Q102" s="17"/>
      <c r="R102" t="s" s="17">
        <v>48</v>
      </c>
      <c r="S102" s="17"/>
      <c r="T102" s="17"/>
      <c r="U102" s="17"/>
      <c r="V102" t="s" s="17">
        <v>954</v>
      </c>
      <c r="W102" t="s" s="17">
        <v>955</v>
      </c>
      <c r="X102" s="17"/>
      <c r="Y102" t="s" s="17">
        <v>956</v>
      </c>
      <c r="Z102" s="17"/>
      <c r="AA102" s="17"/>
      <c r="AB102" s="17"/>
      <c r="AC102" s="17"/>
      <c r="AD102" s="28"/>
      <c r="AE102" s="28"/>
      <c r="AF102" s="20">
        <v>1</v>
      </c>
      <c r="AG102" t="s" s="17">
        <v>51</v>
      </c>
      <c r="AH102" t="s" s="21">
        <v>957</v>
      </c>
      <c r="AI102" t="s" s="21">
        <v>1145</v>
      </c>
      <c r="AJ102" t="s" s="40">
        <v>959</v>
      </c>
      <c r="AK102" t="s" s="23">
        <v>960</v>
      </c>
      <c r="AL102" t="s" s="17">
        <v>1146</v>
      </c>
    </row>
    <row r="103" ht="18.9" customHeight="1">
      <c r="B103" t="str" s="44" cm="1">
        <f t="array" ref="B103">G103&amp;"_"&amp;R103&amp;"_"&amp;F103</f>
        <v>RLY_ISOPLUS-264_CPC1709J</v>
      </c>
      <c r="C103" t="str" s="16" cm="1">
        <f t="array" ref="C103">$F103&amp;IF($G103="LED"," LED","")&amp;IF($V103="",""," ")&amp;$V103&amp;IF($L103="",""," ")&amp;$L103&amp;IF($W103="",""," ")&amp;$W103&amp;IF($X103="",""," ")&amp;$X103&amp;IF($Y103="",""," ")&amp;$Y103&amp;IF($AB103="",""," ")&amp;$AB103&amp;IF($AB103="","","mcd")</f>
        <v>CPC1709J SSR 1.42V 9A-22.8A</v>
      </c>
      <c r="D103" t="str" s="16" cm="1">
        <f t="array" ref="D103">$F103&amp;" "&amp;G103&amp;IF($V103="",""," ")&amp;$V103&amp;IF($L103="",""," ")&amp;$L103&amp;IF($W103="",""," ")&amp;$W103&amp;IF($X103="",""," ")&amp;$X103&amp;IF($Y103="",""," ")&amp;$Y103&amp;IF($AB103="",""," ")&amp;$AB103&amp;IF($AB103="","","mcd")</f>
        <v>CPC1709J RLY SSR 1.42V 9A-22.8A</v>
      </c>
      <c r="E103" t="str" s="15" cm="1">
        <f t="array" ref="E103">IF(ISBLANK(M103),"",HYPERLINK("https://jlcpcb.com/partdetail/"&amp;$M103,$M103))</f>
        <v>C1525253</v>
      </c>
      <c r="F103" t="str" s="15" cm="1">
        <f t="array" ref="F103">H103</f>
        <v>CPC1709J</v>
      </c>
      <c r="G103" t="s" s="17">
        <v>1152</v>
      </c>
      <c r="H103" t="str" s="19" cm="1">
        <f t="array" ref="H103">AI103</f>
        <v>CPC1709J</v>
      </c>
      <c r="I103" s="19"/>
      <c r="J103" s="19"/>
      <c r="K103" t="s" s="17">
        <v>114</v>
      </c>
      <c r="L103" t="s" s="17">
        <v>1153</v>
      </c>
      <c r="M103" t="s" s="18">
        <v>1154</v>
      </c>
      <c r="N103" t="s" s="18">
        <v>1155</v>
      </c>
      <c r="O103" s="17"/>
      <c r="P103" s="17"/>
      <c r="Q103" s="17"/>
      <c r="R103" t="s" s="17">
        <v>1156</v>
      </c>
      <c r="S103" s="17"/>
      <c r="T103" s="17"/>
      <c r="U103" s="17"/>
      <c r="V103" s="17"/>
      <c r="W103" t="s" s="17">
        <v>1157</v>
      </c>
      <c r="X103" t="s" s="17">
        <v>1158</v>
      </c>
      <c r="Y103" s="17"/>
      <c r="Z103" s="17"/>
      <c r="AA103" s="17"/>
      <c r="AB103" s="17"/>
      <c r="AC103" s="17"/>
      <c r="AD103" s="28"/>
      <c r="AE103" s="28"/>
      <c r="AF103" s="20">
        <v>1</v>
      </c>
      <c r="AG103" t="s" s="17">
        <v>51</v>
      </c>
      <c r="AH103" t="s" s="21">
        <v>1159</v>
      </c>
      <c r="AI103" t="s" s="17">
        <v>1160</v>
      </c>
      <c r="AJ103" t="s" s="40">
        <v>1161</v>
      </c>
      <c r="AK103" t="s" s="23">
        <v>1161</v>
      </c>
      <c r="AL103" t="s" s="17">
        <v>1162</v>
      </c>
    </row>
    <row r="104" ht="19" customHeight="1">
      <c r="B104" t="str" s="15" cm="1">
        <f t="array" ref="B104">G104&amp;"_"&amp;F104&amp;"_"&amp;R104</f>
        <v>RLY_G2RL-2_29x12.7x15.7mm</v>
      </c>
      <c r="C104" t="str" s="16" cm="1">
        <f t="array" ref="C104">$F104&amp;IF($G104="LED"," LED","")&amp;IF($V104="",""," ")&amp;$V104&amp;IF($L104="",""," ")&amp;$L104&amp;IF($W104="",""," ")&amp;$W104&amp;IF($X104="",""," ")&amp;$X104&amp;IF($Y104="",""," ")&amp;$Y104&amp;IF($AB104="",""," ")&amp;$AB104&amp;IF($AB104="","","mcd")</f>
        <v>G2RL-2 24v DPDT 24v 8A</v>
      </c>
      <c r="D104" t="str" s="16" cm="1">
        <f t="array" ref="D104">$F104&amp;" "&amp;G104&amp;IF($V104="",""," ")&amp;$V104&amp;IF($L104="",""," ")&amp;$L104&amp;IF($W104="",""," ")&amp;$W104&amp;IF($X104="",""," ")&amp;$X104&amp;IF($Y104="",""," ")&amp;$Y104&amp;IF($AB104="",""," ")&amp;$AB104&amp;IF($AB104="","","mcd")</f>
        <v>G2RL-2 RLY 24v DPDT 24v 8A</v>
      </c>
      <c r="E104" t="str" s="15" cm="1">
        <f t="array" ref="E104">IF(ISBLANK(M104),"",HYPERLINK("https://jlcpcb.com/partdetail/"&amp;$M104,$M104))</f>
      </c>
      <c r="F104" t="str" s="15" cm="1">
        <f t="array" ref="F104">H104</f>
        <v>G2RL-2</v>
      </c>
      <c r="G104" t="s" s="17">
        <v>1152</v>
      </c>
      <c r="H104" t="s" s="17">
        <v>1167</v>
      </c>
      <c r="I104" s="17"/>
      <c r="J104" s="17"/>
      <c r="K104" t="s" s="17">
        <v>114</v>
      </c>
      <c r="L104" t="s" s="17">
        <v>1168</v>
      </c>
      <c r="M104" s="28"/>
      <c r="N104" t="s" s="36">
        <v>1169</v>
      </c>
      <c r="O104" s="18"/>
      <c r="P104" s="18"/>
      <c r="Q104" s="18"/>
      <c r="R104" t="s" s="18">
        <v>1170</v>
      </c>
      <c r="S104" s="17"/>
      <c r="T104" s="17"/>
      <c r="U104" s="18"/>
      <c r="V104" s="17"/>
      <c r="W104" t="s" s="17">
        <v>1171</v>
      </c>
      <c r="X104" t="s" s="35">
        <v>1172</v>
      </c>
      <c r="Y104" s="35"/>
      <c r="Z104" s="35"/>
      <c r="AA104" s="35"/>
      <c r="AB104" s="17"/>
      <c r="AC104" s="17"/>
      <c r="AD104" s="28"/>
      <c r="AE104" s="28"/>
      <c r="AF104" s="20">
        <v>10</v>
      </c>
      <c r="AG104" t="s" s="17">
        <v>51</v>
      </c>
      <c r="AH104" t="s" s="33">
        <v>1173</v>
      </c>
      <c r="AI104" t="s" s="18">
        <v>1174</v>
      </c>
      <c r="AJ104" t="s" s="21">
        <v>1175</v>
      </c>
      <c r="AK104" t="s" s="23">
        <v>1176</v>
      </c>
      <c r="AL104" t="s" s="17">
        <v>1177</v>
      </c>
    </row>
    <row r="105" ht="18.9" customHeight="1">
      <c r="B105" t="str" s="15" cm="1">
        <f t="array" ref="B105">G105&amp;"_"&amp;F105</f>
        <v>SLK_BRD_100x100</v>
      </c>
      <c r="C105" t="str" s="16" cm="1">
        <f t="array" ref="C105">$F105&amp;IF($G105="LED"," LED","")&amp;IF($V105="",""," ")&amp;$V105&amp;IF($L105="",""," ")&amp;$L105&amp;IF($W105="",""," ")&amp;$W105&amp;IF($X105="",""," ")&amp;$X105&amp;IF($Y105="",""," ")&amp;$Y105&amp;IF($AB105="",""," ")&amp;$AB105&amp;IF($AB105="","","mcd")</f>
        <v>BRD_100x100 Board Outline &amp; Milling</v>
      </c>
      <c r="D105" t="str" s="16" cm="1">
        <f t="array" ref="D105">$F105&amp;" "&amp;G105&amp;IF($V105="",""," ")&amp;$V105&amp;IF($L105="",""," ")&amp;$L105&amp;IF($W105="",""," ")&amp;$W105&amp;IF($X105="",""," ")&amp;$X105&amp;IF($Y105="",""," ")&amp;$Y105&amp;IF($AB105="",""," ")&amp;$AB105&amp;IF($AB105="","","mcd")</f>
        <v>BRD_100x100 SLK Board Outline &amp; Milling</v>
      </c>
      <c r="E105" t="str" s="15" cm="1">
        <f t="array" ref="E105">IF(ISBLANK(M105),"",HYPERLINK("https://jlcpcb.com/partdetail/"&amp;$M105,$M105))</f>
      </c>
      <c r="F105" t="str" s="15" cm="1">
        <f t="array" ref="F105">H105</f>
        <v>BRD_100x100</v>
      </c>
      <c r="G105" t="s" s="17">
        <v>1182</v>
      </c>
      <c r="H105" t="s" s="17">
        <v>1183</v>
      </c>
      <c r="I105" t="s" s="17">
        <v>8</v>
      </c>
      <c r="J105" s="19"/>
      <c r="K105" t="s" s="17">
        <v>387</v>
      </c>
      <c r="L105" t="s" s="17">
        <v>1184</v>
      </c>
      <c r="M105" s="19"/>
      <c r="N105" t="s" s="18">
        <v>1185</v>
      </c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9"/>
      <c r="AE105" s="19"/>
      <c r="AF105" s="29">
        <v>10</v>
      </c>
      <c r="AG105" s="19"/>
      <c r="AH105" s="26"/>
      <c r="AI105" s="19"/>
      <c r="AJ105" t="s" s="22">
        <v>1186</v>
      </c>
      <c r="AK105" t="s" s="23">
        <v>1187</v>
      </c>
      <c r="AL105" s="19"/>
    </row>
    <row r="106" ht="18.9" customHeight="1">
      <c r="B106" t="str" s="15" cm="1">
        <f t="array" ref="B106">G106&amp;"_"&amp;F106</f>
        <v>SLK_BRD_100x150</v>
      </c>
      <c r="C106" t="str" s="16" cm="1">
        <f t="array" ref="C106">$F106&amp;IF($G106="LED"," LED","")&amp;IF($V106="",""," ")&amp;$V106&amp;IF($L106="",""," ")&amp;$L106&amp;IF($W106="",""," ")&amp;$W106&amp;IF($X106="",""," ")&amp;$X106&amp;IF($Y106="",""," ")&amp;$Y106&amp;IF($AB106="",""," ")&amp;$AB106&amp;IF($AB106="","","mcd")</f>
        <v>BRD_100x150 Board Outline &amp; Milling</v>
      </c>
      <c r="D106" t="str" s="16" cm="1">
        <f t="array" ref="D106">$F106&amp;" "&amp;G106&amp;IF($V106="",""," ")&amp;$V106&amp;IF($L106="",""," ")&amp;$L106&amp;IF($W106="",""," ")&amp;$W106&amp;IF($X106="",""," ")&amp;$X106&amp;IF($Y106="",""," ")&amp;$Y106&amp;IF($AB106="",""," ")&amp;$AB106&amp;IF($AB106="","","mcd")</f>
        <v>BRD_100x150 SLK Board Outline &amp; Milling</v>
      </c>
      <c r="E106" t="str" s="15" cm="1">
        <f t="array" ref="E106">IF(ISBLANK(M106),"",HYPERLINK("https://jlcpcb.com/partdetail/"&amp;$M106,$M106))</f>
      </c>
      <c r="F106" t="str" s="15" cm="1">
        <f t="array" ref="F106">H106</f>
        <v>BRD_100x150</v>
      </c>
      <c r="G106" t="s" s="17">
        <v>1182</v>
      </c>
      <c r="H106" t="s" s="17">
        <v>1192</v>
      </c>
      <c r="I106" t="s" s="17">
        <v>8</v>
      </c>
      <c r="J106" s="19"/>
      <c r="K106" t="s" s="17">
        <v>387</v>
      </c>
      <c r="L106" t="s" s="17">
        <v>1184</v>
      </c>
      <c r="M106" s="19"/>
      <c r="N106" t="s" s="18">
        <v>1185</v>
      </c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9"/>
      <c r="AE106" s="19"/>
      <c r="AF106" s="29">
        <v>10</v>
      </c>
      <c r="AG106" s="19"/>
      <c r="AH106" s="26"/>
      <c r="AI106" s="19"/>
      <c r="AJ106" t="s" s="22">
        <v>1186</v>
      </c>
      <c r="AK106" t="s" s="23">
        <v>1193</v>
      </c>
      <c r="AL106" s="19"/>
    </row>
    <row r="107" ht="18.9" customHeight="1">
      <c r="B107" t="str" s="15" cm="1">
        <f t="array" ref="B107">G107&amp;"_"&amp;F107</f>
        <v>SLK_BRD_100x200</v>
      </c>
      <c r="C107" t="str" s="16" cm="1">
        <f t="array" ref="C107">$F107&amp;IF($G107="LED"," LED","")&amp;IF($V107="",""," ")&amp;$V107&amp;IF($L107="",""," ")&amp;$L107&amp;IF($W107="",""," ")&amp;$W107&amp;IF($X107="",""," ")&amp;$X107&amp;IF($Y107="",""," ")&amp;$Y107&amp;IF($AB107="",""," ")&amp;$AB107&amp;IF($AB107="","","mcd")</f>
        <v>BRD_100x200 Board Outline &amp; Milling</v>
      </c>
      <c r="D107" t="str" s="16" cm="1">
        <f t="array" ref="D107">$F107&amp;" "&amp;G107&amp;IF($V107="",""," ")&amp;$V107&amp;IF($L107="",""," ")&amp;$L107&amp;IF($W107="",""," ")&amp;$W107&amp;IF($X107="",""," ")&amp;$X107&amp;IF($Y107="",""," ")&amp;$Y107&amp;IF($AB107="",""," ")&amp;$AB107&amp;IF($AB107="","","mcd")</f>
        <v>BRD_100x200 SLK Board Outline &amp; Milling</v>
      </c>
      <c r="E107" t="str" s="15" cm="1">
        <f t="array" ref="E107">IF(ISBLANK(M107),"",HYPERLINK("https://jlcpcb.com/partdetail/"&amp;$M107,$M107))</f>
      </c>
      <c r="F107" t="str" s="15" cm="1">
        <f t="array" ref="F107">H107</f>
        <v>BRD_100x200</v>
      </c>
      <c r="G107" t="s" s="17">
        <v>1182</v>
      </c>
      <c r="H107" t="s" s="17">
        <v>1198</v>
      </c>
      <c r="I107" t="s" s="17">
        <v>8</v>
      </c>
      <c r="J107" s="19"/>
      <c r="K107" t="s" s="17">
        <v>387</v>
      </c>
      <c r="L107" t="s" s="17">
        <v>1184</v>
      </c>
      <c r="M107" s="19"/>
      <c r="N107" t="s" s="18">
        <v>1185</v>
      </c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9"/>
      <c r="AE107" s="19"/>
      <c r="AF107" s="29">
        <v>10</v>
      </c>
      <c r="AG107" s="19"/>
      <c r="AH107" s="26"/>
      <c r="AI107" s="19"/>
      <c r="AJ107" t="s" s="22">
        <v>1186</v>
      </c>
      <c r="AK107" t="s" s="23">
        <v>1199</v>
      </c>
      <c r="AL107" s="19"/>
    </row>
    <row r="108" ht="18.9" customHeight="1">
      <c r="B108" t="str" s="15" cm="1">
        <f t="array" ref="B108">G108&amp;"_"&amp;F108</f>
        <v>SLK_BRD_100x25x2</v>
      </c>
      <c r="C108" t="str" s="16" cm="1">
        <f t="array" ref="C108">$F108&amp;IF($G108="LED"," LED","")&amp;IF($V108="",""," ")&amp;$V108&amp;IF($L108="",""," ")&amp;$L108&amp;IF($W108="",""," ")&amp;$W108&amp;IF($X108="",""," ")&amp;$X108&amp;IF($Y108="",""," ")&amp;$Y108&amp;IF($AB108="",""," ")&amp;$AB108&amp;IF($AB108="","","mcd")</f>
        <v>BRD_100x25x2 Board Outline &amp; Milling</v>
      </c>
      <c r="D108" t="str" s="16" cm="1">
        <f t="array" ref="D108">$F108&amp;" "&amp;G108&amp;IF($V108="",""," ")&amp;$V108&amp;IF($L108="",""," ")&amp;$L108&amp;IF($W108="",""," ")&amp;$W108&amp;IF($X108="",""," ")&amp;$X108&amp;IF($Y108="",""," ")&amp;$Y108&amp;IF($AB108="",""," ")&amp;$AB108&amp;IF($AB108="","","mcd")</f>
        <v>BRD_100x25x2 SLK Board Outline &amp; Milling</v>
      </c>
      <c r="E108" t="str" s="15" cm="1">
        <f t="array" ref="E108">IF(ISBLANK(M108),"",HYPERLINK("https://jlcpcb.com/partdetail/"&amp;$M108,$M108))</f>
      </c>
      <c r="F108" t="str" s="15" cm="1">
        <f t="array" ref="F108">H108</f>
        <v>BRD_100x25x2</v>
      </c>
      <c r="G108" t="s" s="17">
        <v>1182</v>
      </c>
      <c r="H108" t="s" s="17">
        <v>1204</v>
      </c>
      <c r="I108" t="s" s="17">
        <v>8</v>
      </c>
      <c r="J108" s="19"/>
      <c r="K108" t="s" s="17">
        <v>387</v>
      </c>
      <c r="L108" t="s" s="17">
        <v>1184</v>
      </c>
      <c r="M108" s="19"/>
      <c r="N108" t="s" s="18">
        <v>1185</v>
      </c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9"/>
      <c r="AE108" s="19"/>
      <c r="AF108" s="29">
        <v>10</v>
      </c>
      <c r="AG108" t="s" s="17">
        <v>1205</v>
      </c>
      <c r="AH108" s="26"/>
      <c r="AI108" s="19"/>
      <c r="AJ108" t="s" s="22">
        <v>1186</v>
      </c>
      <c r="AK108" t="s" s="23">
        <v>1206</v>
      </c>
      <c r="AL108" s="19"/>
    </row>
    <row r="109" ht="18.9" customHeight="1">
      <c r="B109" t="str" s="15" cm="1">
        <f t="array" ref="B109">G109&amp;"_"&amp;F109</f>
        <v>SLK_BRD_100x50</v>
      </c>
      <c r="C109" t="str" s="16" cm="1">
        <f t="array" ref="C109">$F109&amp;IF($G109="LED"," LED","")&amp;IF($V109="",""," ")&amp;$V109&amp;IF($L109="",""," ")&amp;$L109&amp;IF($W109="",""," ")&amp;$W109&amp;IF($X109="",""," ")&amp;$X109&amp;IF($Y109="",""," ")&amp;$Y109&amp;IF($AB109="",""," ")&amp;$AB109&amp;IF($AB109="","","mcd")</f>
        <v>BRD_100x50 Board Outline &amp; Milling</v>
      </c>
      <c r="D109" t="str" s="16" cm="1">
        <f t="array" ref="D109">$F109&amp;" "&amp;G109&amp;IF($V109="",""," ")&amp;$V109&amp;IF($L109="",""," ")&amp;$L109&amp;IF($W109="",""," ")&amp;$W109&amp;IF($X109="",""," ")&amp;$X109&amp;IF($Y109="",""," ")&amp;$Y109&amp;IF($AB109="",""," ")&amp;$AB109&amp;IF($AB109="","","mcd")</f>
        <v>BRD_100x50 SLK Board Outline &amp; Milling</v>
      </c>
      <c r="E109" t="str" s="15" cm="1">
        <f t="array" ref="E109">IF(ISBLANK(M109),"",HYPERLINK("https://jlcpcb.com/partdetail/"&amp;$M109,$M109))</f>
      </c>
      <c r="F109" t="str" s="15" cm="1">
        <f t="array" ref="F109">H109</f>
        <v>BRD_100x50</v>
      </c>
      <c r="G109" t="s" s="17">
        <v>1182</v>
      </c>
      <c r="H109" t="s" s="17">
        <v>1211</v>
      </c>
      <c r="I109" t="s" s="17">
        <v>8</v>
      </c>
      <c r="J109" s="19"/>
      <c r="K109" t="s" s="17">
        <v>387</v>
      </c>
      <c r="L109" t="s" s="17">
        <v>1184</v>
      </c>
      <c r="M109" s="19"/>
      <c r="N109" t="s" s="18">
        <v>1185</v>
      </c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9"/>
      <c r="AE109" s="19"/>
      <c r="AF109" s="29">
        <v>10</v>
      </c>
      <c r="AG109" t="s" s="17">
        <v>1205</v>
      </c>
      <c r="AH109" s="26"/>
      <c r="AI109" s="19"/>
      <c r="AJ109" t="s" s="22">
        <v>1186</v>
      </c>
      <c r="AK109" t="s" s="23">
        <v>1212</v>
      </c>
      <c r="AL109" s="19"/>
    </row>
    <row r="110" ht="18.9" customHeight="1">
      <c r="B110" t="str" s="15" cm="1">
        <f t="array" ref="B110">G110&amp;"_"&amp;F110</f>
        <v>SLK_BRD_100x75</v>
      </c>
      <c r="C110" t="str" s="16" cm="1">
        <f t="array" ref="C110">$F110&amp;IF($G110="LED"," LED","")&amp;IF($V110="",""," ")&amp;$V110&amp;IF($L110="",""," ")&amp;$L110&amp;IF($W110="",""," ")&amp;$W110&amp;IF($X110="",""," ")&amp;$X110&amp;IF($Y110="",""," ")&amp;$Y110&amp;IF($AB110="",""," ")&amp;$AB110&amp;IF($AB110="","","mcd")</f>
        <v>BRD_100x75 Board Outline &amp; Milling</v>
      </c>
      <c r="D110" t="str" s="16" cm="1">
        <f t="array" ref="D110">$F110&amp;" "&amp;G110&amp;IF($V110="",""," ")&amp;$V110&amp;IF($L110="",""," ")&amp;$L110&amp;IF($W110="",""," ")&amp;$W110&amp;IF($X110="",""," ")&amp;$X110&amp;IF($Y110="",""," ")&amp;$Y110&amp;IF($AB110="",""," ")&amp;$AB110&amp;IF($AB110="","","mcd")</f>
        <v>BRD_100x75 SLK Board Outline &amp; Milling</v>
      </c>
      <c r="E110" t="str" s="15" cm="1">
        <f t="array" ref="E110">IF(ISBLANK(M110),"",HYPERLINK("https://jlcpcb.com/partdetail/"&amp;$M110,$M110))</f>
      </c>
      <c r="F110" t="str" s="15" cm="1">
        <f t="array" ref="F110">H110</f>
        <v>BRD_100x75</v>
      </c>
      <c r="G110" t="s" s="17">
        <v>1182</v>
      </c>
      <c r="H110" t="s" s="17">
        <v>1217</v>
      </c>
      <c r="I110" t="s" s="17">
        <v>8</v>
      </c>
      <c r="J110" s="19"/>
      <c r="K110" t="s" s="17">
        <v>387</v>
      </c>
      <c r="L110" t="s" s="17">
        <v>1184</v>
      </c>
      <c r="M110" s="19"/>
      <c r="N110" t="s" s="18">
        <v>1185</v>
      </c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9"/>
      <c r="AE110" s="19"/>
      <c r="AF110" s="29">
        <v>10</v>
      </c>
      <c r="AG110" s="19"/>
      <c r="AH110" s="26"/>
      <c r="AI110" s="19"/>
      <c r="AJ110" t="s" s="22">
        <v>1186</v>
      </c>
      <c r="AK110" t="s" s="23">
        <v>1218</v>
      </c>
      <c r="AL110" s="19"/>
    </row>
    <row r="111" ht="18.9" customHeight="1">
      <c r="B111" t="str" s="15" cm="1">
        <f t="array" ref="B111">G111&amp;"_"&amp;F111</f>
        <v>SLK_BRD_100x75</v>
      </c>
      <c r="C111" t="str" s="16" cm="1">
        <f t="array" ref="C111">$F111&amp;IF($G111="LED"," LED","")&amp;IF($V111="",""," ")&amp;$V111&amp;IF($L111="",""," ")&amp;$L111&amp;IF($W111="",""," ")&amp;$W111&amp;IF($X111="",""," ")&amp;$X111&amp;IF($Y111="",""," ")&amp;$Y111&amp;IF($AB111="",""," ")&amp;$AB111&amp;IF($AB111="","","mcd")</f>
        <v>BRD_100x75 Board Outline &amp; Milling</v>
      </c>
      <c r="D111" t="str" s="16" cm="1">
        <f t="array" ref="D111">$F111&amp;" "&amp;G111&amp;IF($V111="",""," ")&amp;$V111&amp;IF($L111="",""," ")&amp;$L111&amp;IF($W111="",""," ")&amp;$W111&amp;IF($X111="",""," ")&amp;$X111&amp;IF($Y111="",""," ")&amp;$Y111&amp;IF($AB111="",""," ")&amp;$AB111&amp;IF($AB111="","","mcd")</f>
        <v>BRD_100x75 SLK Board Outline &amp; Milling</v>
      </c>
      <c r="E111" t="str" s="15" cm="1">
        <f t="array" ref="E111">IF(ISBLANK(M111),"",HYPERLINK("https://jlcpcb.com/partdetail/"&amp;$M111,$M111))</f>
      </c>
      <c r="F111" t="str" s="15" cm="1">
        <f t="array" ref="F111">H111</f>
        <v>BRD_100x75</v>
      </c>
      <c r="G111" t="s" s="17">
        <v>1182</v>
      </c>
      <c r="H111" t="s" s="17">
        <v>1217</v>
      </c>
      <c r="I111" t="s" s="17">
        <v>8</v>
      </c>
      <c r="J111" s="19"/>
      <c r="K111" t="s" s="17">
        <v>387</v>
      </c>
      <c r="L111" t="s" s="17">
        <v>1184</v>
      </c>
      <c r="M111" s="19"/>
      <c r="N111" t="s" s="18">
        <v>1219</v>
      </c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9"/>
      <c r="AE111" s="19"/>
      <c r="AF111" s="29">
        <v>10</v>
      </c>
      <c r="AG111" s="19"/>
      <c r="AH111" s="26"/>
      <c r="AI111" s="19"/>
      <c r="AJ111" t="s" s="22">
        <v>1186</v>
      </c>
      <c r="AK111" t="s" s="23">
        <v>1220</v>
      </c>
      <c r="AL111" s="19"/>
    </row>
    <row r="112" ht="18.9" customHeight="1">
      <c r="B112" t="str" s="15" cm="1">
        <f t="array" ref="B112">G112&amp;"_"&amp;F112</f>
        <v>SLK_BRD_80x100</v>
      </c>
      <c r="C112" t="str" s="16" cm="1">
        <f t="array" ref="C112">$F112&amp;IF($G112="LED"," LED","")&amp;IF($V112="",""," ")&amp;$V112&amp;IF($L112="",""," ")&amp;$L112&amp;IF($W112="",""," ")&amp;$W112&amp;IF($X112="",""," ")&amp;$X112&amp;IF($Y112="",""," ")&amp;$Y112&amp;IF($AB112="",""," ")&amp;$AB112&amp;IF($AB112="","","mcd")</f>
        <v>BRD_80x100 Board Outline &amp; Milling</v>
      </c>
      <c r="D112" t="str" s="16" cm="1">
        <f t="array" ref="D112">B112&amp;" "&amp;$F112&amp;" "&amp;G112&amp;IF($V112="",""," ")&amp;$V112&amp;IF($L112="",""," ")&amp;$L112&amp;IF($W112="",""," ")&amp;$W112&amp;IF($X112="",""," ")&amp;$X112&amp;IF($Y112="",""," ")&amp;$Y112&amp;IF($AB112="",""," ")&amp;$AB112&amp;IF($AB112="","","mcd")</f>
        <v>SLK_BRD_80x100 BRD_80x100 SLK Board Outline &amp; Milling</v>
      </c>
      <c r="E112" t="str" s="15" cm="1">
        <f t="array" ref="E112">IF(ISBLANK(M112),"",HYPERLINK("https://jlcpcb.com/partdetail/"&amp;$M112,$M112))</f>
      </c>
      <c r="F112" t="str" s="15" cm="1">
        <f t="array" ref="F112">H112</f>
        <v>BRD_80x100</v>
      </c>
      <c r="G112" t="s" s="17">
        <v>1182</v>
      </c>
      <c r="H112" t="s" s="17">
        <v>1225</v>
      </c>
      <c r="I112" t="s" s="17">
        <v>8</v>
      </c>
      <c r="J112" s="19"/>
      <c r="K112" t="s" s="17">
        <v>387</v>
      </c>
      <c r="L112" t="s" s="17">
        <v>1184</v>
      </c>
      <c r="M112" s="19"/>
      <c r="N112" t="s" s="18">
        <v>1226</v>
      </c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9"/>
      <c r="AE112" s="19"/>
      <c r="AF112" s="29">
        <v>10</v>
      </c>
      <c r="AG112" t="s" s="17">
        <v>1205</v>
      </c>
      <c r="AH112" s="26"/>
      <c r="AI112" s="19"/>
      <c r="AJ112" t="s" s="22">
        <v>1186</v>
      </c>
      <c r="AK112" t="s" s="23">
        <v>1227</v>
      </c>
      <c r="AL112" s="19"/>
    </row>
    <row r="113" ht="18.9" customHeight="1">
      <c r="B113" t="str" s="15" cm="1">
        <f t="array" ref="B113">G113&amp;"_"&amp;F113</f>
        <v>SLK_CA65</v>
      </c>
      <c r="C113" t="str" s="16" cm="1">
        <f t="array" ref="C113">$F113&amp;IF($G113="LED"," LED","")&amp;IF($V113="",""," ")&amp;$V113&amp;IF($L113="",""," ")&amp;$L113&amp;IF($W113="",""," ")&amp;$W113&amp;IF($X113="",""," ")&amp;$X113&amp;IF($Y113="",""," ")&amp;$Y113&amp;IF($AB113="",""," ")&amp;$AB113&amp;IF($AB113="","","mcd")</f>
        <v>CA65 SilkScreen</v>
      </c>
      <c r="D113" t="str" s="16" cm="1">
        <f t="array" ref="D113">$F113&amp;" "&amp;G113&amp;IF($V113="",""," ")&amp;$V113&amp;IF($L113="",""," ")&amp;$L113&amp;IF($W113="",""," ")&amp;$W113&amp;IF($X113="",""," ")&amp;$X113&amp;IF($Y113="",""," ")&amp;$Y113&amp;IF($AB113="",""," ")&amp;$AB113&amp;IF($AB113="","","mcd")</f>
        <v>CA65 SLK SilkScreen</v>
      </c>
      <c r="E113" t="str" s="15" cm="1">
        <f t="array" ref="E113">IF(ISBLANK(M113),"",HYPERLINK("https://jlcpcb.com/partdetail/"&amp;$M113,$M113))</f>
      </c>
      <c r="F113" t="str" s="15" cm="1">
        <f t="array" ref="F113">H113</f>
        <v>CA65</v>
      </c>
      <c r="G113" t="s" s="17">
        <v>1182</v>
      </c>
      <c r="H113" t="s" s="17">
        <v>1232</v>
      </c>
      <c r="I113" t="s" s="17">
        <v>8</v>
      </c>
      <c r="J113" s="19"/>
      <c r="K113" t="s" s="17">
        <v>387</v>
      </c>
      <c r="L113" t="s" s="17">
        <v>1233</v>
      </c>
      <c r="M113" s="19"/>
      <c r="N113" t="s" s="18">
        <v>1234</v>
      </c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9"/>
      <c r="AE113" s="19"/>
      <c r="AF113" s="29">
        <v>10</v>
      </c>
      <c r="AG113" s="19"/>
      <c r="AH113" s="26"/>
      <c r="AI113" s="19"/>
      <c r="AJ113" t="s" s="22">
        <v>1235</v>
      </c>
      <c r="AK113" t="s" s="23">
        <v>1236</v>
      </c>
      <c r="AL113" s="19"/>
    </row>
    <row r="114" ht="18.9" customHeight="1">
      <c r="B114" t="str" s="15" cm="1">
        <f t="array" ref="B114">G114&amp;"_"&amp;F114</f>
        <v>SLK_CC-by-sa</v>
      </c>
      <c r="C114" t="str" s="16" cm="1">
        <f t="array" ref="C114">$F114&amp;IF($G114="LED"," LED","")&amp;IF($V114="",""," ")&amp;$V114&amp;IF($L114="",""," ")&amp;$L114&amp;IF($W114="",""," ")&amp;$W114&amp;IF($X114="",""," ")&amp;$X114&amp;IF($Y114="",""," ")&amp;$Y114&amp;IF($AB114="",""," ")&amp;$AB114&amp;IF($AB114="","","mcd")</f>
        <v>CC-by-sa SilkScreen</v>
      </c>
      <c r="D114" t="str" s="16" cm="1">
        <f t="array" ref="D114">$F114&amp;" "&amp;G114&amp;IF($V114="",""," ")&amp;$V114&amp;IF($L114="",""," ")&amp;$L114&amp;IF($W114="",""," ")&amp;$W114&amp;IF($X114="",""," ")&amp;$X114&amp;IF($Y114="",""," ")&amp;$Y114&amp;IF($AB114="",""," ")&amp;$AB114&amp;IF($AB114="","","mcd")</f>
        <v>CC-by-sa SLK SilkScreen</v>
      </c>
      <c r="E114" t="str" s="15" cm="1">
        <f t="array" ref="E114">IF(ISBLANK(M114),"",HYPERLINK("https://jlcpcb.com/partdetail/"&amp;$M114,$M114))</f>
      </c>
      <c r="F114" t="str" s="15" cm="1">
        <f t="array" ref="F114">H114</f>
        <v>CC-by-sa</v>
      </c>
      <c r="G114" t="s" s="17">
        <v>1182</v>
      </c>
      <c r="H114" t="s" s="17">
        <v>1241</v>
      </c>
      <c r="I114" t="s" s="17">
        <v>8</v>
      </c>
      <c r="J114" s="19"/>
      <c r="K114" t="s" s="17">
        <v>387</v>
      </c>
      <c r="L114" t="s" s="17">
        <v>1233</v>
      </c>
      <c r="M114" s="19"/>
      <c r="N114" t="s" s="18">
        <v>1242</v>
      </c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9"/>
      <c r="AE114" s="19"/>
      <c r="AF114" s="29">
        <v>10</v>
      </c>
      <c r="AG114" s="19"/>
      <c r="AH114" s="26"/>
      <c r="AI114" s="19"/>
      <c r="AJ114" t="s" s="22">
        <v>1243</v>
      </c>
      <c r="AK114" t="s" s="23">
        <v>1244</v>
      </c>
      <c r="AL114" s="19"/>
    </row>
    <row r="115" ht="18.9" customHeight="1">
      <c r="B115" t="str" s="15" cm="1">
        <f t="array" ref="B115">G115&amp;"_"&amp;F115</f>
        <v>SLK_DCPower-</v>
      </c>
      <c r="C115" t="str" s="16" cm="1">
        <f t="array" ref="C115">$F115&amp;IF($G115="LED"," LED","")&amp;IF($V115="",""," ")&amp;$V115&amp;IF($L115="",""," ")&amp;$L115&amp;IF($W115="",""," ")&amp;$W115&amp;IF($X115="",""," ")&amp;$X115&amp;IF($Y115="",""," ")&amp;$Y115&amp;IF($AB115="",""," ")&amp;$AB115&amp;IF($AB115="","","mcd")</f>
        <v>DCPower- SilkScreen</v>
      </c>
      <c r="D115" t="str" s="16" cm="1">
        <f t="array" ref="D115">$F115&amp;" "&amp;G115&amp;IF($V115="",""," ")&amp;$V115&amp;IF($L115="",""," ")&amp;$L115&amp;IF($W115="",""," ")&amp;$W115&amp;IF($X115="",""," ")&amp;$X115&amp;IF($Y115="",""," ")&amp;$Y115&amp;IF($AB115="",""," ")&amp;$AB115&amp;IF($AB115="","","mcd")</f>
        <v>DCPower- SLK SilkScreen</v>
      </c>
      <c r="E115" t="str" s="15" cm="1">
        <f t="array" ref="E115">IF(ISBLANK(M115),"",HYPERLINK("https://jlcpcb.com/partdetail/"&amp;$M115,$M115))</f>
      </c>
      <c r="F115" t="str" s="15" cm="1">
        <f t="array" ref="F115">H115</f>
        <v>DCPower-</v>
      </c>
      <c r="G115" t="s" s="17">
        <v>1182</v>
      </c>
      <c r="H115" t="s" s="17">
        <v>1249</v>
      </c>
      <c r="I115" t="s" s="17">
        <v>8</v>
      </c>
      <c r="J115" s="19"/>
      <c r="K115" t="s" s="17">
        <v>387</v>
      </c>
      <c r="L115" t="s" s="17">
        <v>1233</v>
      </c>
      <c r="M115" s="19"/>
      <c r="N115" t="s" s="18">
        <v>1250</v>
      </c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9"/>
      <c r="AE115" s="19"/>
      <c r="AF115" s="29">
        <v>10</v>
      </c>
      <c r="AG115" s="19"/>
      <c r="AH115" s="26"/>
      <c r="AI115" s="19"/>
      <c r="AJ115" t="s" s="22">
        <v>1251</v>
      </c>
      <c r="AK115" t="s" s="23">
        <v>1252</v>
      </c>
      <c r="AL115" s="19"/>
    </row>
    <row r="116" ht="18.9" customHeight="1">
      <c r="B116" t="str" s="15" cm="1">
        <f t="array" ref="B116">G116&amp;"_"&amp;F116</f>
        <v>SLK_DCPower+</v>
      </c>
      <c r="C116" t="str" s="16" cm="1">
        <f t="array" ref="C116">$F116&amp;IF($G116="LED"," LED","")&amp;IF($V116="",""," ")&amp;$V116&amp;IF($L116="",""," ")&amp;$L116&amp;IF($W116="",""," ")&amp;$W116&amp;IF($X116="",""," ")&amp;$X116&amp;IF($Y116="",""," ")&amp;$Y116&amp;IF($AB116="",""," ")&amp;$AB116&amp;IF($AB116="","","mcd")</f>
        <v>DCPower+ SilkScreen</v>
      </c>
      <c r="D116" t="str" s="16" cm="1">
        <f t="array" ref="D116">$F116&amp;" "&amp;G116&amp;IF($V116="",""," ")&amp;$V116&amp;IF($L116="",""," ")&amp;$L116&amp;IF($W116="",""," ")&amp;$W116&amp;IF($X116="",""," ")&amp;$X116&amp;IF($Y116="",""," ")&amp;$Y116&amp;IF($AB116="",""," ")&amp;$AB116&amp;IF($AB116="","","mcd")</f>
        <v>DCPower+ SLK SilkScreen</v>
      </c>
      <c r="E116" t="str" s="15" cm="1">
        <f t="array" ref="E116">IF(ISBLANK(M116),"",HYPERLINK("https://jlcpcb.com/partdetail/"&amp;$M116,$M116))</f>
      </c>
      <c r="F116" t="str" s="15" cm="1">
        <f t="array" ref="F116">H116</f>
        <v>DCPower+</v>
      </c>
      <c r="G116" t="s" s="17">
        <v>1182</v>
      </c>
      <c r="H116" t="s" s="17">
        <v>1257</v>
      </c>
      <c r="I116" t="s" s="17">
        <v>8</v>
      </c>
      <c r="J116" s="19"/>
      <c r="K116" t="s" s="17">
        <v>387</v>
      </c>
      <c r="L116" t="s" s="17">
        <v>1233</v>
      </c>
      <c r="M116" s="19"/>
      <c r="N116" t="s" s="18">
        <v>1250</v>
      </c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9"/>
      <c r="AE116" s="19"/>
      <c r="AF116" s="29">
        <v>10</v>
      </c>
      <c r="AG116" s="19"/>
      <c r="AH116" s="26"/>
      <c r="AI116" s="19"/>
      <c r="AJ116" t="s" s="22">
        <v>1258</v>
      </c>
      <c r="AK116" t="s" s="23">
        <v>1259</v>
      </c>
      <c r="AL116" s="19"/>
    </row>
    <row r="117" ht="18.9" customHeight="1">
      <c r="B117" t="str" s="15" cm="1">
        <f t="array" ref="B117">G117&amp;"_"&amp;F117</f>
        <v>SLK_Logo_MRCS</v>
      </c>
      <c r="C117" t="str" s="16" cm="1">
        <f t="array" ref="C117">$F117&amp;IF($G117="LED"," LED","")&amp;IF($V117="",""," ")&amp;$V117&amp;IF($L117="",""," ")&amp;$L117&amp;IF($W117="",""," ")&amp;$W117&amp;IF($X117="",""," ")&amp;$X117&amp;IF($Y117="",""," ")&amp;$Y117&amp;IF($AB117="",""," ")&amp;$AB117&amp;IF($AB117="","","mcd")</f>
        <v>Logo_MRCS SilkScreen</v>
      </c>
      <c r="D117" t="str" s="16" cm="1">
        <f t="array" ref="D117">$F117&amp;" "&amp;G117&amp;IF($V117="",""," ")&amp;$V117&amp;IF($L117="",""," ")&amp;$L117&amp;IF($W117="",""," ")&amp;$W117&amp;IF($X117="",""," ")&amp;$X117&amp;IF($Y117="",""," ")&amp;$Y117&amp;IF($AB117="",""," ")&amp;$AB117&amp;IF($AB117="","","mcd")</f>
        <v>Logo_MRCS SLK SilkScreen</v>
      </c>
      <c r="E117" t="str" s="15" cm="1">
        <f t="array" ref="E117">IF(ISBLANK(M117),"",HYPERLINK("https://jlcpcb.com/partdetail/"&amp;$M117,$M117))</f>
      </c>
      <c r="F117" t="str" s="15" cm="1">
        <f t="array" ref="F117">H117</f>
        <v>Logo_MRCS</v>
      </c>
      <c r="G117" t="s" s="17">
        <v>1182</v>
      </c>
      <c r="H117" t="s" s="17">
        <v>1264</v>
      </c>
      <c r="I117" t="s" s="17">
        <v>8</v>
      </c>
      <c r="J117" s="19"/>
      <c r="K117" t="s" s="17">
        <v>387</v>
      </c>
      <c r="L117" t="s" s="17">
        <v>1233</v>
      </c>
      <c r="M117" s="19"/>
      <c r="N117" t="s" s="18">
        <v>1265</v>
      </c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9"/>
      <c r="AE117" s="19"/>
      <c r="AF117" s="29">
        <v>10</v>
      </c>
      <c r="AG117" s="19"/>
      <c r="AH117" s="26"/>
      <c r="AI117" s="19"/>
      <c r="AJ117" t="s" s="22">
        <v>1266</v>
      </c>
      <c r="AK117" t="s" s="23">
        <v>1267</v>
      </c>
      <c r="AL117" s="19"/>
    </row>
    <row r="118" ht="18.9" customHeight="1">
      <c r="B118" t="str" s="15" cm="1">
        <f t="array" ref="B118">G118&amp;"_"&amp;F118</f>
        <v>SLK_Logo_SPCoast</v>
      </c>
      <c r="C118" t="str" s="16" cm="1">
        <f t="array" ref="C118">$F118&amp;IF($G118="LED"," LED","")&amp;IF($V118="",""," ")&amp;$V118&amp;IF($L118="",""," ")&amp;$L118&amp;IF($W118="",""," ")&amp;$W118&amp;IF($X118="",""," ")&amp;$X118&amp;IF($Y118="",""," ")&amp;$Y118&amp;IF($AB118="",""," ")&amp;$AB118&amp;IF($AB118="","","mcd")</f>
        <v>Logo_SPCoast SilkScreen</v>
      </c>
      <c r="D118" t="str" s="16" cm="1">
        <f t="array" ref="D118">$F118&amp;" "&amp;G118&amp;IF($V118="",""," ")&amp;$V118&amp;IF($L118="",""," ")&amp;$L118&amp;IF($W118="",""," ")&amp;$W118&amp;IF($X118="",""," ")&amp;$X118&amp;IF($Y118="",""," ")&amp;$Y118&amp;IF($AB118="",""," ")&amp;$AB118&amp;IF($AB118="","","mcd")</f>
        <v>Logo_SPCoast SLK SilkScreen</v>
      </c>
      <c r="E118" t="str" s="15" cm="1">
        <f t="array" ref="E118">IF(ISBLANK(M118),"",HYPERLINK("https://jlcpcb.com/partdetail/"&amp;$M118,$M118))</f>
      </c>
      <c r="F118" t="str" s="15" cm="1">
        <f t="array" ref="F118">H118</f>
        <v>Logo_SPCoast</v>
      </c>
      <c r="G118" t="s" s="17">
        <v>1182</v>
      </c>
      <c r="H118" t="s" s="17">
        <v>1272</v>
      </c>
      <c r="I118" t="s" s="17">
        <v>8</v>
      </c>
      <c r="J118" s="19"/>
      <c r="K118" t="s" s="17">
        <v>387</v>
      </c>
      <c r="L118" t="s" s="17">
        <v>1233</v>
      </c>
      <c r="M118" s="19"/>
      <c r="N118" t="s" s="18">
        <v>1273</v>
      </c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9"/>
      <c r="AE118" s="19"/>
      <c r="AF118" s="29">
        <v>10</v>
      </c>
      <c r="AG118" s="19"/>
      <c r="AH118" s="26"/>
      <c r="AI118" s="19"/>
      <c r="AJ118" t="s" s="22">
        <v>1274</v>
      </c>
      <c r="AK118" t="s" s="23">
        <v>1275</v>
      </c>
      <c r="AL118" s="19"/>
    </row>
    <row r="119" ht="18.9" customHeight="1">
      <c r="B119" t="str" s="15" cm="1">
        <f t="array" ref="B119">G119&amp;"_"&amp;F119</f>
        <v>SLK_Power_Draw</v>
      </c>
      <c r="C119" t="str" s="16" cm="1">
        <f t="array" ref="C119">$F119&amp;IF($G119="LED"," LED","")&amp;IF($V119="",""," ")&amp;$V119&amp;IF($L119="",""," ")&amp;$L119&amp;IF($W119="",""," ")&amp;$W119&amp;IF($X119="",""," ")&amp;$X119&amp;IF($Y119="",""," ")&amp;$Y119&amp;IF($AB119="",""," ")&amp;$AB119&amp;IF($AB119="","","mcd")</f>
        <v>Power_Draw SilkScreen</v>
      </c>
      <c r="D119" t="str" s="16" cm="1">
        <f t="array" ref="D119">$F119&amp;" "&amp;G119&amp;IF($V119="",""," ")&amp;$V119&amp;IF($L119="",""," ")&amp;$L119&amp;IF($W119="",""," ")&amp;$W119&amp;IF($X119="",""," ")&amp;$X119&amp;IF($Y119="",""," ")&amp;$Y119&amp;IF($AB119="",""," ")&amp;$AB119&amp;IF($AB119="","","mcd")</f>
        <v>Power_Draw SLK SilkScreen</v>
      </c>
      <c r="E119" t="str" s="15" cm="1">
        <f t="array" ref="E119">IF(ISBLANK(M119),"",HYPERLINK("https://jlcpcb.com/partdetail/"&amp;$M119,$M119))</f>
      </c>
      <c r="F119" t="str" s="15" cm="1">
        <f t="array" ref="F119">H119</f>
        <v>Power_Draw</v>
      </c>
      <c r="G119" t="s" s="17">
        <v>1182</v>
      </c>
      <c r="H119" t="s" s="17">
        <v>1280</v>
      </c>
      <c r="I119" t="s" s="17">
        <v>8</v>
      </c>
      <c r="J119" s="19"/>
      <c r="K119" t="s" s="17">
        <v>387</v>
      </c>
      <c r="L119" t="s" s="17">
        <v>1233</v>
      </c>
      <c r="M119" s="28"/>
      <c r="N119" t="s" s="18">
        <v>1281</v>
      </c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28"/>
      <c r="AE119" s="28"/>
      <c r="AF119" s="29">
        <v>10</v>
      </c>
      <c r="AG119" s="19"/>
      <c r="AH119" s="26"/>
      <c r="AI119" s="19"/>
      <c r="AJ119" t="s" s="22">
        <v>1282</v>
      </c>
      <c r="AK119" t="s" s="23">
        <v>1283</v>
      </c>
      <c r="AL119" s="19"/>
    </row>
    <row r="120" ht="18.9" customHeight="1">
      <c r="B120" t="str" s="15" cm="1">
        <f t="array" ref="B120">G120&amp;"_"&amp;F120</f>
        <v>SLK_Power_Provide</v>
      </c>
      <c r="C120" t="str" s="16" cm="1">
        <f t="array" ref="C120">$F120&amp;IF($G120="LED"," LED","")&amp;IF($V120="",""," ")&amp;$V120&amp;IF($L120="",""," ")&amp;$L120&amp;IF($W120="",""," ")&amp;$W120&amp;IF($X120="",""," ")&amp;$X120&amp;IF($Y120="",""," ")&amp;$Y120&amp;IF($AB120="",""," ")&amp;$AB120&amp;IF($AB120="","","mcd")</f>
        <v>Power_Provide SilkScreen</v>
      </c>
      <c r="D120" t="str" s="16" cm="1">
        <f t="array" ref="D120">$F120&amp;" "&amp;G120&amp;IF($V120="",""," ")&amp;$V120&amp;IF($L120="",""," ")&amp;$L120&amp;IF($W120="",""," ")&amp;$W120&amp;IF($X120="",""," ")&amp;$X120&amp;IF($Y120="",""," ")&amp;$Y120&amp;IF($AB120="",""," ")&amp;$AB120&amp;IF($AB120="","","mcd")</f>
        <v>Power_Provide SLK SilkScreen</v>
      </c>
      <c r="E120" t="str" s="15" cm="1">
        <f t="array" ref="E120">IF(ISBLANK(M120),"",HYPERLINK("https://jlcpcb.com/partdetail/"&amp;$M120,$M120))</f>
      </c>
      <c r="F120" t="str" s="15" cm="1">
        <f t="array" ref="F120">H120</f>
        <v>Power_Provide</v>
      </c>
      <c r="G120" t="s" s="17">
        <v>1182</v>
      </c>
      <c r="H120" t="s" s="17">
        <v>1288</v>
      </c>
      <c r="I120" t="s" s="17">
        <v>8</v>
      </c>
      <c r="J120" s="19"/>
      <c r="K120" t="s" s="17">
        <v>387</v>
      </c>
      <c r="L120" t="s" s="17">
        <v>1233</v>
      </c>
      <c r="M120" s="28"/>
      <c r="N120" t="s" s="18">
        <v>1289</v>
      </c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28"/>
      <c r="AE120" s="28"/>
      <c r="AF120" s="29">
        <v>10</v>
      </c>
      <c r="AG120" s="19"/>
      <c r="AH120" s="26"/>
      <c r="AI120" s="19"/>
      <c r="AJ120" t="s" s="22">
        <v>1290</v>
      </c>
      <c r="AK120" t="s" s="23">
        <v>1291</v>
      </c>
      <c r="AL120" s="19"/>
    </row>
    <row r="121" ht="18.9" customHeight="1">
      <c r="B121" t="str" s="15" cm="1">
        <f t="array" ref="B121">G121&amp;"_"&amp;F121</f>
        <v>SWI_6x6x6mm_PTH</v>
      </c>
      <c r="C121" t="str" s="16" cm="1">
        <f t="array" ref="C121">$F121&amp;IF($G121="LED"," LED","")&amp;IF($V121="",""," ")&amp;$V121&amp;IF($L121="",""," ")&amp;$L121&amp;IF($W121="",""," ")&amp;$W121&amp;IF($X121="",""," ")&amp;$X121&amp;IF($Y121="",""," ")&amp;$Y121&amp;IF($AB121="",""," ")&amp;$AB121&amp;IF($AB121="","","mcd")</f>
        <v>6x6x6mm_PTH SPSTx1 6mm Momentary</v>
      </c>
      <c r="D121" t="str" s="16" cm="1">
        <f t="array" ref="D121">$F121&amp;" "&amp;G121&amp;IF($V121="",""," ")&amp;$V121&amp;IF($L121="",""," ")&amp;$L121&amp;IF($W121="",""," ")&amp;$W121&amp;IF($X121="",""," ")&amp;$X121&amp;IF($Y121="",""," ")&amp;$Y121&amp;IF($AB121="",""," ")&amp;$AB121&amp;IF($AB121="","","mcd")</f>
        <v>6x6x6mm_PTH SWI SPSTx1 6mm Momentary</v>
      </c>
      <c r="E121" t="str" s="15" cm="1">
        <f t="array" ref="E121">IF(ISBLANK(M121),"",HYPERLINK("https://jlcpcb.com/partdetail/"&amp;$M121,$M121))</f>
        <v>C5340138</v>
      </c>
      <c r="F121" t="str" s="15" cm="1">
        <f t="array" ref="F121">H121</f>
        <v>6x6x6mm_PTH</v>
      </c>
      <c r="G121" t="s" s="17">
        <v>1297</v>
      </c>
      <c r="H121" t="s" s="18">
        <v>1296</v>
      </c>
      <c r="I121" s="28"/>
      <c r="J121" s="28"/>
      <c r="K121" t="s" s="18">
        <v>114</v>
      </c>
      <c r="L121" t="s" s="17">
        <v>1298</v>
      </c>
      <c r="M121" t="s" s="18">
        <v>1299</v>
      </c>
      <c r="N121" t="s" s="18">
        <v>1300</v>
      </c>
      <c r="O121" s="17"/>
      <c r="P121" s="17"/>
      <c r="Q121" s="17"/>
      <c r="R121" t="s" s="17">
        <v>1301</v>
      </c>
      <c r="S121" s="17"/>
      <c r="T121" t="s" s="17">
        <v>1302</v>
      </c>
      <c r="U121" s="17"/>
      <c r="V121" s="17"/>
      <c r="W121" s="17"/>
      <c r="X121" s="17"/>
      <c r="Y121" s="17"/>
      <c r="Z121" s="17"/>
      <c r="AA121" s="17"/>
      <c r="AB121" s="17"/>
      <c r="AC121" s="17"/>
      <c r="AD121" s="28"/>
      <c r="AE121" s="28"/>
      <c r="AF121" s="29">
        <v>10</v>
      </c>
      <c r="AG121" t="s" s="17">
        <v>51</v>
      </c>
      <c r="AH121" t="s" s="33">
        <v>1303</v>
      </c>
      <c r="AI121" t="s" s="18">
        <v>1304</v>
      </c>
      <c r="AJ121" t="s" s="22">
        <v>1305</v>
      </c>
      <c r="AK121" t="s" s="23">
        <v>1306</v>
      </c>
      <c r="AL121" t="s" s="17">
        <v>1307</v>
      </c>
    </row>
    <row r="122" ht="18.9" customHeight="1">
      <c r="B122" t="str" s="15" cm="1">
        <f t="array" ref="B122">G122&amp;"_"&amp;F122</f>
        <v>SWI_6x6x6mm_SMD</v>
      </c>
      <c r="C122" t="str" s="16" cm="1">
        <f t="array" ref="C122">$F122&amp;IF($G122="LED"," LED","")&amp;IF($V122="",""," ")&amp;$V122&amp;IF($L122="",""," ")&amp;$L122&amp;IF($W122="",""," ")&amp;$W122&amp;IF($X122="",""," ")&amp;$X122&amp;IF($Y122="",""," ")&amp;$Y122&amp;IF($AB122="",""," ")&amp;$AB122&amp;IF($AB122="","","mcd")</f>
        <v>6x6x6mm_SMD SPSTx1 6mm Momentary</v>
      </c>
      <c r="D122" t="str" s="16" cm="1">
        <f t="array" ref="D122">$F122&amp;" "&amp;G122&amp;IF($V122="",""," ")&amp;$V122&amp;IF($L122="",""," ")&amp;$L122&amp;IF($W122="",""," ")&amp;$W122&amp;IF($X122="",""," ")&amp;$X122&amp;IF($Y122="",""," ")&amp;$Y122&amp;IF($AB122="",""," ")&amp;$AB122&amp;IF($AB122="","","mcd")</f>
        <v>6x6x6mm_SMD SWI SPSTx1 6mm Momentary</v>
      </c>
      <c r="E122" t="str" s="15" cm="1">
        <f t="array" ref="E122">IF(ISBLANK(M122),"",HYPERLINK("https://jlcpcb.com/partdetail/"&amp;$M122,$M122))</f>
        <v>C5340123</v>
      </c>
      <c r="F122" t="str" s="15" cm="1">
        <f t="array" ref="F122">H122</f>
        <v>6x6x6mm_SMD</v>
      </c>
      <c r="G122" t="s" s="17">
        <v>1297</v>
      </c>
      <c r="H122" t="s" s="18">
        <v>1312</v>
      </c>
      <c r="I122" s="28"/>
      <c r="J122" s="28"/>
      <c r="K122" t="s" s="17">
        <v>10</v>
      </c>
      <c r="L122" t="s" s="17">
        <v>1298</v>
      </c>
      <c r="M122" t="s" s="18">
        <v>1313</v>
      </c>
      <c r="N122" t="s" s="18">
        <v>1314</v>
      </c>
      <c r="O122" s="17"/>
      <c r="P122" s="17"/>
      <c r="Q122" s="17"/>
      <c r="R122" t="s" s="17">
        <v>1301</v>
      </c>
      <c r="S122" s="17"/>
      <c r="T122" t="s" s="17">
        <v>1302</v>
      </c>
      <c r="U122" s="17"/>
      <c r="V122" s="17"/>
      <c r="W122" s="17"/>
      <c r="X122" s="17"/>
      <c r="Y122" s="17"/>
      <c r="Z122" s="17"/>
      <c r="AA122" s="17"/>
      <c r="AB122" s="17"/>
      <c r="AC122" s="17"/>
      <c r="AD122" s="28"/>
      <c r="AE122" s="28"/>
      <c r="AF122" s="29">
        <v>10</v>
      </c>
      <c r="AG122" t="s" s="17">
        <v>51</v>
      </c>
      <c r="AH122" t="s" s="33">
        <v>1303</v>
      </c>
      <c r="AI122" t="s" s="18">
        <v>1315</v>
      </c>
      <c r="AJ122" t="s" s="22">
        <v>1305</v>
      </c>
      <c r="AK122" t="s" s="23">
        <v>1316</v>
      </c>
      <c r="AL122" t="s" s="17">
        <v>1317</v>
      </c>
    </row>
    <row r="123" ht="18.9" customHeight="1">
      <c r="B123" t="str" s="52" cm="1">
        <f t="array" ref="B123">G123&amp;"_"&amp;F123</f>
        <v>SWI_EDG104S</v>
      </c>
      <c r="C123" t="str" s="53" cm="1">
        <f t="array" ref="C123">$F123&amp;IF($G123="LED"," LED","")&amp;IF($V123="",""," ")&amp;$V123&amp;IF($L123="",""," ")&amp;$L123&amp;IF($W123="",""," ")&amp;$W123&amp;IF($X123="",""," ")&amp;$X123&amp;IF($Y123="",""," ")&amp;$Y123&amp;IF($AB123="",""," ")&amp;$AB123&amp;IF($AB123="","","mcd")</f>
        <v>EDG104S SPSTx4 DIP</v>
      </c>
      <c r="D123" t="str" s="53" cm="1">
        <f t="array" ref="D123">$F123&amp;" "&amp;G123&amp;IF($V123="",""," ")&amp;$V123&amp;IF($L123="",""," ")&amp;$L123&amp;IF($W123="",""," ")&amp;$W123&amp;IF($X123="",""," ")&amp;$X123&amp;IF($Y123="",""," ")&amp;$Y123&amp;IF($AB123="",""," ")&amp;$AB123&amp;IF($AB123="","","mcd")</f>
        <v>EDG104S SWI SPSTx4 DIP</v>
      </c>
      <c r="E123" t="str" s="52" cm="1">
        <f t="array" ref="E123">IF(ISBLANK(M123),"",HYPERLINK("https://jlcpcb.com/partdetail/"&amp;$M123,$M123))</f>
        <v>C840579</v>
      </c>
      <c r="F123" t="str" s="52" cm="1">
        <f t="array" ref="F123">H123</f>
        <v>EDG104S</v>
      </c>
      <c r="G123" t="s" s="54">
        <v>1297</v>
      </c>
      <c r="H123" t="str" s="55" cm="1">
        <f t="array" ref="H123">AI123</f>
        <v>EDG104S</v>
      </c>
      <c r="I123" s="55"/>
      <c r="J123" s="55"/>
      <c r="K123" t="s" s="56">
        <v>114</v>
      </c>
      <c r="L123" t="s" s="54">
        <v>1323</v>
      </c>
      <c r="M123" t="s" s="56">
        <v>1324</v>
      </c>
      <c r="N123" t="s" s="56">
        <v>1325</v>
      </c>
      <c r="O123" s="54"/>
      <c r="P123" s="54"/>
      <c r="Q123" s="54"/>
      <c r="R123" t="s" s="54">
        <v>1326</v>
      </c>
      <c r="S123" t="s" s="54">
        <v>328</v>
      </c>
      <c r="T123" t="s" s="54">
        <v>1327</v>
      </c>
      <c r="U123" t="s" s="54">
        <v>1328</v>
      </c>
      <c r="V123" s="54"/>
      <c r="W123" s="54"/>
      <c r="X123" s="54"/>
      <c r="Y123" s="54"/>
      <c r="Z123" s="54"/>
      <c r="AA123" s="54"/>
      <c r="AB123" s="54"/>
      <c r="AC123" s="54"/>
      <c r="AD123" s="57"/>
      <c r="AE123" s="57"/>
      <c r="AF123" s="58">
        <v>10</v>
      </c>
      <c r="AG123" t="s" s="54">
        <v>51</v>
      </c>
      <c r="AH123" t="s" s="59">
        <v>1329</v>
      </c>
      <c r="AI123" t="s" s="54">
        <v>1330</v>
      </c>
      <c r="AJ123" t="s" s="60">
        <v>1331</v>
      </c>
      <c r="AK123" t="s" s="61">
        <v>1331</v>
      </c>
      <c r="AL123" t="s" s="54">
        <v>1332</v>
      </c>
    </row>
    <row r="124" ht="31" customHeight="1">
      <c r="B124" s="62"/>
      <c r="C124" s="63"/>
      <c r="D124" s="63"/>
      <c r="E124" s="63"/>
      <c r="F124" s="63"/>
      <c r="G124" s="63"/>
      <c r="H124" s="62"/>
      <c r="I124" s="62"/>
      <c r="J124" s="62"/>
      <c r="K124" s="63"/>
      <c r="L124" s="62"/>
      <c r="M124" s="63"/>
      <c r="N124" s="64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3"/>
      <c r="AE124" s="63"/>
      <c r="AF124" s="63"/>
      <c r="AG124" s="63"/>
      <c r="AH124" s="63"/>
      <c r="AI124" s="63"/>
      <c r="AJ124" s="63"/>
      <c r="AK124" s="63"/>
      <c r="AL124" s="63"/>
    </row>
  </sheetData>
  <mergeCells count="1">
    <mergeCell ref="B2:AL2"/>
  </mergeCells>
  <dataValidations count="2">
    <dataValidation type="list" allowBlank="1" showInputMessage="1" showErrorMessage="1" sqref="G3 G124">
      <formula1>",Category,SLK,CON,CAP,DIO,IC,LED,Q,RES"</formula1>
    </dataValidation>
    <dataValidation type="list" allowBlank="1" showInputMessage="1" showErrorMessage="1" sqref="G4:G47 G49 G51:G123">
      <formula1>",Category,SLK,CON,CAP,DIO,IC,LED,Q,RES,ANA,IND,MCU,REG,OSC,RLY,SWI"</formula1>
    </dataValidation>
  </dataValidations>
  <hyperlinks>
    <hyperlink ref="E4" r:id="rId1" location="" tooltip="" display="C100042"/>
    <hyperlink ref="AL4" r:id="rId2" location="" tooltip="" display="https://www.lcsc.com/datasheet/lcsc_datasheet_2304140030_YAGEO-CC0603KRX7R9BB103_C100042.pdf"/>
    <hyperlink ref="E5" r:id="rId3" location="" tooltip="" display="C1852832"/>
    <hyperlink ref="AL5" r:id="rId4" location="" tooltip="" display="https://wmsc.lcsc.com/wmsc/upload/file/pdf/v2/lcsc/2201271000_YAGEO-CC0603KPX7R8BB103_C1852832.pdf"/>
    <hyperlink ref="E6" r:id="rId5" location="" tooltip="" display="C3910010"/>
    <hyperlink ref="E7" r:id="rId6" location="" tooltip="" display="C14663"/>
    <hyperlink ref="AL7" r:id="rId7" location="" tooltip="" display="https://www.lcsc.com/datasheet/lcsc_datasheet_2211101700_YAGEO-CC0603KRX7R9BB104_C14663.pdf"/>
    <hyperlink ref="E8" r:id="rId8" location="" tooltip="" display="C3853265"/>
    <hyperlink ref="E9" r:id="rId9" location="" tooltip="" display="C970714"/>
    <hyperlink ref="AL9" r:id="rId10" location="" tooltip="" display="https://jlcpcb.com/api/file/downloadByFileSystemAccessId/8590911073887604736"/>
    <hyperlink ref="AE10" r:id="rId11" location="" tooltip="" display="https://www.mouser.com/ProductDetail/Nichicon/UVR0J102MPD1TD"/>
    <hyperlink ref="E11" r:id="rId12" location="" tooltip="" display="C13585"/>
    <hyperlink ref="AL11" r:id="rId13" location="" tooltip="" display="https://www.lcsc.com/datasheet/lcsc_datasheet_2304140030_Samsung-Electro-Mechanics-CL31A106KBHNNNE_C13585.pdf"/>
    <hyperlink ref="E12" r:id="rId14" location="" tooltip="" display="C15849"/>
    <hyperlink ref="AL12" r:id="rId15" location="" tooltip="" display="https://www.lcsc.com/datasheet/lcsc_datasheet_2304140030_Samsung-Electro-Mechanics-CL10A105KB8NNNC_C15849.pdf"/>
    <hyperlink ref="E13" r:id="rId16" location="" tooltip="" display="C2169859"/>
    <hyperlink ref="AL13" r:id="rId17" location="" tooltip="" display="https://wmsc.lcsc.com/wmsc/upload/file/pdf/v2/lcsc/2309051403_Taiyo-Yuden-GMK107BJ105KAHT_C2169859.pdf"/>
    <hyperlink ref="E14" r:id="rId18" location="" tooltip="" display="C136294"/>
    <hyperlink ref="AL14" r:id="rId19" location="" tooltip="" display="https://www.lcsc.com/datasheet/lcsc_datasheet_1808312007_Nichicon-UCD1V221MNL1GS_C136294.pdf"/>
    <hyperlink ref="E16" r:id="rId20" location="" tooltip="" display="C3029316"/>
    <hyperlink ref="E17" r:id="rId21" location="" tooltip="" display="C429966"/>
    <hyperlink ref="E18" r:id="rId22" location="" tooltip="" display="C42378069"/>
    <hyperlink ref="E20" r:id="rId23" location="" tooltip="" display="C2691448"/>
    <hyperlink ref="E21" r:id="rId24" location="" tooltip="" display="C18214184"/>
    <hyperlink ref="E22" r:id="rId25" location="" tooltip="" display="C3816889"/>
    <hyperlink ref="E24" r:id="rId26" location="" tooltip="" display="C42378071"/>
    <hyperlink ref="E25" r:id="rId27" location="" tooltip="" display="C3646874"/>
    <hyperlink ref="E27" r:id="rId28" location="" tooltip="" display="C27438"/>
    <hyperlink ref="E28" r:id="rId29" location="" tooltip="" display="C2905419"/>
    <hyperlink ref="E30" r:id="rId30" location="" tooltip="" display="C2325"/>
    <hyperlink ref="E33" r:id="rId31" location="" tooltip="" display="C3097718"/>
    <hyperlink ref="AL33" r:id="rId32" location="" tooltip="" display="https://cdn.amphenol-cs.com/media/wysiwyg/files/drawing/c-bmj-0082.pdf"/>
    <hyperlink ref="AL34" r:id="rId33" location="" tooltip="" display="https://www.wayconn.com/wp-content/uploads/datasheet/MJIC-660XXX-RJ11-RJ12-RJ25-PCB-Jack-without-Panel.pdf"/>
    <hyperlink ref="E35" r:id="rId34" location="" tooltip="" display="C7205130"/>
    <hyperlink ref="AL35" r:id="rId35" location="" tooltip="" display="https://www.lcsc.com/datasheet/C7205130.pdf?spm=wm.sxq.inf.ggs___wm.ssy.bg.20.cbh&amp;lcsc_vid=QVZeA1dfQFALX1AFTlJbVAcFR1ldAgAEQVILVlZfRwcxVlNRQ1hXUFBQQVNdUzsOAxUeFF5JWBYZEEoKFBINSQcJGk4eFQsCAgIaSgADAwAHC0slRVJcUkoOAwwC"/>
    <hyperlink ref="E41" r:id="rId36" location="" tooltip="" display="C353517"/>
    <hyperlink ref="AL41" r:id="rId37" location="" tooltip="" display="https://www.lcsc.com/datasheet/lcsc_datasheet_2304140030_Shandong-Jingdao-Microelectronics-BZT52C4V7S_C353517.pdf"/>
    <hyperlink ref="E42" r:id="rId38" location="" tooltip="" display="C5261070"/>
    <hyperlink ref="AL42" r:id="rId39" location="" tooltip="" display="https://wmsc.lcsc.com/wmsc/upload/file/pdf/v2/lcsc/2406051353_HXY-MOSFET-BAT54_C5261070.pdf"/>
    <hyperlink ref="E43" r:id="rId40" location="" tooltip="" display="C2926172"/>
    <hyperlink ref="AL43" r:id="rId41" location="" tooltip="" display="https://wmsc.lcsc.com/wmsc/upload/file/pdf/v2/lcsc/2112031830_FOSAN-BAT54A_C2926172.pdf"/>
    <hyperlink ref="E44" r:id="rId42" location="" tooltip="" display="C408388"/>
    <hyperlink ref="AL44" r:id="rId43" location="" tooltip="" display="https://www.lcsc.com/datasheet/lcsc_datasheet_2407101108_MDD-Microdiode-Semiconductor-BAT54C_C408388.pdf"/>
    <hyperlink ref="E45" r:id="rId44" location="" tooltip="" display="C2926174"/>
    <hyperlink ref="AL45" r:id="rId45" location="" tooltip="" display="https://wmsc.lcsc.com/wmsc/upload/file/pdf/v2/lcsc/2112031830_FOSAN-BAT54S_C2926174.pdf"/>
    <hyperlink ref="E46" r:id="rId46" location="" tooltip="" display="C2500"/>
    <hyperlink ref="E47" r:id="rId47" location="" tooltip="" display="C898949"/>
    <hyperlink ref="AL47" r:id="rId48" location="" tooltip="" display="https://jlcpcb.com/api/file/downloadByFileSystemAccessId/8588917274006720512"/>
    <hyperlink ref="E48" r:id="rId49" location="" tooltip="" display="C2683482"/>
    <hyperlink ref="AL48" r:id="rId50" location="" tooltip="" display="https://www.lcsc.com/datasheet/lcsc_datasheet_2403081523_IDCHIP-LM358D_C2683482.pdf"/>
    <hyperlink ref="E49" r:id="rId51" location="" tooltip="" display="C629440"/>
    <hyperlink ref="AL49" r:id="rId52" location="" tooltip="" display="https://wmsc.lcsc.com/wmsc/upload/file/pdf/v2/lcsc/2203221230_Microchip-Tech-MCP23017T-E-SO_C629440.pdf"/>
    <hyperlink ref="E50" r:id="rId53" location="" tooltip="" display="C695838"/>
    <hyperlink ref="E51" r:id="rId54" location="" tooltip="" display="C5145392"/>
    <hyperlink ref="AL51" r:id="rId55" location="" tooltip="" display="https://wmsc.lcsc.com/wmsc/upload/file/pdf/v2/lcsc/2209290930_HANSCHIP-semiconductor-NE556DRG_C5145392.pdf"/>
    <hyperlink ref="E52" r:id="rId56" location="" tooltip="" display="C2678753"/>
    <hyperlink ref="AL52" r:id="rId57" location="" tooltip="" display="https://www.lcsc.com/datasheet/lcsc_datasheet_2405281434_NXP-Semicon-PCA9685PW-118_C2678753.pdf"/>
    <hyperlink ref="E53" r:id="rId58" location="" tooltip="" display="C6555619"/>
    <hyperlink ref="AL53" r:id="rId59" location="" tooltip="" display="https://wmsc.lcsc.com/wmsc/upload/file/pdf/v2/lcsc/2312131723_Pulse-Elec-FIS121NL_C6555619.pdf"/>
    <hyperlink ref="E54" r:id="rId60" location="" tooltip="" display="C965807"/>
    <hyperlink ref="AL54" r:id="rId61" location="" tooltip="" display="https://wmsc.lcsc.com/wmsc/upload/file/pdf/v2/lcsc/2402181505_XINGLIGHT-XL-1608UBC-04_C965807.pdf"/>
    <hyperlink ref="E55" r:id="rId62" location="" tooltip="" display="C965804"/>
    <hyperlink ref="AL55" r:id="rId63" location="" tooltip="" display="https://wmsc.lcsc.com/wmsc/upload/file/pdf/v2/lcsc/2402181505_XINGLIGHT-XL-1608UGC-04_C965804.pdf"/>
    <hyperlink ref="E56" r:id="rId64" location="" tooltip="" display="C22371303"/>
    <hyperlink ref="AL56" r:id="rId65" location="" tooltip="" display="https://wmsc.lcsc.com/wmsc/upload/file/pdf/v2/lcsc/2403281522_HONGLITRONIC-Hongli-Zhihui--HONGLITRONIC-HL-PSC-1608S25OC-G4_C22371303.pdf"/>
    <hyperlink ref="E57" r:id="rId66" location="" tooltip="" display="C965800"/>
    <hyperlink ref="AL57" r:id="rId67" location="" tooltip="" display="https://wmsc.lcsc.com/wmsc/upload/file/pdf/v2/lcsc/2402181505_XINGLIGHT-XL-1608UOC-06_C965800.pdf"/>
    <hyperlink ref="E58" r:id="rId68" location="" tooltip="" display="C965801"/>
    <hyperlink ref="AL58" r:id="rId69" location="" tooltip="" display="https://wmsc.lcsc.com/wmsc/upload/file/pdf/v2/lcsc/2402181505_XINGLIGHT-XL-1608UOC-06_C965800.pdf"/>
    <hyperlink ref="E59" r:id="rId70" location="" tooltip="" display="C7288939"/>
    <hyperlink ref="AL59" r:id="rId71" location="" tooltip="" display="https://wmsc.lcsc.com/wmsc/upload/file/pdf/v2/lcsc/2404241146_Inolux-IN-S63ASR_C7288939.pdf"/>
    <hyperlink ref="E60" r:id="rId72" location="" tooltip="" display="C965798"/>
    <hyperlink ref="AL60" r:id="rId73" location="" tooltip="" display="https://wmsc.lcsc.com/wmsc/upload/file/pdf/v2/lcsc/2402181505_XINGLIGHT-XL-1608SURC-04_C965798.pdf"/>
    <hyperlink ref="E61" r:id="rId74" location="" tooltip="" display="C965799"/>
    <hyperlink ref="AL61" r:id="rId75" location="" tooltip="" display="https://wmsc.lcsc.com/wmsc/upload/file/pdf/v2/lcsc/2402181505_XINGLIGHT-XL-1608SURC-06_C965799.pdf"/>
    <hyperlink ref="E62" r:id="rId76" location="" tooltip="" display="C7371898"/>
    <hyperlink ref="AL62" r:id="rId77" location="" tooltip="" display="https://wmsc.lcsc.com/wmsc/upload/file/pdf/v2/lcsc/2402181501_XINGLIGHT-XL-1608UVC-04_C7371898.pdf"/>
    <hyperlink ref="E63" r:id="rId78" location="" tooltip="" display="C965808"/>
    <hyperlink ref="AL63" r:id="rId79" location="" tooltip="" display="https://wmsc.lcsc.com/wmsc/upload/file/pdf/v2/lcsc/2402181505_XINGLIGHT-XL-1608UWC-04_C965808.pdf"/>
    <hyperlink ref="E64" r:id="rId80" location="" tooltip="" display="C2843785"/>
    <hyperlink ref="AL64" r:id="rId81" location="" tooltip="" display="https://www.lcsc.com/datasheet/lcsc_datasheet_2404120946_XINGLIGHT-XL-5050RGBC-WS2812B_C2843785.pdf"/>
    <hyperlink ref="E65" r:id="rId82" location="" tooltip="" display="C965803"/>
    <hyperlink ref="AL65" r:id="rId83" location="" tooltip="" display="https://wmsc.lcsc.com/wmsc/upload/file/pdf/v2/lcsc/2402181505_XINGLIGHT-XL-1608UOC-04_C965801.pdf"/>
    <hyperlink ref="E66" r:id="rId84" location="" tooltip="" display="C965806"/>
    <hyperlink ref="AL66" r:id="rId85" location="" tooltip="" display="https://wmsc.lcsc.com/wmsc/upload/file/pdf/v2/lcsc/2402181505_XINGLIGHT-XL-1608SYGC-04_C965806.pdf"/>
    <hyperlink ref="AL67" r:id="rId86" location="" tooltip="" display="https://mischianti.org/wp-content/uploads/2020/11/ESP32-DOIT-DEV-KIT-v1-pinout-mischianti.png"/>
    <hyperlink ref="AL68" r:id="rId87" location="" tooltip="" display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/>
    <hyperlink ref="E69" r:id="rId88" location="" tooltip="" display="C7499856"/>
    <hyperlink ref="AL69" r:id="rId89" location="" tooltip="" display="https://wmsc.lcsc.com/wmsc/upload/file/pdf/v2/lcsc/2310251707_HL-2301V_C7499856.pdf"/>
    <hyperlink ref="E70" r:id="rId90" location="" tooltip="" display="C5224215"/>
    <hyperlink ref="AL70" r:id="rId91" location="" tooltip="" display="https://wmsc.lcsc.com/wmsc/upload/file/pdf/v2/lcsc/2210271630_ElecSuper-2N7002_C5224215.pdf"/>
    <hyperlink ref="E71" r:id="rId92" location="" tooltip="" display="C5184433"/>
    <hyperlink ref="AL71" r:id="rId93" location="" tooltip="" display="https://wmsc.lcsc.com/wmsc/upload/file/pdf/v2/lcsc/2303091430_HXY-MOSFET-BC807-40_C5184433.pdf"/>
    <hyperlink ref="E72" r:id="rId94" location="" tooltip="" display="C5224269"/>
    <hyperlink ref="AL72" r:id="rId95" location="" tooltip="" display="https://wmsc.lcsc.com/wmsc/upload/file/pdf/v2/lcsc/2301091730_ElecSuper-BSS138P_C5224269.pdf"/>
    <hyperlink ref="E73" r:id="rId96" location="" tooltip="" display="C878901"/>
    <hyperlink ref="AL73" r:id="rId97" location="" tooltip="" display="https://www.diodes.com/assets/Datasheets/ds31773.pdf"/>
    <hyperlink ref="E75" r:id="rId98" location="" tooltip="" display="C5184404"/>
    <hyperlink ref="AL75" r:id="rId99" location="" tooltip="" display="https://wmsc.lcsc.com/wmsc/upload/file/pdf/v2/lcsc/2407151447_HXY-MOSFET-MMBT3904_C5184404.pdf"/>
    <hyperlink ref="E77" r:id="rId100" location="" tooltip="" display="C347278"/>
    <hyperlink ref="AL77" r:id="rId101" location="" tooltip="" display="https://www.lcsc.com/datasheet/C347278.pdf?spm=wm.sxq.inf.ggs&amp;lcsc_vid=TlhaVVxSFQRdBQZVQVQPVAdWFABYBlFeRFMKUQcARlMxVlNRQ1hWVlFTTllbUDsOAxUeFF5JWBYZEEoKFBINSQcJGk4dAgUUFAk="/>
    <hyperlink ref="E78" r:id="rId102" location="" tooltip="" display="C5345982"/>
    <hyperlink ref="AL78" r:id="rId103" location="" tooltip="" display="https://wmsc.lcsc.com/wmsc/upload/file/pdf/v2/lcsc/2301120930_HXY-MOSFET-AMS1117-3-3_C5345982.pdf"/>
    <hyperlink ref="E79" r:id="rId104" location="" tooltip="" display="C5345984"/>
    <hyperlink ref="AL79" r:id="rId105" location="" tooltip="" display="https://wmsc.lcsc.com/wmsc/upload/file/pdf/v2/lcsc/2301120930_HXY-MOSFET-AMS1117-5-0_C5345984.pdf"/>
    <hyperlink ref="E80" r:id="rId106" location="" tooltip="" display="C5345985"/>
    <hyperlink ref="AL80" r:id="rId107" location="" tooltip="" display="https://wmsc.lcsc.com/wmsc/upload/file/pdf/v2/lcsc/2301120930_HXY-MOSFET-AMS1117-ADJ_C5345985.pdf"/>
    <hyperlink ref="E81" r:id="rId108" location="" tooltip="" display="C15458"/>
    <hyperlink ref="AL81" r:id="rId109" location="" tooltip="" display="https://www.lcsc.com/datasheet/lcsc_datasheet_2206010216_UNI-ROYAL-Uniroyal-Elec-0603WAJ0104T5E_C15458.pdf"/>
    <hyperlink ref="E82" r:id="rId110" location="" tooltip="" display="C15401"/>
    <hyperlink ref="AL82" r:id="rId111" location="" tooltip="" display="https://www.lcsc.com/datasheet/lcsc_datasheet_2206010216_UNI-ROYAL-Uniroyal-Elec-0603WAJ0103T5E_C15401.pdf"/>
    <hyperlink ref="E83" r:id="rId112" location="" tooltip="" display="C2930027"/>
    <hyperlink ref="AL83" r:id="rId113" location="" tooltip="" display="https://wmsc.lcsc.com/wmsc/upload/file/pdf/v2/lcsc/2308241009_FOJAN-FRC0603J103TS_C2930027.pdf"/>
    <hyperlink ref="E84" r:id="rId114" location="" tooltip="" display="C4118381"/>
    <hyperlink ref="AL84" r:id="rId115" location="" tooltip="" display="https://wmsc.lcsc.com/wmsc/upload/file/pdf/v2/lcsc/2404101024_YAGEO-RC0603JR-1310KL_C4118381.pdf"/>
    <hyperlink ref="E85" r:id="rId116" location="" tooltip="" display="C25577"/>
    <hyperlink ref="AL85" r:id="rId117" location="" tooltip="" display="https://www.lcsc.com/datasheet/lcsc_datasheet_2205311900_UNI-ROYAL-Uniroyal-Elec-0603WAJ0123T5E_C25577.pdf"/>
    <hyperlink ref="E86" r:id="rId118" location="" tooltip="" display="C25585"/>
    <hyperlink ref="AL86" r:id="rId119" location="" tooltip="" display="https://www.lcsc.com/datasheet/lcsc_datasheet_2206010100_UNI-ROYAL-Uniroyal-Elec-0603WAJ0102T5E_C25585.pdf"/>
    <hyperlink ref="E87" r:id="rId120" location="" tooltip="" display="C22935"/>
    <hyperlink ref="AL87" r:id="rId121" location="" tooltip="" display="https://www.lcsc.com/datasheet/lcsc_datasheet_2206010130_UNI-ROYAL-Uniroyal-Elec-0603WAF1004T5E_C22935.pdf"/>
    <hyperlink ref="E88" r:id="rId122" location="" tooltip="" display="C26098"/>
    <hyperlink ref="AL88" r:id="rId123" location="" tooltip="" display="https://www.lcsc.com/datasheet/lcsc_datasheet_2206010030_UNI-ROYAL-Uniroyal-Elec-0603WAJ0105T5E_C26098.pdf"/>
    <hyperlink ref="E89" r:id="rId124" location="" tooltip="" display="C25992"/>
    <hyperlink ref="AL89" r:id="rId125" location="" tooltip="" display="https://www.lcsc.com/datasheet/lcsc_datasheet_2206010045_UNI-ROYAL-Uniroyal-Elec-0603WAJ0222T5E_C25992.pdf"/>
    <hyperlink ref="E90" r:id="rId126" location="" tooltip="" display="C18679"/>
    <hyperlink ref="AL90" r:id="rId127" location="" tooltip="" display="https://www.lcsc.com/datasheet/lcsc_datasheet_2206010145_UNI-ROYAL-Uniroyal-Elec-0603WAJ0225T5E_C18679.pdf"/>
    <hyperlink ref="E91" r:id="rId128" location="" tooltip="" display="C18679"/>
    <hyperlink ref="AL91" r:id="rId129" location="" tooltip="" display="https://www.lcsc.com/datasheet/lcsc_datasheet_2206010145_UNI-ROYAL-Uniroyal-Elec-0603WAJ0225T5E_C18679.pdf"/>
    <hyperlink ref="E92" r:id="rId130" location="" tooltip="" display="C403986"/>
    <hyperlink ref="AL92" r:id="rId131" location="" tooltip="" display="https://wmsc.lcsc.com/wmsc/upload/file/pdf/v2/lcsc/2304140030_FH--Guangdong-Fenghua-Advanced-Tech-RS-03L225JJT_C403986.pdf"/>
    <hyperlink ref="E93" r:id="rId132" location="" tooltip="" display="C2907123"/>
    <hyperlink ref="AL93" r:id="rId133" location="" tooltip="" display="https://wmsc.lcsc.com/wmsc/upload/file/pdf/v2/lcsc/2308241947_FOJAN-FRC0603J201-TS_C2907123.pdf"/>
    <hyperlink ref="E94" r:id="rId134" location="" tooltip="" display="C1226"/>
    <hyperlink ref="AL94" r:id="rId135" location="" tooltip="" display="https://www.lcsc.com/datasheet/lcsc_datasheet_2206010230_UNI-ROYAL-Uniroyal-Elec-0603WAJ0221T5E_C1226.pdf"/>
    <hyperlink ref="E95" r:id="rId136" location="" tooltip="" display="C5842375"/>
    <hyperlink ref="AL95" r:id="rId137" location="" tooltip="" display="https://wmsc.lcsc.com/wmsc/upload/file/pdf/v2/lcsc/2312030915_YAGEO-RC0603FR-13220RL_C5842375.pdf"/>
    <hyperlink ref="E96" r:id="rId138" location="" tooltip="" display="C23344"/>
    <hyperlink ref="AL96" r:id="rId139" location="" tooltip="" display="https://www.lcsc.com/datasheet/lcsc_datasheet_2206010100_UNI-ROYAL-Uniroyal-Elec-0603WAJ0223T5E_C23344.pdf"/>
    <hyperlink ref="E97" r:id="rId140" location="" tooltip="" display="C25995"/>
    <hyperlink ref="AL97" r:id="rId141" location="" tooltip="" display="https://www.lcsc.com/datasheet/lcsc_datasheet_2206010045_UNI-ROYAL-Uniroyal-Elec-0603WAJ0332T5E_C25995.pdf"/>
    <hyperlink ref="E98" r:id="rId142" location="" tooltip="" display="C2907023"/>
    <hyperlink ref="AL98" r:id="rId143" location="" tooltip="" display="https://wmsc.lcsc.com/wmsc/upload/file/pdf/v2/lcsc/2308241947_FOJAN-FRC0603F3301TS_C2907023.pdf"/>
    <hyperlink ref="E99" r:id="rId144" location="" tooltip="" display="C25231"/>
    <hyperlink ref="AL99" r:id="rId145" location="" tooltip="" display="https://www.lcsc.com/datasheet/lcsc_datasheet_2205311845_UNI-ROYAL-Uniroyal-Elec-0603WAJ0331T5E_C25231.pdf"/>
    <hyperlink ref="E100" r:id="rId146" location="" tooltip="" display="C25999"/>
    <hyperlink ref="AL100" r:id="rId147" location="" tooltip="" display="https://www.lcsc.com/datasheet/lcsc_datasheet_2206010045_UNI-ROYAL-Uniroyal-Elec-0603WAJ0472T5E_C25999.pdf"/>
    <hyperlink ref="E101" r:id="rId148" location="" tooltip="" display="C25241"/>
    <hyperlink ref="AL101" r:id="rId149" location="" tooltip="" display="https://www.lcsc.com/datasheet/lcsc_datasheet_2205311845_UNI-ROYAL-Uniroyal-Elec-0603WAJ0471T5E_C25241.pdf"/>
    <hyperlink ref="E102" r:id="rId150" location="" tooltip="" display="C26001"/>
    <hyperlink ref="AL102" r:id="rId151" location="" tooltip="" display="https://www.lcsc.com/datasheet/lcsc_datasheet_2206010045_UNI-ROYAL-Uniroyal-Elec-0603WAJ0562T5E_C26001.pdf"/>
    <hyperlink ref="E103" r:id="rId152" location="" tooltip="" display="C1525253"/>
    <hyperlink ref="AL103" r:id="rId153" location="" tooltip="" display="https://jlcpcb.com/api/file/downloadByFileSystemAccessId/8589033743424368640"/>
    <hyperlink ref="AL104" r:id="rId154" location="" tooltip="" display="https://omronfs.omron.com/en_US/ecb/products/pdf/en-g2rl.pdf"/>
    <hyperlink ref="E121" r:id="rId155" location="" tooltip="" display="C5340138"/>
    <hyperlink ref="AL121" r:id="rId156" location="" tooltip="" display="https://wmsc.lcsc.com/wmsc/upload/file/pdf/v2/lcsc/2212291730_hanxia-HX-TS666CJ-250gf-009_C5340138.pdf"/>
    <hyperlink ref="E122" r:id="rId157" location="" tooltip="" display="C5340123"/>
    <hyperlink ref="AL122" r:id="rId158" location="" tooltip="" display="https://wmsc.lcsc.com/wmsc/upload/file/pdf/v2/lcsc/2212271430_hanxia-HX-TS666TP-250gf-009_C5340123.pdf"/>
    <hyperlink ref="E123" r:id="rId159" location="" tooltip="" display="C840579"/>
    <hyperlink ref="AL123" r:id="rId160" location="" tooltip="" display="https://wmsc.lcsc.com/wmsc/upload/file/pdf/v2/lcsc/2311231642_ECE-EDG104S33_C840579.pdf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