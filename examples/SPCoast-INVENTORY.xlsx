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<sst xmlns="http://schemas.openxmlformats.org/spreadsheetml/2006/main" uniqueCount="1004">
  <si>
    <t>SPCoast Part Inventory</t>
  </si>
  <si>
    <t>IPN</t>
  </si>
  <si>
    <t>Name</t>
  </si>
  <si>
    <t>Keywords</t>
  </si>
  <si>
    <t>Category</t>
  </si>
  <si>
    <t>SMD</t>
  </si>
  <si>
    <t>Value</t>
  </si>
  <si>
    <t>Type</t>
  </si>
  <si>
    <t>Description</t>
  </si>
  <si>
    <t>Package</t>
  </si>
  <si>
    <t>Form</t>
  </si>
  <si>
    <t>Pins</t>
  </si>
  <si>
    <t>Pitch</t>
  </si>
  <si>
    <t>Tolerance</t>
  </si>
  <si>
    <t>V</t>
  </si>
  <si>
    <t>A</t>
  </si>
  <si>
    <t>W</t>
  </si>
  <si>
    <t>Angle</t>
  </si>
  <si>
    <t>Wavelength</t>
  </si>
  <si>
    <t>mcd</t>
  </si>
  <si>
    <t>Frequency</t>
  </si>
  <si>
    <t>Mouser</t>
  </si>
  <si>
    <t>Mouser Link</t>
  </si>
  <si>
    <t>LCSC</t>
  </si>
  <si>
    <t>LCSC Link</t>
  </si>
  <si>
    <t>Priority</t>
  </si>
  <si>
    <t>Status</t>
  </si>
  <si>
    <t>Manufacturer</t>
  </si>
  <si>
    <t>MPN</t>
  </si>
  <si>
    <t>Symbol</t>
  </si>
  <si>
    <t>Footprint</t>
  </si>
  <si>
    <t>Datasheet</t>
  </si>
  <si>
    <r>
      <rPr>
        <sz val="10"/>
        <color indexed="8"/>
        <rFont val="Arial"/>
      </rPr>
      <t>SLK_BRD_80x100</t>
    </r>
  </si>
  <si>
    <r>
      <rPr>
        <sz val="10"/>
        <color indexed="8"/>
        <rFont val="Arial"/>
      </rPr>
      <t>BRD_80x100 Board Outline &amp; Milling</t>
    </r>
  </si>
  <si>
    <r>
      <rPr>
        <sz val="10"/>
        <color indexed="8"/>
        <rFont val="Arial"/>
      </rPr>
      <t>SLK_BRD_80x100 BRD_80x100 SLK Board Outline &amp; Milling</t>
    </r>
  </si>
  <si>
    <t>SLK</t>
  </si>
  <si>
    <t>Other</t>
  </si>
  <si>
    <t>BRD_80x100</t>
  </si>
  <si>
    <t>Board Outline &amp; Milling</t>
  </si>
  <si>
    <t>PCB Board outline with mounting holes - fits Tyco 3 mounting rail</t>
  </si>
  <si>
    <t>Passive</t>
  </si>
  <si>
    <t>SPCoast:Board</t>
  </si>
  <si>
    <t>SPCoast:Board_080x100</t>
  </si>
  <si>
    <r>
      <rPr>
        <sz val="10"/>
        <color indexed="8"/>
        <rFont val="Arial"/>
      </rPr>
      <t>SLK_BRD_100x50</t>
    </r>
  </si>
  <si>
    <r>
      <rPr>
        <sz val="10"/>
        <color indexed="8"/>
        <rFont val="Arial"/>
      </rPr>
      <t>BRD_100x50 Board Outline &amp; Milling</t>
    </r>
  </si>
  <si>
    <r>
      <rPr>
        <sz val="10"/>
        <color indexed="8"/>
        <rFont val="Arial"/>
      </rPr>
      <t>BRD_100x50 SLK Board Outline &amp; Milling</t>
    </r>
  </si>
  <si>
    <t>BRD_100x50</t>
  </si>
  <si>
    <t>PCB Board outline with mounting holes</t>
  </si>
  <si>
    <t>SPCoast:Board_100x050</t>
  </si>
  <si>
    <r>
      <rPr>
        <sz val="10"/>
        <color indexed="8"/>
        <rFont val="Arial"/>
      </rPr>
      <t>SLK_BRD_100x25x2</t>
    </r>
  </si>
  <si>
    <r>
      <rPr>
        <sz val="10"/>
        <color indexed="8"/>
        <rFont val="Arial"/>
      </rPr>
      <t>BRD_100x25x2 Board Outline &amp; Milling</t>
    </r>
  </si>
  <si>
    <r>
      <rPr>
        <sz val="10"/>
        <color indexed="8"/>
        <rFont val="Arial"/>
      </rPr>
      <t>BRD_100x25x2 SLK Board Outline &amp; Milling</t>
    </r>
  </si>
  <si>
    <t>BRD_100x25x2</t>
  </si>
  <si>
    <t>SPCoast:Board_100x050_2</t>
  </si>
  <si>
    <r>
      <rPr>
        <sz val="10"/>
        <color indexed="8"/>
        <rFont val="Arial"/>
      </rPr>
      <t>SLK_BRD_100x75</t>
    </r>
  </si>
  <si>
    <r>
      <rPr>
        <sz val="10"/>
        <color indexed="8"/>
        <rFont val="Arial"/>
      </rPr>
      <t>BRD_100x75 Board Outline &amp; Milling</t>
    </r>
  </si>
  <si>
    <r>
      <rPr>
        <sz val="10"/>
        <color indexed="8"/>
        <rFont val="Arial"/>
      </rPr>
      <t>BRD_100x75 SLK Board Outline &amp; Milling</t>
    </r>
  </si>
  <si>
    <t>BRD_100x75</t>
  </si>
  <si>
    <t>SPCoast:Board_100x075</t>
  </si>
  <si>
    <t>PCB Board outline with mounting holes  large radius corners</t>
  </si>
  <si>
    <t>SPCoast:Board_100x075_Rounded</t>
  </si>
  <si>
    <r>
      <rPr>
        <sz val="10"/>
        <color indexed="8"/>
        <rFont val="Arial"/>
      </rPr>
      <t>SLK_BRD_100x100</t>
    </r>
  </si>
  <si>
    <r>
      <rPr>
        <sz val="10"/>
        <color indexed="8"/>
        <rFont val="Arial"/>
      </rPr>
      <t>BRD_100x100 Board Outline &amp; Milling</t>
    </r>
  </si>
  <si>
    <r>
      <rPr>
        <sz val="10"/>
        <color indexed="8"/>
        <rFont val="Arial"/>
      </rPr>
      <t>BRD_100x100 SLK Board Outline &amp; Milling</t>
    </r>
  </si>
  <si>
    <t>BRD_100x100</t>
  </si>
  <si>
    <t>SPCoast:Board_100x100</t>
  </si>
  <si>
    <r>
      <rPr>
        <sz val="10"/>
        <color indexed="8"/>
        <rFont val="Arial"/>
      </rPr>
      <t>SLK_BRD_100x150</t>
    </r>
  </si>
  <si>
    <r>
      <rPr>
        <sz val="10"/>
        <color indexed="8"/>
        <rFont val="Arial"/>
      </rPr>
      <t>BRD_100x150 Board Outline &amp; Milling</t>
    </r>
  </si>
  <si>
    <r>
      <rPr>
        <sz val="10"/>
        <color indexed="8"/>
        <rFont val="Arial"/>
      </rPr>
      <t>BRD_100x150 SLK Board Outline &amp; Milling</t>
    </r>
  </si>
  <si>
    <t>BRD_100x150</t>
  </si>
  <si>
    <t>SPCoast:Board_100x150</t>
  </si>
  <si>
    <r>
      <rPr>
        <sz val="10"/>
        <color indexed="8"/>
        <rFont val="Arial"/>
      </rPr>
      <t>SLK_BRD_100x200</t>
    </r>
  </si>
  <si>
    <r>
      <rPr>
        <sz val="10"/>
        <color indexed="8"/>
        <rFont val="Arial"/>
      </rPr>
      <t>BRD_100x200 Board Outline &amp; Milling</t>
    </r>
  </si>
  <si>
    <r>
      <rPr>
        <sz val="10"/>
        <color indexed="8"/>
        <rFont val="Arial"/>
      </rPr>
      <t>BRD_100x200 SLK Board Outline &amp; Milling</t>
    </r>
  </si>
  <si>
    <t>BRD_100x200</t>
  </si>
  <si>
    <t>SPCoast:Board_100x200</t>
  </si>
  <si>
    <r>
      <rPr>
        <sz val="10"/>
        <color indexed="8"/>
        <rFont val="Arial"/>
      </rPr>
      <t>SLK_DCPower+</t>
    </r>
  </si>
  <si>
    <r>
      <rPr>
        <sz val="10"/>
        <color indexed="8"/>
        <rFont val="Arial"/>
      </rPr>
      <t>DCPower+ SilkScreen</t>
    </r>
  </si>
  <si>
    <r>
      <rPr>
        <sz val="10"/>
        <color indexed="8"/>
        <rFont val="Arial"/>
      </rPr>
      <t>DCPower+ SLK SilkScreen</t>
    </r>
  </si>
  <si>
    <t>DCPower+</t>
  </si>
  <si>
    <t>SilkScreen</t>
  </si>
  <si>
    <t>DC Power Jack Label</t>
  </si>
  <si>
    <t>SPCoast:DOC_Label-Power_CP</t>
  </si>
  <si>
    <t>SPCoast:SILK_Label-Power_CP</t>
  </si>
  <si>
    <r>
      <rPr>
        <sz val="10"/>
        <color indexed="8"/>
        <rFont val="Arial"/>
      </rPr>
      <t>SLK_DCPower-</t>
    </r>
  </si>
  <si>
    <r>
      <rPr>
        <sz val="10"/>
        <color indexed="8"/>
        <rFont val="Arial"/>
      </rPr>
      <t>DCPower- SilkScreen</t>
    </r>
  </si>
  <si>
    <r>
      <rPr>
        <sz val="10"/>
        <color indexed="8"/>
        <rFont val="Arial"/>
      </rPr>
      <t>DCPower- SLK SilkScreen</t>
    </r>
  </si>
  <si>
    <t>DCPower-</t>
  </si>
  <si>
    <t>SPCoast:DOC_Label-Power_CN</t>
  </si>
  <si>
    <t>SPCoast:SILK_Label-Power_CN</t>
  </si>
  <si>
    <r>
      <rPr>
        <sz val="10"/>
        <color indexed="8"/>
        <rFont val="Arial"/>
      </rPr>
      <t>SLK_CA65</t>
    </r>
  </si>
  <si>
    <r>
      <rPr>
        <sz val="10"/>
        <color indexed="8"/>
        <rFont val="Arial"/>
      </rPr>
      <t>CA65 SilkScreen</t>
    </r>
  </si>
  <si>
    <r>
      <rPr>
        <sz val="10"/>
        <color indexed="8"/>
        <rFont val="Arial"/>
      </rPr>
      <t>CA65 SLK SilkScreen</t>
    </r>
  </si>
  <si>
    <t>CA65</t>
  </si>
  <si>
    <t>California Prop 65 warning</t>
  </si>
  <si>
    <t>SPCoast:DOC_Label-CA65</t>
  </si>
  <si>
    <t>SPCoast:SILK_Label-CA65</t>
  </si>
  <si>
    <r>
      <rPr>
        <sz val="10"/>
        <color indexed="8"/>
        <rFont val="Arial"/>
      </rPr>
      <t>SLK_CC-by-sa</t>
    </r>
  </si>
  <si>
    <r>
      <rPr>
        <sz val="10"/>
        <color indexed="8"/>
        <rFont val="Arial"/>
      </rPr>
      <t>CC-by-sa SilkScreen</t>
    </r>
  </si>
  <si>
    <r>
      <rPr>
        <sz val="10"/>
        <color indexed="8"/>
        <rFont val="Arial"/>
      </rPr>
      <t>CC-by-sa SLK SilkScreen</t>
    </r>
  </si>
  <si>
    <t>CC-by-sa</t>
  </si>
  <si>
    <t>Creative Commons License 3.0</t>
  </si>
  <si>
    <t>SPCoast:DOC_License-CC-BY-SA</t>
  </si>
  <si>
    <t>SPCoast:SILK_License-CC-by-sa</t>
  </si>
  <si>
    <r>
      <rPr>
        <sz val="10"/>
        <color indexed="8"/>
        <rFont val="Arial"/>
      </rPr>
      <t>SLK_Logo_MRCS</t>
    </r>
  </si>
  <si>
    <r>
      <rPr>
        <sz val="10"/>
        <color indexed="8"/>
        <rFont val="Arial"/>
      </rPr>
      <t>Logo_MRCS SilkScreen</t>
    </r>
  </si>
  <si>
    <r>
      <rPr>
        <sz val="10"/>
        <color indexed="8"/>
        <rFont val="Arial"/>
      </rPr>
      <t>Logo_MRCS SLK SilkScreen</t>
    </r>
  </si>
  <si>
    <t>Logo_MRCS</t>
  </si>
  <si>
    <t>MRCS PCB Logo</t>
  </si>
  <si>
    <t>SPCoast:DOC_Logo-MRCS</t>
  </si>
  <si>
    <t>SPCoast:SILK_Logo-MRCS</t>
  </si>
  <si>
    <r>
      <rPr>
        <sz val="10"/>
        <color indexed="8"/>
        <rFont val="Arial"/>
      </rPr>
      <t>SLK_Logo_SPCoast</t>
    </r>
  </si>
  <si>
    <r>
      <rPr>
        <sz val="10"/>
        <color indexed="8"/>
        <rFont val="Arial"/>
      </rPr>
      <t>Logo_SPCoast SilkScreen</t>
    </r>
  </si>
  <si>
    <r>
      <rPr>
        <sz val="10"/>
        <color indexed="8"/>
        <rFont val="Arial"/>
      </rPr>
      <t>Logo_SPCoast SLK SilkScreen</t>
    </r>
  </si>
  <si>
    <t>Logo_SPCoast</t>
  </si>
  <si>
    <t>SPCoast PCB Logo</t>
  </si>
  <si>
    <t>SPCoast:DOC_Logo-SPCoast</t>
  </si>
  <si>
    <t>SPCoast:SILK_Logo-SPCoast</t>
  </si>
  <si>
    <r>
      <rPr>
        <sz val="10"/>
        <color indexed="8"/>
        <rFont val="Arial"/>
      </rPr>
      <t>SLK_Power_Draw</t>
    </r>
  </si>
  <si>
    <r>
      <rPr>
        <sz val="10"/>
        <color indexed="8"/>
        <rFont val="Arial"/>
      </rPr>
      <t>Power_Draw SilkScreen</t>
    </r>
  </si>
  <si>
    <r>
      <rPr>
        <sz val="10"/>
        <color indexed="8"/>
        <rFont val="Arial"/>
      </rPr>
      <t>Power_Draw SLK SilkScreen</t>
    </r>
  </si>
  <si>
    <t>Power_Draw</t>
  </si>
  <si>
    <t>SPCoast Power Consumption Label</t>
  </si>
  <si>
    <t>SPCoast:DOC_Label-Current-Sink</t>
  </si>
  <si>
    <t>SPCoast:SILK_Label-Current-Sink</t>
  </si>
  <si>
    <r>
      <rPr>
        <sz val="10"/>
        <color indexed="8"/>
        <rFont val="Arial"/>
      </rPr>
      <t>SLK_Power_Provide</t>
    </r>
  </si>
  <si>
    <r>
      <rPr>
        <sz val="10"/>
        <color indexed="8"/>
        <rFont val="Arial"/>
      </rPr>
      <t>Power_Provide SilkScreen</t>
    </r>
  </si>
  <si>
    <r>
      <rPr>
        <sz val="10"/>
        <color indexed="8"/>
        <rFont val="Arial"/>
      </rPr>
      <t>Power_Provide SLK SilkScreen</t>
    </r>
  </si>
  <si>
    <t>Power_Provide</t>
  </si>
  <si>
    <t>SPCoast Power Provision Label</t>
  </si>
  <si>
    <t>SPCoast:DOC_Label-Current-Source</t>
  </si>
  <si>
    <t>SPCoast:SILK_Label-Current-Source</t>
  </si>
  <si>
    <r>
      <rPr>
        <sz val="10"/>
        <color indexed="8"/>
        <rFont val="Arial"/>
      </rPr>
      <t>CON_TC2030-NL</t>
    </r>
  </si>
  <si>
    <r>
      <rPr>
        <sz val="10"/>
        <color indexed="8"/>
        <rFont val="Arial"/>
      </rPr>
      <t>TC2030-NL SilkScreen &amp; Pads</t>
    </r>
  </si>
  <si>
    <r>
      <rPr>
        <sz val="10"/>
        <color indexed="8"/>
        <rFont val="Arial"/>
      </rPr>
      <t>TC2030-NL CON SilkScreen &amp; Pads</t>
    </r>
  </si>
  <si>
    <t>CON</t>
  </si>
  <si>
    <t>TC2030-NL</t>
  </si>
  <si>
    <t>SilkScreen &amp; Pads</t>
  </si>
  <si>
    <t>Tag Connect “No Legs” 6-pin Plug-of-Nails™ programming cable with a 6-pin 0.1″ pitch ribbon connector.</t>
  </si>
  <si>
    <t>NL</t>
  </si>
  <si>
    <t>2x3</t>
  </si>
  <si>
    <t>0.1"</t>
  </si>
  <si>
    <t>Tag Connect</t>
  </si>
  <si>
    <t>SPCoast:TC2030-IDC</t>
  </si>
  <si>
    <t>SPCoast:Tag-Connect_TC2030-IDC-NL_2x03_P1.27mm_Vertical</t>
  </si>
  <si>
    <r>
      <rPr>
        <sz val="10"/>
        <color indexed="8"/>
        <rFont val="Arial"/>
      </rPr>
      <t>CON_TC2030-FP</t>
    </r>
  </si>
  <si>
    <r>
      <rPr>
        <sz val="10"/>
        <color indexed="8"/>
        <rFont val="Arial"/>
      </rPr>
      <t>TC2030-FP SilkScreen &amp; Pads</t>
    </r>
  </si>
  <si>
    <r>
      <rPr>
        <sz val="10"/>
        <color indexed="8"/>
        <rFont val="Arial"/>
      </rPr>
      <t>TC2030-FP CON SilkScreen &amp; Pads</t>
    </r>
  </si>
  <si>
    <t>TC2030-FP</t>
  </si>
  <si>
    <t>Tag Connect “With Legs” 6-pin Plug-of-Nails™ programming cable with a 6-pin 0.1″ pitch ribbon connector.</t>
  </si>
  <si>
    <t>Legs</t>
  </si>
  <si>
    <t>SPCoast:Tag-Connect_TC2030-IDC-FP_2x03_P1.27mm_Vertical</t>
  </si>
  <si>
    <r>
      <rPr>
        <sz val="10"/>
        <color indexed="8"/>
        <rFont val="Arial"/>
      </rPr>
      <t>CON_TC2050-NL</t>
    </r>
  </si>
  <si>
    <r>
      <rPr>
        <sz val="10"/>
        <color indexed="8"/>
        <rFont val="Arial"/>
      </rPr>
      <t>TC2050-NL SilkScreen &amp; Pads</t>
    </r>
  </si>
  <si>
    <r>
      <rPr>
        <sz val="10"/>
        <color indexed="8"/>
        <rFont val="Arial"/>
      </rPr>
      <t>TC2050-NL CON SilkScreen &amp; Pads</t>
    </r>
  </si>
  <si>
    <t>TC2050-NL</t>
  </si>
  <si>
    <t>Tag Connect “No Legs”10-pin Plug-of-Nails™ programming cable with a 10-pin 0.1″ pitch ribbon connector.</t>
  </si>
  <si>
    <t>2x5</t>
  </si>
  <si>
    <t>SPCoast:TC2050-IDC</t>
  </si>
  <si>
    <t>SPCoast:Tag-Connect_TC2050-IDC-NL_2x05_P1.27mm_Vertical</t>
  </si>
  <si>
    <r>
      <rPr>
        <sz val="10"/>
        <color indexed="8"/>
        <rFont val="Arial"/>
      </rPr>
      <t>CON_TC2050-FP</t>
    </r>
  </si>
  <si>
    <r>
      <rPr>
        <sz val="10"/>
        <color indexed="8"/>
        <rFont val="Arial"/>
      </rPr>
      <t>TC2050-FP SilkScreen &amp; Pads</t>
    </r>
  </si>
  <si>
    <r>
      <rPr>
        <sz val="10"/>
        <color indexed="8"/>
        <rFont val="Arial"/>
      </rPr>
      <t>TC2050-FP CON SilkScreen &amp; Pads</t>
    </r>
  </si>
  <si>
    <t>TC2050-FP</t>
  </si>
  <si>
    <t>Tag Connect “With Legs” 10-pin Plug-of-Nails™ programming cable with a10-pin 0.1″ pitch ribbon connector.</t>
  </si>
  <si>
    <t>SPCoast:Tag-Connect_TC2050-IDC-FP_2x05_P1.27mm_Vertical</t>
  </si>
  <si>
    <r>
      <rPr>
        <sz val="10"/>
        <color indexed="8"/>
        <rFont val="Arial"/>
      </rPr>
      <t>CON_TC2070-FP</t>
    </r>
  </si>
  <si>
    <r>
      <rPr>
        <sz val="10"/>
        <color indexed="8"/>
        <rFont val="Arial"/>
      </rPr>
      <t>TC2070-FP SilkScreen &amp; Pads</t>
    </r>
  </si>
  <si>
    <r>
      <rPr>
        <sz val="10"/>
        <color indexed="8"/>
        <rFont val="Arial"/>
      </rPr>
      <t>TC2070-FP CON SilkScreen &amp; Pads</t>
    </r>
  </si>
  <si>
    <t>TC2070-FP</t>
  </si>
  <si>
    <t>Tag Connect “With Legs” 14-pin Plug-of-Nails™ programming cable with a 14-pin 0.1″ pitch ribbon connector.</t>
  </si>
  <si>
    <t>2x7</t>
  </si>
  <si>
    <t>SPCoast:TC2070-IDC</t>
  </si>
  <si>
    <t>SPCoast:Tag-Connect_TC2070-IDC-FP_2x07_P1.27mm_Vertical</t>
  </si>
  <si>
    <r>
      <rPr>
        <sz val="10"/>
        <color indexed="8"/>
        <rFont val="Arial"/>
      </rPr>
      <t>SWI_EDG-104</t>
    </r>
  </si>
  <si>
    <r>
      <rPr>
        <sz val="10"/>
        <color indexed="8"/>
        <rFont val="Arial"/>
      </rPr>
      <t>EDG-104 SPSTx4 DIP</t>
    </r>
  </si>
  <si>
    <r>
      <rPr>
        <sz val="10"/>
        <color indexed="8"/>
        <rFont val="Arial"/>
      </rPr>
      <t>EDG-104 SWI SPSTx4 DIP</t>
    </r>
  </si>
  <si>
    <t>SWI</t>
  </si>
  <si>
    <t>PTH</t>
  </si>
  <si>
    <t>EDG-104</t>
  </si>
  <si>
    <t>SPSTx4 DIP</t>
  </si>
  <si>
    <t>SPST x4 DIP Switch</t>
  </si>
  <si>
    <t>DIP-8</t>
  </si>
  <si>
    <t>0.3"</t>
  </si>
  <si>
    <t>2x4</t>
  </si>
  <si>
    <t>C840579</t>
  </si>
  <si>
    <r>
      <rPr>
        <u val="single"/>
        <sz val="10"/>
        <color indexed="8"/>
        <rFont val="Arial"/>
      </rPr>
      <t>C840579</t>
    </r>
  </si>
  <si>
    <t>Available</t>
  </si>
  <si>
    <t>ECE</t>
  </si>
  <si>
    <t>EDG104S</t>
  </si>
  <si>
    <t>SPCoast:SW-EDG-04</t>
  </si>
  <si>
    <r>
      <rPr>
        <u val="single"/>
        <sz val="10"/>
        <color indexed="8"/>
        <rFont val="Arial"/>
      </rPr>
      <t>https://wmsc.lcsc.com/wmsc/upload/file/pdf/v2/lcsc/2311231642_ECE-EDG104S33_C840579.pdf</t>
    </r>
  </si>
  <si>
    <r>
      <rPr>
        <sz val="10"/>
        <color indexed="8"/>
        <rFont val="Arial"/>
      </rPr>
      <t>SWI_6x6x6mm_PTH</t>
    </r>
  </si>
  <si>
    <r>
      <rPr>
        <sz val="10"/>
        <color indexed="8"/>
        <rFont val="Arial"/>
      </rPr>
      <t>6x6x6mm_PTH SPSTx1 6mm Momentary</t>
    </r>
  </si>
  <si>
    <r>
      <rPr>
        <sz val="10"/>
        <color indexed="8"/>
        <rFont val="Arial"/>
      </rPr>
      <t>6x6x6mm_PTH SWI SPSTx1 6mm Momentary</t>
    </r>
  </si>
  <si>
    <t>6x6x6mm_PTH</t>
  </si>
  <si>
    <t>SPSTx1 6mm Momentary</t>
  </si>
  <si>
    <t>Round Button Direct Insert SPST 6mm 5.5mm 50mA 100M 100 000 Times 12V 250gf Plugin Tactile Switch</t>
  </si>
  <si>
    <t>6mm button</t>
  </si>
  <si>
    <t>2x2</t>
  </si>
  <si>
    <t>C5340138</t>
  </si>
  <si>
    <r>
      <rPr>
        <u val="single"/>
        <sz val="10"/>
        <color indexed="8"/>
        <rFont val="Arial"/>
      </rPr>
      <t>C5340138</t>
    </r>
  </si>
  <si>
    <t>hanxia</t>
  </si>
  <si>
    <t>HX TS666CJ 250gf 009</t>
  </si>
  <si>
    <t>SPCoast:SW_Push</t>
  </si>
  <si>
    <t>SPCoast:SW_Push_SPST_6mmx6mm_PTH</t>
  </si>
  <si>
    <r>
      <rPr>
        <u val="single"/>
        <sz val="10"/>
        <color indexed="8"/>
        <rFont val="Arial"/>
      </rPr>
      <t>https://wmsc.lcsc.com/wmsc/upload/file/pdf/v2/lcsc/2212291730_hanxia-HX-TS666CJ-250gf-009_C5340138.pdf</t>
    </r>
  </si>
  <si>
    <r>
      <rPr>
        <sz val="10"/>
        <color indexed="8"/>
        <rFont val="Arial"/>
      </rPr>
      <t>SWI_6x6x6mm_SMD</t>
    </r>
  </si>
  <si>
    <r>
      <rPr>
        <sz val="10"/>
        <color indexed="8"/>
        <rFont val="Arial"/>
      </rPr>
      <t>6x6x6mm_SMD SPSTx1 6mm Momentary</t>
    </r>
  </si>
  <si>
    <r>
      <rPr>
        <sz val="10"/>
        <color indexed="8"/>
        <rFont val="Arial"/>
      </rPr>
      <t>6x6x6mm_SMD SWI SPSTx1 6mm Momentary</t>
    </r>
  </si>
  <si>
    <t>6x6x6mm_SMD</t>
  </si>
  <si>
    <t>Round Button Standing paste SPST 6mm 6mm 6mm 50mA 100M 100 000 Times 12V 250gf SMD Tactile Switch</t>
  </si>
  <si>
    <t>C5340123</t>
  </si>
  <si>
    <r>
      <rPr>
        <u val="single"/>
        <sz val="10"/>
        <color indexed="8"/>
        <rFont val="Arial"/>
      </rPr>
      <t>C5340123</t>
    </r>
  </si>
  <si>
    <t>HX TS666TP 250gf 009</t>
  </si>
  <si>
    <t>SPCoast:SW_Push_SPST_6mmx6mm_SMT</t>
  </si>
  <si>
    <r>
      <rPr>
        <u val="single"/>
        <sz val="10"/>
        <color indexed="8"/>
        <rFont val="Arial"/>
      </rPr>
      <t>https://wmsc.lcsc.com/wmsc/upload/file/pdf/v2/lcsc/2212271430_hanxia-HX-TS666TP-250gf-009_C5340123.pdf</t>
    </r>
  </si>
  <si>
    <r>
      <rPr>
        <sz val="10"/>
        <color indexed="8"/>
        <rFont val="Arial"/>
      </rPr>
      <t>CON_DCJ0202</t>
    </r>
  </si>
  <si>
    <r>
      <rPr>
        <sz val="10"/>
        <color indexed="8"/>
        <rFont val="Arial"/>
      </rPr>
      <t>DCJ0202 Power Connector</t>
    </r>
  </si>
  <si>
    <r>
      <rPr>
        <sz val="10"/>
        <color indexed="8"/>
        <rFont val="Arial"/>
      </rPr>
      <t>DCJ0202 CON Power Connector</t>
    </r>
  </si>
  <si>
    <t>DCJ0202</t>
  </si>
  <si>
    <t>Power Connector</t>
  </si>
  <si>
    <t>DC Jack 0202</t>
  </si>
  <si>
    <t>3x</t>
  </si>
  <si>
    <t>SPCoast:Conn_DC_POWER</t>
  </si>
  <si>
    <t>SPCoast:DCJ0202</t>
  </si>
  <si>
    <r>
      <rPr>
        <sz val="10"/>
        <color indexed="8"/>
        <rFont val="Arial"/>
      </rPr>
      <t>CON_1x02-0.100</t>
    </r>
  </si>
  <si>
    <r>
      <rPr>
        <sz val="10"/>
        <color indexed="8"/>
        <rFont val="Arial"/>
      </rPr>
      <t>1x02-0.100 Male Header</t>
    </r>
  </si>
  <si>
    <r>
      <rPr>
        <sz val="10"/>
        <color indexed="8"/>
        <rFont val="Arial"/>
      </rPr>
      <t>1x02-0.100 CON Male Header</t>
    </r>
  </si>
  <si>
    <t>1x02-0.100</t>
  </si>
  <si>
    <t>Male Header</t>
  </si>
  <si>
    <t>Connector 1x02 0.100</t>
  </si>
  <si>
    <t>1x2</t>
  </si>
  <si>
    <t>0.1</t>
  </si>
  <si>
    <t>SPCoast:Conn_01x02</t>
  </si>
  <si>
    <t>SPCoast:Connector_01x02_V</t>
  </si>
  <si>
    <r>
      <rPr>
        <sz val="10"/>
        <color indexed="8"/>
        <rFont val="Arial"/>
      </rPr>
      <t>CON_1x03-0.100</t>
    </r>
  </si>
  <si>
    <r>
      <rPr>
        <sz val="10"/>
        <color indexed="8"/>
        <rFont val="Arial"/>
      </rPr>
      <t>1x03-0.100 Male Header</t>
    </r>
  </si>
  <si>
    <r>
      <rPr>
        <sz val="10"/>
        <color indexed="8"/>
        <rFont val="Arial"/>
      </rPr>
      <t>1x03-0.100 CON Male Header</t>
    </r>
  </si>
  <si>
    <t>1x03-0.100</t>
  </si>
  <si>
    <t>Connector 1x03 0.100</t>
  </si>
  <si>
    <t>1x3</t>
  </si>
  <si>
    <t>SPCoast:Conn_01x03</t>
  </si>
  <si>
    <t>SPCoast:Connector_01x03_V</t>
  </si>
  <si>
    <r>
      <rPr>
        <sz val="10"/>
        <color indexed="8"/>
        <rFont val="Arial"/>
      </rPr>
      <t>CON_1x04-0.100</t>
    </r>
  </si>
  <si>
    <r>
      <rPr>
        <sz val="10"/>
        <color indexed="8"/>
        <rFont val="Arial"/>
      </rPr>
      <t>1x04-0.100 Male Header</t>
    </r>
  </si>
  <si>
    <r>
      <rPr>
        <sz val="10"/>
        <color indexed="8"/>
        <rFont val="Arial"/>
      </rPr>
      <t>1x04-0.100 CON Male Header</t>
    </r>
  </si>
  <si>
    <t>1x04-0.100</t>
  </si>
  <si>
    <t>Connector 1x04 0.100</t>
  </si>
  <si>
    <t>1x4</t>
  </si>
  <si>
    <t>SPCoast:Conn_01x04</t>
  </si>
  <si>
    <t>SPCoast:Connector_01x04_V</t>
  </si>
  <si>
    <r>
      <rPr>
        <sz val="10"/>
        <color indexed="8"/>
        <rFont val="Arial"/>
      </rPr>
      <t>CON_1x06-0.100</t>
    </r>
  </si>
  <si>
    <r>
      <rPr>
        <sz val="10"/>
        <color indexed="8"/>
        <rFont val="Arial"/>
      </rPr>
      <t>1x06-0.100 Male Header</t>
    </r>
  </si>
  <si>
    <r>
      <rPr>
        <sz val="10"/>
        <color indexed="8"/>
        <rFont val="Arial"/>
      </rPr>
      <t>1x06-0.100 CON Male Header</t>
    </r>
  </si>
  <si>
    <t>1x06-0.100</t>
  </si>
  <si>
    <t>Connector 1x06 0.100</t>
  </si>
  <si>
    <t>1x6</t>
  </si>
  <si>
    <t>SPCoast:Conn_01x06</t>
  </si>
  <si>
    <t>SPCoast:Connector_01x06_V</t>
  </si>
  <si>
    <r>
      <rPr>
        <sz val="10"/>
        <color indexed="8"/>
        <rFont val="Arial"/>
      </rPr>
      <t>CON_FTDI-1x6-0.100</t>
    </r>
  </si>
  <si>
    <r>
      <rPr>
        <sz val="10"/>
        <color indexed="8"/>
        <rFont val="Arial"/>
      </rPr>
      <t>FTDI-1x6-0.100 Male Header</t>
    </r>
  </si>
  <si>
    <r>
      <rPr>
        <sz val="10"/>
        <color indexed="8"/>
        <rFont val="Arial"/>
      </rPr>
      <t>FTDI-1x6-0.100 CON Male Header</t>
    </r>
  </si>
  <si>
    <t>FTDI-1x6-0.100</t>
  </si>
  <si>
    <t>FTDI Programming Connector 1x06 0.100</t>
  </si>
  <si>
    <t>SPCoast:Conn_Programmer-FTDI</t>
  </si>
  <si>
    <t>SPCoast:Connector_FTDI-DEVICE-SIDE</t>
  </si>
  <si>
    <r>
      <rPr>
        <sz val="10"/>
        <color indexed="8"/>
        <rFont val="Arial"/>
      </rPr>
      <t>CON_M5-1x6-0.100</t>
    </r>
  </si>
  <si>
    <r>
      <rPr>
        <sz val="10"/>
        <color indexed="8"/>
        <rFont val="Arial"/>
      </rPr>
      <t>M5-1x6-0.100 Female Header</t>
    </r>
  </si>
  <si>
    <r>
      <rPr>
        <sz val="10"/>
        <color indexed="8"/>
        <rFont val="Arial"/>
      </rPr>
      <t>M5-1x6-0.100 CON Female Header</t>
    </r>
  </si>
  <si>
    <t>M5-1x6-0.100</t>
  </si>
  <si>
    <t>Female Header</t>
  </si>
  <si>
    <t>M5 Programming Connector 1x06 0.100</t>
  </si>
  <si>
    <t>SPCoast:Conn_Programmer-M5</t>
  </si>
  <si>
    <t>SPCoast:Connector_M5-DEVICE-SIDE</t>
  </si>
  <si>
    <r>
      <rPr>
        <sz val="10"/>
        <color indexed="8"/>
        <rFont val="Arial"/>
      </rPr>
      <t>CON_SSD1306-1x4-0.100</t>
    </r>
  </si>
  <si>
    <r>
      <rPr>
        <sz val="10"/>
        <color indexed="8"/>
        <rFont val="Arial"/>
      </rPr>
      <t>SSD1306-1x4-0.100 Male Header</t>
    </r>
  </si>
  <si>
    <r>
      <rPr>
        <sz val="10"/>
        <color indexed="8"/>
        <rFont val="Arial"/>
      </rPr>
      <t>SSD1306-1x4-0.100 CON Male Header</t>
    </r>
  </si>
  <si>
    <t>SSD1306-1x4-0.100</t>
  </si>
  <si>
    <t>I2C SSD1306 OLED Connector</t>
  </si>
  <si>
    <t>SPCoast:Conn_I2C-OLED</t>
  </si>
  <si>
    <t>SPCoast:Connector_I2C-OLED</t>
  </si>
  <si>
    <r>
      <rPr>
        <sz val="10"/>
        <color indexed="8"/>
        <rFont val="Arial"/>
      </rPr>
      <t>MCU_WT32-ETH01</t>
    </r>
  </si>
  <si>
    <r>
      <rPr>
        <sz val="10"/>
        <color indexed="8"/>
        <rFont val="Arial"/>
      </rPr>
      <t>WT32-ETH01 ESP32</t>
    </r>
  </si>
  <si>
    <r>
      <rPr>
        <sz val="10"/>
        <color indexed="8"/>
        <rFont val="Arial"/>
      </rPr>
      <t>WT32-ETH01 MCU ESP32</t>
    </r>
  </si>
  <si>
    <t>MCU</t>
  </si>
  <si>
    <t>WT32-ETH01</t>
  </si>
  <si>
    <t>ESP32</t>
  </si>
  <si>
    <t>2x13</t>
  </si>
  <si>
    <t>0.1x0.9</t>
  </si>
  <si>
    <t>WT</t>
  </si>
  <si>
    <t>SPCoast:WT32-ETH01</t>
  </si>
  <si>
    <r>
      <rPr>
        <u val="single"/>
        <sz val="10"/>
        <color indexed="8"/>
        <rFont val="Arial"/>
      </rPr>
      <t>https://www.amazon.com/DWEII-WT32-ETH01-Bluetooth-Development-Converter/dp/B0B1V2RSLY/ref=sr_1_6?crid=314KW0BPPVKW8&amp;dib=eyJ2IjoiMSJ9.G-jwgG2jf14TIyjtM6gPyYH3hjQUHKrQfu5_H3L9tC5jQFWRvQDq9e6MLIQJ2c_4zpV9VRvg39dGowOt8Ju3zdg0lPeXEKqTTXnLnach_267rAAC7T58mNYeH4anDT2My3U9K8OfvWwLEeqER44Jda4kDCnkxc14_Mbmi_gna2cnePF20jCunUNQWGwMVCvjp-UtBf86MK56FFjlFtjp1z2Aq4rvOP806BaqqU8Oo38.ev-u-C0T1GFgjLgimXKb_ZAMLnonoSzJ6AzhzPd1w-4&amp;dib_tag=se&amp;keywords=WT32-eth01&amp;qid=1736014651&amp;sprefix=wt32-eth01,aps,160&amp;sr=8-6&amp;th=1</t>
    </r>
  </si>
  <si>
    <r>
      <rPr>
        <sz val="10"/>
        <color indexed="8"/>
        <rFont val="Arial"/>
      </rPr>
      <t>MCU_ESP32-DevKit_V1</t>
    </r>
  </si>
  <si>
    <r>
      <rPr>
        <sz val="10"/>
        <color indexed="8"/>
        <rFont val="Arial"/>
      </rPr>
      <t>ESP32-DevKit_V1 ESP32</t>
    </r>
  </si>
  <si>
    <r>
      <rPr>
        <sz val="10"/>
        <color indexed="8"/>
        <rFont val="Arial"/>
      </rPr>
      <t>ESP32-DevKit_V1 MCU ESP32</t>
    </r>
  </si>
  <si>
    <t>ESP32-DevKit_V1</t>
  </si>
  <si>
    <t>ESP32-DevKit_V1 WROOM32</t>
  </si>
  <si>
    <t>2x15</t>
  </si>
  <si>
    <t>Espressif</t>
  </si>
  <si>
    <t>SPCoast:ESP32-DevKit_V1</t>
  </si>
  <si>
    <r>
      <rPr>
        <u val="single"/>
        <sz val="10"/>
        <color indexed="8"/>
        <rFont val="Arial"/>
      </rPr>
      <t>https://mischianti.org/wp-content/uploads/2020/11/ESP32-DOIT-DEV-KIT-v1-pinout-mischianti.png</t>
    </r>
  </si>
  <si>
    <r>
      <rPr>
        <sz val="10"/>
        <color indexed="8"/>
        <rFont val="Arial"/>
      </rPr>
      <t>CAP_0.01uF_X7R_0603_25V</t>
    </r>
  </si>
  <si>
    <r>
      <rPr>
        <sz val="10"/>
        <color indexed="8"/>
        <rFont val="Arial"/>
      </rPr>
      <t>0.01uF 10% X7R 25V</t>
    </r>
  </si>
  <si>
    <r>
      <rPr>
        <sz val="10"/>
        <color indexed="8"/>
        <rFont val="Arial"/>
      </rPr>
      <t>0.01uF CAP 10% X7R 25V</t>
    </r>
  </si>
  <si>
    <t>CAP</t>
  </si>
  <si>
    <t>0.01uF</t>
  </si>
  <si>
    <t>X7R</t>
  </si>
  <si>
    <t>25V 10nF X7R ±10% 0603 Multilayer Ceramic Capacitors MLCC</t>
  </si>
  <si>
    <t>0603</t>
  </si>
  <si>
    <t>10%</t>
  </si>
  <si>
    <t>25V</t>
  </si>
  <si>
    <t>C1852832</t>
  </si>
  <si>
    <r>
      <rPr>
        <u val="single"/>
        <sz val="10"/>
        <color indexed="8"/>
        <rFont val="Arial"/>
      </rPr>
      <t>C1852832</t>
    </r>
  </si>
  <si>
    <t>Retired</t>
  </si>
  <si>
    <t>YAGEO</t>
  </si>
  <si>
    <t>CC0603KPX7R8BB103</t>
  </si>
  <si>
    <t>Device:C</t>
  </si>
  <si>
    <t>SPCoast:0603-CAP</t>
  </si>
  <si>
    <r>
      <rPr>
        <u val="single"/>
        <sz val="10"/>
        <color indexed="8"/>
        <rFont val="Arial"/>
      </rPr>
      <t>https://wmsc.lcsc.com/wmsc/upload/file/pdf/v2/lcsc/2201271000_YAGEO-CC0603KPX7R8BB103_C1852832.pdf</t>
    </r>
  </si>
  <si>
    <r>
      <rPr>
        <sz val="10"/>
        <color indexed="8"/>
        <rFont val="Arial"/>
      </rPr>
      <t>CAP_0.01uF_X5R_0603_50V</t>
    </r>
  </si>
  <si>
    <r>
      <rPr>
        <sz val="10"/>
        <color indexed="8"/>
        <rFont val="Arial"/>
      </rPr>
      <t>0.01uF 10% X5R 50V</t>
    </r>
  </si>
  <si>
    <r>
      <rPr>
        <sz val="10"/>
        <color indexed="8"/>
        <rFont val="Arial"/>
      </rPr>
      <t>0.01uF CAP 10% X5R 50V</t>
    </r>
  </si>
  <si>
    <t>X5R</t>
  </si>
  <si>
    <t>50V 10nF X5R ±10% 0603 Multilayer Ceramic Capacitors MLCC</t>
  </si>
  <si>
    <t>50V</t>
  </si>
  <si>
    <t>C3910010</t>
  </si>
  <si>
    <r>
      <rPr>
        <u val="single"/>
        <sz val="10"/>
        <color indexed="8"/>
        <rFont val="Arial"/>
      </rPr>
      <t>C3910010</t>
    </r>
  </si>
  <si>
    <t>CAL-CHIP</t>
  </si>
  <si>
    <t>GMC10X5R103K50NT</t>
  </si>
  <si>
    <t>-na-</t>
  </si>
  <si>
    <r>
      <rPr>
        <sz val="10"/>
        <color indexed="8"/>
        <rFont val="Arial"/>
      </rPr>
      <t>CAP_0.01uF_X7R_0603_50V</t>
    </r>
  </si>
  <si>
    <r>
      <rPr>
        <sz val="10"/>
        <color indexed="8"/>
        <rFont val="Arial"/>
      </rPr>
      <t>0.01uF 10% X7R 50V</t>
    </r>
  </si>
  <si>
    <r>
      <rPr>
        <sz val="10"/>
        <color indexed="8"/>
        <rFont val="Arial"/>
      </rPr>
      <t>0.01uF CAP 10% X7R 50V</t>
    </r>
  </si>
  <si>
    <t>50V 10nF X7R ±10% 0603 Multilayer Ceramic Capacitors MLCC</t>
  </si>
  <si>
    <t>C100042</t>
  </si>
  <si>
    <r>
      <rPr>
        <u val="single"/>
        <sz val="10"/>
        <color indexed="8"/>
        <rFont val="Arial"/>
      </rPr>
      <t>C100042</t>
    </r>
  </si>
  <si>
    <t>CC0603KRX7R9BB103</t>
  </si>
  <si>
    <r>
      <rPr>
        <u val="single"/>
        <sz val="10"/>
        <color indexed="8"/>
        <rFont val="Arial"/>
      </rPr>
      <t>https://www.lcsc.com/datasheet/lcsc_datasheet_2304140030_YAGEO-CC0603KRX7R9BB103_C100042.pdf</t>
    </r>
  </si>
  <si>
    <r>
      <rPr>
        <sz val="10"/>
        <color indexed="8"/>
        <rFont val="Arial"/>
      </rPr>
      <t>CAP_0.1uF_X5R_0603_25V</t>
    </r>
  </si>
  <si>
    <r>
      <rPr>
        <sz val="10"/>
        <color indexed="8"/>
        <rFont val="Arial"/>
      </rPr>
      <t>0.1uF 10% X5R 25V</t>
    </r>
  </si>
  <si>
    <r>
      <rPr>
        <sz val="10"/>
        <color indexed="8"/>
        <rFont val="Arial"/>
      </rPr>
      <t>0.1uF CAP 10% X5R 25V</t>
    </r>
  </si>
  <si>
    <t>0.1uF</t>
  </si>
  <si>
    <t>25V 100nF X5R ±10% 0603 Multilayer Ceramic Capacitors MLCC</t>
  </si>
  <si>
    <t>C3853265</t>
  </si>
  <si>
    <r>
      <rPr>
        <u val="single"/>
        <sz val="10"/>
        <color indexed="8"/>
        <rFont val="Arial"/>
      </rPr>
      <t>C3853265</t>
    </r>
  </si>
  <si>
    <t>GMC10X5R104K25NT</t>
  </si>
  <si>
    <r>
      <rPr>
        <sz val="10"/>
        <color indexed="8"/>
        <rFont val="Arial"/>
      </rPr>
      <t>CAP_0.1uF_X7R_0603_50V</t>
    </r>
  </si>
  <si>
    <r>
      <rPr>
        <sz val="10"/>
        <color indexed="8"/>
        <rFont val="Arial"/>
      </rPr>
      <t>0.1uF 10% X7R 50V</t>
    </r>
  </si>
  <si>
    <r>
      <rPr>
        <sz val="10"/>
        <color indexed="8"/>
        <rFont val="Arial"/>
      </rPr>
      <t>0.1uF CAP 10% X7R 50V</t>
    </r>
  </si>
  <si>
    <t>50V 100nF X7R ±10% 0603 Multilayer Ceramic Capacitors MLCC</t>
  </si>
  <si>
    <t>C14663</t>
  </si>
  <si>
    <r>
      <rPr>
        <u val="single"/>
        <sz val="10"/>
        <color indexed="8"/>
        <rFont val="Arial"/>
      </rPr>
      <t>C14663</t>
    </r>
  </si>
  <si>
    <t>CC0603KRX7R9BB104</t>
  </si>
  <si>
    <r>
      <rPr>
        <u val="single"/>
        <sz val="10"/>
        <color indexed="8"/>
        <rFont val="Arial"/>
      </rPr>
      <t>https://www.lcsc.com/datasheet/lcsc_datasheet_2211101700_YAGEO-CC0603KRX7R9BB104_C14663.pdf</t>
    </r>
  </si>
  <si>
    <r>
      <rPr>
        <sz val="10"/>
        <color indexed="8"/>
        <rFont val="Arial"/>
      </rPr>
      <t>CAP_1uF_X5R_0603_25V</t>
    </r>
  </si>
  <si>
    <r>
      <rPr>
        <sz val="10"/>
        <color indexed="8"/>
        <rFont val="Arial"/>
      </rPr>
      <t>1uF 10% X5R 25V</t>
    </r>
  </si>
  <si>
    <r>
      <rPr>
        <sz val="10"/>
        <color indexed="8"/>
        <rFont val="Arial"/>
      </rPr>
      <t>1uF CAP 10% X5R 25V</t>
    </r>
  </si>
  <si>
    <t>1uF</t>
  </si>
  <si>
    <t>35V 1uF X5R ±10% 0603 Multilayer Ceramic Capacitors MLCC</t>
  </si>
  <si>
    <t>C2169859</t>
  </si>
  <si>
    <r>
      <rPr>
        <u val="single"/>
        <sz val="10"/>
        <color indexed="8"/>
        <rFont val="Arial"/>
      </rPr>
      <t>C2169859</t>
    </r>
  </si>
  <si>
    <t>Taiyo Yuden</t>
  </si>
  <si>
    <t>GMK107BJ105KAHT</t>
  </si>
  <si>
    <r>
      <rPr>
        <u val="single"/>
        <sz val="10"/>
        <color indexed="8"/>
        <rFont val="Arial"/>
      </rPr>
      <t>https://wmsc.lcsc.com/wmsc/upload/file/pdf/v2/lcsc/2309051403_Taiyo-Yuden-GMK107BJ105KAHT_C2169859.pdf</t>
    </r>
  </si>
  <si>
    <r>
      <rPr>
        <sz val="10"/>
        <color indexed="8"/>
        <rFont val="Arial"/>
      </rPr>
      <t>CAP_1uF_X5R_0603_50V</t>
    </r>
  </si>
  <si>
    <r>
      <rPr>
        <sz val="10"/>
        <color indexed="8"/>
        <rFont val="Arial"/>
      </rPr>
      <t>1uF 10% X5R 50V</t>
    </r>
  </si>
  <si>
    <r>
      <rPr>
        <sz val="10"/>
        <color indexed="8"/>
        <rFont val="Arial"/>
      </rPr>
      <t>1uF CAP 10% X5R 50V</t>
    </r>
  </si>
  <si>
    <t>50V 1uF X5R ±10% 0603 Multilayer Ceramic Capacitors MLCC</t>
  </si>
  <si>
    <t>C15849</t>
  </si>
  <si>
    <r>
      <rPr>
        <u val="single"/>
        <sz val="10"/>
        <color indexed="8"/>
        <rFont val="Arial"/>
      </rPr>
      <t>C15849</t>
    </r>
  </si>
  <si>
    <t>Samsung</t>
  </si>
  <si>
    <t>CL10A105KB8NNNC</t>
  </si>
  <si>
    <r>
      <rPr>
        <u val="single"/>
        <sz val="10"/>
        <color indexed="8"/>
        <rFont val="Arial"/>
      </rPr>
      <t>https://www.lcsc.com/datasheet/lcsc_datasheet_2304140030_Samsung-Electro-Mechanics-CL10A105KB8NNNC_C15849.pdf</t>
    </r>
  </si>
  <si>
    <r>
      <rPr>
        <sz val="10"/>
        <color indexed="8"/>
        <rFont val="Arial"/>
      </rPr>
      <t>CAP_10uF_X5R_1206_50V</t>
    </r>
  </si>
  <si>
    <r>
      <rPr>
        <sz val="10"/>
        <color indexed="8"/>
        <rFont val="Arial"/>
      </rPr>
      <t>10uF 10% X5R 50V</t>
    </r>
  </si>
  <si>
    <r>
      <rPr>
        <sz val="10"/>
        <color indexed="8"/>
        <rFont val="Arial"/>
      </rPr>
      <t>10uF CAP 10% X5R 50V</t>
    </r>
  </si>
  <si>
    <t>10uF</t>
  </si>
  <si>
    <t>50V 10uF X5R ±10% 1206 Multilayer Ceramic Capacitors MLCC</t>
  </si>
  <si>
    <t>1206</t>
  </si>
  <si>
    <t>C13585</t>
  </si>
  <si>
    <r>
      <rPr>
        <u val="single"/>
        <sz val="10"/>
        <color indexed="8"/>
        <rFont val="Arial"/>
      </rPr>
      <t>C13585</t>
    </r>
  </si>
  <si>
    <t>CL31A106KBHNNNE</t>
  </si>
  <si>
    <t>SPCoast:1206-CAP</t>
  </si>
  <si>
    <r>
      <rPr>
        <u val="single"/>
        <sz val="10"/>
        <color indexed="8"/>
        <rFont val="Arial"/>
      </rPr>
      <t>https://www.lcsc.com/datasheet/lcsc_datasheet_2304140030_Samsung-Electro-Mechanics-CL31A106KBHNNNE_C13585.pdf</t>
    </r>
  </si>
  <si>
    <r>
      <rPr>
        <sz val="10"/>
        <color indexed="8"/>
        <rFont val="Arial"/>
      </rPr>
      <t>CAP_220uF_Electrolytic_8x10</t>
    </r>
  </si>
  <si>
    <r>
      <rPr>
        <sz val="10"/>
        <color indexed="8"/>
        <rFont val="Arial"/>
      </rPr>
      <t>220uF 20% Electrolytic 35V</t>
    </r>
  </si>
  <si>
    <r>
      <rPr>
        <sz val="10"/>
        <color indexed="8"/>
        <rFont val="Arial"/>
      </rPr>
      <t>220uF CAP 20% Electrolytic 35V</t>
    </r>
  </si>
  <si>
    <t>220uF</t>
  </si>
  <si>
    <t>Electrolytic</t>
  </si>
  <si>
    <t>220uF 35V 300mA@120Hz ±20% SMD D8xL10mm Aluminum Electrolytic Capacitor</t>
  </si>
  <si>
    <t>8x10</t>
  </si>
  <si>
    <t>20%</t>
  </si>
  <si>
    <t>35V</t>
  </si>
  <si>
    <t>C136294</t>
  </si>
  <si>
    <r>
      <rPr>
        <u val="single"/>
        <sz val="10"/>
        <color indexed="8"/>
        <rFont val="Arial"/>
      </rPr>
      <t>C136294</t>
    </r>
  </si>
  <si>
    <t>Nichicon</t>
  </si>
  <si>
    <t>UCD1V221MNL1GS</t>
  </si>
  <si>
    <t>Device:C_Polarized_US</t>
  </si>
  <si>
    <t>SPCoast:CP_Elec_8x10</t>
  </si>
  <si>
    <r>
      <rPr>
        <u val="single"/>
        <sz val="10"/>
        <color indexed="8"/>
        <rFont val="Arial"/>
      </rPr>
      <t>https://www.lcsc.com/datasheet/lcsc_datasheet_1808312007_Nichicon-UCD1V221MNL1GS_C136294.pdf</t>
    </r>
  </si>
  <si>
    <r>
      <rPr>
        <sz val="10"/>
        <color indexed="8"/>
        <rFont val="Arial"/>
      </rPr>
      <t>CAP_1000uF_Electrolytic_8x11.5</t>
    </r>
  </si>
  <si>
    <r>
      <rPr>
        <sz val="10"/>
        <color indexed="8"/>
        <rFont val="Arial"/>
      </rPr>
      <t>1000uF 20% Electrolytic 6.3V</t>
    </r>
  </si>
  <si>
    <r>
      <rPr>
        <sz val="10"/>
        <color indexed="8"/>
        <rFont val="Arial"/>
      </rPr>
      <t>1000uF CAP 20% Electrolytic 6.3V</t>
    </r>
  </si>
  <si>
    <t>1000uF</t>
  </si>
  <si>
    <t>Aluminum Electrolytic Capacitors - Radial Leaded 1000uF 6.3V 85c</t>
  </si>
  <si>
    <t>8x11.5</t>
  </si>
  <si>
    <t>6.3V</t>
  </si>
  <si>
    <t>647-UVR0J102MPD1TD</t>
  </si>
  <si>
    <r>
      <rPr>
        <u val="single"/>
        <sz val="10"/>
        <color indexed="8"/>
        <rFont val="Arial"/>
      </rPr>
      <t>https://www.mouser.com/ProductDetail/Nichicon/UVR0J102MPD1TD</t>
    </r>
  </si>
  <si>
    <r>
      <rPr>
        <sz val="10"/>
        <color indexed="8"/>
        <rFont val="Arial"/>
      </rPr>
      <t>CAP_1000uF_Electrolytic_10x10.2</t>
    </r>
  </si>
  <si>
    <r>
      <rPr>
        <sz val="10"/>
        <color indexed="8"/>
        <rFont val="Arial"/>
      </rPr>
      <t>1000uF 20% Electrolytic 16V</t>
    </r>
  </si>
  <si>
    <r>
      <rPr>
        <sz val="10"/>
        <color indexed="8"/>
        <rFont val="Arial"/>
      </rPr>
      <t>1000uF CAP 20% Electrolytic 16V</t>
    </r>
  </si>
  <si>
    <t>Aluminum Electrolytic Capacitors - Radial Leaded 1000uF 16V -55-105c 347mA@120hz 20% D10xL10.2</t>
  </si>
  <si>
    <t>10x10.2</t>
  </si>
  <si>
    <t>16V</t>
  </si>
  <si>
    <t>C970714</t>
  </si>
  <si>
    <r>
      <rPr>
        <u val="single"/>
        <sz val="10"/>
        <color indexed="8"/>
        <rFont val="Arial"/>
      </rPr>
      <t>C970714</t>
    </r>
  </si>
  <si>
    <t>DMBJ</t>
  </si>
  <si>
    <t>RVT1C102M1010 1000UF 16V</t>
  </si>
  <si>
    <t>Capacitor_SMD:CP_Elec_10x10</t>
  </si>
  <si>
    <r>
      <rPr>
        <u val="single"/>
        <sz val="10"/>
        <color indexed="8"/>
        <rFont val="Arial"/>
      </rPr>
      <t>https://jlcpcb.com/api/file/downloadByFileSystemAccessId/8590911073887604736</t>
    </r>
  </si>
  <si>
    <r>
      <rPr>
        <sz val="10"/>
        <color indexed="8"/>
        <rFont val="Arial"/>
      </rPr>
      <t>DIO_4.7V_SOD-323</t>
    </r>
  </si>
  <si>
    <r>
      <rPr>
        <sz val="10"/>
        <color indexed="8"/>
        <rFont val="Arial"/>
      </rPr>
      <t>4.7V zener 43V 5mA 200mW</t>
    </r>
  </si>
  <si>
    <r>
      <rPr>
        <sz val="10"/>
        <color indexed="8"/>
        <rFont val="Arial"/>
      </rPr>
      <t>4.7V DIO zener 43V 5mA 200mW</t>
    </r>
  </si>
  <si>
    <t>DIO</t>
  </si>
  <si>
    <t>4.7V</t>
  </si>
  <si>
    <t>zener</t>
  </si>
  <si>
    <t>4.7V SOD-323 Zener Diode -W7</t>
  </si>
  <si>
    <t>SOD-323</t>
  </si>
  <si>
    <t>43V</t>
  </si>
  <si>
    <t>5mA</t>
  </si>
  <si>
    <t>200mW</t>
  </si>
  <si>
    <t>C353517</t>
  </si>
  <si>
    <r>
      <rPr>
        <u val="single"/>
        <sz val="10"/>
        <color indexed="8"/>
        <rFont val="Arial"/>
      </rPr>
      <t>C353517</t>
    </r>
  </si>
  <si>
    <t>Shandong Jingdao</t>
  </si>
  <si>
    <t>BZT52C4V7S</t>
  </si>
  <si>
    <t>SPCoast:D_Zener_Filled</t>
  </si>
  <si>
    <t>SPCoast:SOD-323</t>
  </si>
  <si>
    <r>
      <rPr>
        <u val="single"/>
        <sz val="10"/>
        <color indexed="8"/>
        <rFont val="Arial"/>
      </rPr>
      <t>https://www.lcsc.com/datasheet/lcsc_datasheet_2304140030_Shandong-Jingdao-Microelectronics-BZT52C4V7S_C353517.pdf</t>
    </r>
  </si>
  <si>
    <r>
      <rPr>
        <sz val="10"/>
        <color indexed="8"/>
        <rFont val="Arial"/>
      </rPr>
      <t>DIO_BAT54_SOT-23</t>
    </r>
  </si>
  <si>
    <r>
      <rPr>
        <sz val="10"/>
        <color indexed="8"/>
        <rFont val="Arial"/>
      </rPr>
      <t>BAT54 single Schottkey 30V</t>
    </r>
  </si>
  <si>
    <r>
      <rPr>
        <sz val="10"/>
        <color indexed="8"/>
        <rFont val="Arial"/>
      </rPr>
      <t>BAT54 DIO single Schottkey 30V</t>
    </r>
  </si>
  <si>
    <t>BAT54</t>
  </si>
  <si>
    <t>single Schottkey</t>
  </si>
  <si>
    <t>BAT54  Single Schottky 30V 200mA</t>
  </si>
  <si>
    <t>SOT-23</t>
  </si>
  <si>
    <t>30V</t>
  </si>
  <si>
    <t>C5261070</t>
  </si>
  <si>
    <r>
      <rPr>
        <u val="single"/>
        <sz val="10"/>
        <color indexed="8"/>
        <rFont val="Arial"/>
      </rPr>
      <t>C5261070</t>
    </r>
  </si>
  <si>
    <t>HXY</t>
  </si>
  <si>
    <t>Diode:BAT54</t>
  </si>
  <si>
    <t>SPCoast:SOT-23</t>
  </si>
  <si>
    <r>
      <rPr>
        <u val="single"/>
        <sz val="10"/>
        <color indexed="8"/>
        <rFont val="Arial"/>
      </rPr>
      <t>https://wmsc.lcsc.com/wmsc/upload/file/pdf/v2/lcsc/2406051353_HXY-MOSFET-BAT54_C5261070.pdf</t>
    </r>
  </si>
  <si>
    <r>
      <rPr>
        <sz val="10"/>
        <color indexed="8"/>
        <rFont val="Arial"/>
      </rPr>
      <t>DIO_BAT54A_SOT-23</t>
    </r>
  </si>
  <si>
    <r>
      <rPr>
        <sz val="10"/>
        <color indexed="8"/>
        <rFont val="Arial"/>
      </rPr>
      <t>BAT54A dual Schottkey common anode 30V</t>
    </r>
  </si>
  <si>
    <r>
      <rPr>
        <sz val="10"/>
        <color indexed="8"/>
        <rFont val="Arial"/>
      </rPr>
      <t>BAT54A DIO dual Schottkey common anode 30V</t>
    </r>
  </si>
  <si>
    <t>BAT54A</t>
  </si>
  <si>
    <t>dual Schottkey common anode</t>
  </si>
  <si>
    <t>BAT54A Dual Schottky 30V 200mA Common Anode</t>
  </si>
  <si>
    <t>C2926172</t>
  </si>
  <si>
    <r>
      <rPr>
        <u val="single"/>
        <sz val="10"/>
        <color indexed="8"/>
        <rFont val="Arial"/>
      </rPr>
      <t>C2926172</t>
    </r>
  </si>
  <si>
    <t>FOSAN</t>
  </si>
  <si>
    <t>Diode:BAT54A</t>
  </si>
  <si>
    <r>
      <rPr>
        <u val="single"/>
        <sz val="10"/>
        <color indexed="8"/>
        <rFont val="Arial"/>
      </rPr>
      <t>https://wmsc.lcsc.com/wmsc/upload/file/pdf/v2/lcsc/2112031830_FOSAN-BAT54A_C2926172.pdf</t>
    </r>
  </si>
  <si>
    <r>
      <rPr>
        <sz val="10"/>
        <color indexed="8"/>
        <rFont val="Arial"/>
      </rPr>
      <t>DIO_BAT54S_SOT-23</t>
    </r>
  </si>
  <si>
    <r>
      <rPr>
        <sz val="10"/>
        <color indexed="8"/>
        <rFont val="Arial"/>
      </rPr>
      <t>BAT54S dual Schottkey series 30V</t>
    </r>
  </si>
  <si>
    <r>
      <rPr>
        <sz val="10"/>
        <color indexed="8"/>
        <rFont val="Arial"/>
      </rPr>
      <t>BAT54S DIO dual Schottkey series 30V</t>
    </r>
  </si>
  <si>
    <t>BAT54S</t>
  </si>
  <si>
    <t>dual Schottkey series</t>
  </si>
  <si>
    <t>BAT54S Dual Schottky 30V 200mA Series</t>
  </si>
  <si>
    <t>C2926174</t>
  </si>
  <si>
    <r>
      <rPr>
        <u val="single"/>
        <sz val="10"/>
        <color indexed="8"/>
        <rFont val="Arial"/>
      </rPr>
      <t>C2926174</t>
    </r>
  </si>
  <si>
    <t>Diode:BAT54S</t>
  </si>
  <si>
    <r>
      <rPr>
        <u val="single"/>
        <sz val="10"/>
        <color indexed="8"/>
        <rFont val="Arial"/>
      </rPr>
      <t>https://wmsc.lcsc.com/wmsc/upload/file/pdf/v2/lcsc/2112031830_FOSAN-BAT54S_C2926174.pdf</t>
    </r>
  </si>
  <si>
    <r>
      <rPr>
        <sz val="10"/>
        <color indexed="8"/>
        <rFont val="Arial"/>
      </rPr>
      <t>DIO_BAT54C_SOT-23</t>
    </r>
  </si>
  <si>
    <r>
      <rPr>
        <sz val="10"/>
        <color indexed="8"/>
        <rFont val="Arial"/>
      </rPr>
      <t>BAT54C dual Schottkey common cathode 30V</t>
    </r>
  </si>
  <si>
    <r>
      <rPr>
        <sz val="10"/>
        <color indexed="8"/>
        <rFont val="Arial"/>
      </rPr>
      <t>BAT54C DIO dual Schottkey common cathode 30V</t>
    </r>
  </si>
  <si>
    <t>BAT54C</t>
  </si>
  <si>
    <t>dual Schottkey common cathode</t>
  </si>
  <si>
    <t>30V 1 pair of common cathodes 1V@100mA 200mA SOT-23 Schottky Diodes</t>
  </si>
  <si>
    <t>C408388</t>
  </si>
  <si>
    <r>
      <rPr>
        <u val="single"/>
        <sz val="10"/>
        <color indexed="8"/>
        <rFont val="Arial"/>
      </rPr>
      <t>C408388</t>
    </r>
  </si>
  <si>
    <t>Microdiode</t>
  </si>
  <si>
    <t>Diode:BAT54C</t>
  </si>
  <si>
    <r>
      <rPr>
        <u val="single"/>
        <sz val="10"/>
        <color indexed="8"/>
        <rFont val="Arial"/>
      </rPr>
      <t>https://www.lcsc.com/datasheet/lcsc_datasheet_2407101108_MDD-Microdiode-Semiconductor-BAT54C_C408388.pdf</t>
    </r>
  </si>
  <si>
    <r>
      <rPr>
        <sz val="10"/>
        <color indexed="8"/>
        <rFont val="Arial"/>
      </rPr>
      <t>IC_LM358D_SOP-8</t>
    </r>
  </si>
  <si>
    <r>
      <rPr>
        <sz val="10"/>
        <color indexed="8"/>
        <rFont val="Arial"/>
      </rPr>
      <t>LM358D dual OpAmp ±15V or +30V</t>
    </r>
  </si>
  <si>
    <r>
      <rPr>
        <sz val="10"/>
        <color indexed="8"/>
        <rFont val="Arial"/>
      </rPr>
      <t>LM358D IC dual OpAmp ±15V or +30V</t>
    </r>
  </si>
  <si>
    <t>IC</t>
  </si>
  <si>
    <t>LM358D</t>
  </si>
  <si>
    <t>dual OpAmp</t>
  </si>
  <si>
    <t>SOP-8 Operational Amplifier</t>
  </si>
  <si>
    <t>SOP-8</t>
  </si>
  <si>
    <t>±15V or +30V</t>
  </si>
  <si>
    <t>C2683482</t>
  </si>
  <si>
    <r>
      <rPr>
        <u val="single"/>
        <sz val="10"/>
        <color indexed="8"/>
        <rFont val="Arial"/>
      </rPr>
      <t>C2683482</t>
    </r>
  </si>
  <si>
    <t>IDCHIP</t>
  </si>
  <si>
    <t>SPCoast:LM358</t>
  </si>
  <si>
    <t>SPCoast:SOIC-8_3.9x4.9mm_P1.27mm;Package_SO:SOIC-8_3.9x4.9mm_P1.27mm</t>
  </si>
  <si>
    <r>
      <rPr>
        <u val="single"/>
        <sz val="10"/>
        <color indexed="8"/>
        <rFont val="Arial"/>
      </rPr>
      <t>https://www.lcsc.com/datasheet/lcsc_datasheet_2403081523_IDCHIP-LM358D_C2683482.pdf</t>
    </r>
  </si>
  <si>
    <r>
      <rPr>
        <sz val="10"/>
        <color indexed="8"/>
        <rFont val="Arial"/>
      </rPr>
      <t>IC_NE556_SOP-14</t>
    </r>
  </si>
  <si>
    <r>
      <rPr>
        <sz val="10"/>
        <color indexed="8"/>
        <rFont val="Arial"/>
      </rPr>
      <t>NE556 Dual Timer 16V 600mW</t>
    </r>
  </si>
  <si>
    <r>
      <rPr>
        <sz val="10"/>
        <color indexed="8"/>
        <rFont val="Arial"/>
      </rPr>
      <t>NE556 IC Dual Timer 16V 600mW</t>
    </r>
  </si>
  <si>
    <t>NE556</t>
  </si>
  <si>
    <t>Dual Timer</t>
  </si>
  <si>
    <t>NE556 100kHz Dual Timer</t>
  </si>
  <si>
    <t>SOP-14</t>
  </si>
  <si>
    <t>600mW</t>
  </si>
  <si>
    <t>C5145392</t>
  </si>
  <si>
    <r>
      <rPr>
        <u val="single"/>
        <sz val="10"/>
        <color indexed="8"/>
        <rFont val="Arial"/>
      </rPr>
      <t>C5145392</t>
    </r>
  </si>
  <si>
    <t>HANSCHIP</t>
  </si>
  <si>
    <t>NE556DRG</t>
  </si>
  <si>
    <t>Timer:NE556</t>
  </si>
  <si>
    <t>SPCoast:SOP_14;Package_SO:SOIC-14_3.9x8.7mm_P1.27mm</t>
  </si>
  <si>
    <r>
      <rPr>
        <u val="single"/>
        <sz val="10"/>
        <color indexed="8"/>
        <rFont val="Arial"/>
      </rPr>
      <t>https://wmsc.lcsc.com/wmsc/upload/file/pdf/v2/lcsc/2209290930_HANSCHIP-semiconductor-NE556DRG_C5145392.pdf</t>
    </r>
  </si>
  <si>
    <r>
      <rPr>
        <sz val="10"/>
        <color indexed="8"/>
        <rFont val="Arial"/>
      </rPr>
      <t>IC_MCP23017_SOIC-28-300mil</t>
    </r>
  </si>
  <si>
    <r>
      <rPr>
        <sz val="10"/>
        <color indexed="8"/>
        <rFont val="Arial"/>
      </rPr>
      <t>MCP23017 I2C 16-bit I/O Expander</t>
    </r>
  </si>
  <si>
    <r>
      <rPr>
        <sz val="10"/>
        <color indexed="8"/>
        <rFont val="Arial"/>
      </rPr>
      <t>MCP23017 IC I2C 16-bit I/O Expander</t>
    </r>
  </si>
  <si>
    <t>MCP23017</t>
  </si>
  <si>
    <t>I2C 16-bit I/O Expander</t>
  </si>
  <si>
    <t>MCP23017 I2C 16 bit I/O Expander</t>
  </si>
  <si>
    <t>SOIC-28-300mil</t>
  </si>
  <si>
    <t>C629440</t>
  </si>
  <si>
    <r>
      <rPr>
        <u val="single"/>
        <sz val="10"/>
        <color indexed="8"/>
        <rFont val="Arial"/>
      </rPr>
      <t>C629440</t>
    </r>
  </si>
  <si>
    <t>Microchip</t>
  </si>
  <si>
    <t>MCP23017T-E/SO</t>
  </si>
  <si>
    <t>SPCoast:MCP23017_SO</t>
  </si>
  <si>
    <t>SPCoast:SOIC-28W_7.5x17.9mm</t>
  </si>
  <si>
    <r>
      <rPr>
        <u val="single"/>
        <sz val="10"/>
        <color indexed="8"/>
        <rFont val="Arial"/>
      </rPr>
      <t>https://wmsc.lcsc.com/wmsc/upload/file/pdf/v2/lcsc/2203221230_Microchip-Tech-MCP23017T-E-SO_C629440.pdf</t>
    </r>
  </si>
  <si>
    <r>
      <rPr>
        <sz val="10"/>
        <color indexed="8"/>
        <rFont val="Arial"/>
      </rPr>
      <t>IC_PCA9685_TSSOP-28</t>
    </r>
  </si>
  <si>
    <r>
      <rPr>
        <sz val="10"/>
        <color indexed="8"/>
        <rFont val="Arial"/>
      </rPr>
      <t>PCA9685 I2C 16-bit PWM LED Driver</t>
    </r>
  </si>
  <si>
    <r>
      <rPr>
        <sz val="10"/>
        <color indexed="8"/>
        <rFont val="Arial"/>
      </rPr>
      <t>PCA9685 IC I2C 16-bit PWM LED Driver</t>
    </r>
  </si>
  <si>
    <t>PCA9685</t>
  </si>
  <si>
    <t>I2C 16-bit PWM LED Driver</t>
  </si>
  <si>
    <t>5.5V 100kHz~1MHz PWM 16 25mA 2.3V~5.5V TSSOP-28 LED Driver</t>
  </si>
  <si>
    <t>TSSOP-28</t>
  </si>
  <si>
    <t>C2678753</t>
  </si>
  <si>
    <r>
      <rPr>
        <u val="single"/>
        <sz val="10"/>
        <color indexed="8"/>
        <rFont val="Arial"/>
      </rPr>
      <t>C2678753</t>
    </r>
  </si>
  <si>
    <t>NXP</t>
  </si>
  <si>
    <t>PCA9685PW,118</t>
  </si>
  <si>
    <t>SPCoast:PCA9685PW</t>
  </si>
  <si>
    <t>Package_SO:TSSOP-28_4.4x9.7mm_P0.65mm</t>
  </si>
  <si>
    <r>
      <rPr>
        <u val="single"/>
        <sz val="10"/>
        <color indexed="8"/>
        <rFont val="Arial"/>
      </rPr>
      <t>https://www.lcsc.com/datasheet/lcsc_datasheet_2405281434_NXP-Semicon-PCA9685PW-118_C2678753.pdf</t>
    </r>
  </si>
  <si>
    <r>
      <rPr>
        <sz val="10"/>
        <color indexed="8"/>
        <rFont val="Arial"/>
      </rPr>
      <t>LED_Blue_0603_20mA</t>
    </r>
  </si>
  <si>
    <r>
      <rPr>
        <sz val="10"/>
        <color indexed="8"/>
        <rFont val="Arial"/>
      </rPr>
      <t>Blue LED clear 3.3V 20mA 240mcd</t>
    </r>
  </si>
  <si>
    <t>LED</t>
  </si>
  <si>
    <t>Blue</t>
  </si>
  <si>
    <t>clear</t>
  </si>
  <si>
    <t>20mA 240mcd Colorless and transparent -20℃~+85℃ Positive Stick 455nm~475nm Blue 120° 70mW 3.3V 0603 LED Indication</t>
  </si>
  <si>
    <t>3.3V</t>
  </si>
  <si>
    <t>20mA</t>
  </si>
  <si>
    <t>120°</t>
  </si>
  <si>
    <t>455nm~475nm</t>
  </si>
  <si>
    <t>240</t>
  </si>
  <si>
    <t>C965807</t>
  </si>
  <si>
    <r>
      <rPr>
        <u val="single"/>
        <sz val="10"/>
        <color indexed="8"/>
        <rFont val="Arial"/>
      </rPr>
      <t>C965807</t>
    </r>
  </si>
  <si>
    <t>XINGLIGHT</t>
  </si>
  <si>
    <t>XL-1608UBC-04</t>
  </si>
  <si>
    <t>Device:LED</t>
  </si>
  <si>
    <t>SPCoast:0603-LED</t>
  </si>
  <si>
    <r>
      <rPr>
        <u val="single"/>
        <sz val="10"/>
        <color indexed="8"/>
        <rFont val="Arial"/>
      </rPr>
      <t>https://wmsc.lcsc.com/wmsc/upload/file/pdf/v2/lcsc/2402181505_XINGLIGHT-XL-1608UBC-04_C965807.pdf</t>
    </r>
  </si>
  <si>
    <r>
      <rPr>
        <sz val="10"/>
        <color indexed="8"/>
        <rFont val="Arial"/>
      </rPr>
      <t>LED_White_0603_20mA</t>
    </r>
  </si>
  <si>
    <r>
      <rPr>
        <sz val="10"/>
        <color indexed="8"/>
        <rFont val="Arial"/>
      </rPr>
      <t>White LED warm 2.7V 20mA 130mcd</t>
    </r>
  </si>
  <si>
    <t>White</t>
  </si>
  <si>
    <t>warm</t>
  </si>
  <si>
    <t>20mA 13700K~33000K 130mcd WarmWhite -20℃~+85℃ Positive Stick White 120° 70mW 2.7V 0603 LED Indication</t>
  </si>
  <si>
    <t>2.7V</t>
  </si>
  <si>
    <t>13700 - 33000 K</t>
  </si>
  <si>
    <t>130</t>
  </si>
  <si>
    <t>C965808</t>
  </si>
  <si>
    <r>
      <rPr>
        <u val="single"/>
        <sz val="10"/>
        <color indexed="8"/>
        <rFont val="Arial"/>
      </rPr>
      <t>C965808</t>
    </r>
  </si>
  <si>
    <t>XL-1608UWC-04</t>
  </si>
  <si>
    <r>
      <rPr>
        <u val="single"/>
        <sz val="10"/>
        <color indexed="8"/>
        <rFont val="Arial"/>
      </rPr>
      <t>https://wmsc.lcsc.com/wmsc/upload/file/pdf/v2/lcsc/2402181505_XINGLIGHT-XL-1608UWC-04_C965808.pdf</t>
    </r>
  </si>
  <si>
    <r>
      <rPr>
        <sz val="10"/>
        <color indexed="8"/>
        <rFont val="Arial"/>
      </rPr>
      <t>LED_Green Emerald_0603_20mA</t>
    </r>
  </si>
  <si>
    <r>
      <rPr>
        <sz val="10"/>
        <color indexed="8"/>
        <rFont val="Arial"/>
      </rPr>
      <t>Green Emerald LED clear 3.3V 20mA 810mcd</t>
    </r>
  </si>
  <si>
    <t>Green Emerald</t>
  </si>
  <si>
    <t>20mA 810mcd Colorless transparent  515nm~535nm -20℃~+85℃ Positive Stick Emerald Green 120° 70mW 3.3V 0603 LED Indication</t>
  </si>
  <si>
    <t>515nm~535nm</t>
  </si>
  <si>
    <t>810</t>
  </si>
  <si>
    <t>C965804</t>
  </si>
  <si>
    <r>
      <rPr>
        <u val="single"/>
        <sz val="10"/>
        <color indexed="8"/>
        <rFont val="Arial"/>
      </rPr>
      <t>C965804</t>
    </r>
  </si>
  <si>
    <t>XL-1608UGC-04</t>
  </si>
  <si>
    <r>
      <rPr>
        <u val="single"/>
        <sz val="10"/>
        <color indexed="8"/>
        <rFont val="Arial"/>
      </rPr>
      <t>https://wmsc.lcsc.com/wmsc/upload/file/pdf/v2/lcsc/2402181505_XINGLIGHT-XL-1608UGC-04_C965804.pdf</t>
    </r>
  </si>
  <si>
    <r>
      <rPr>
        <sz val="10"/>
        <color indexed="8"/>
        <rFont val="Arial"/>
      </rPr>
      <t>LED_Yellow Green_0603_20mA</t>
    </r>
  </si>
  <si>
    <r>
      <rPr>
        <sz val="10"/>
        <color indexed="8"/>
        <rFont val="Arial"/>
      </rPr>
      <t>Yellow Green LED clear 2.4V 20mA 240mcd</t>
    </r>
  </si>
  <si>
    <t>Yellow Green</t>
  </si>
  <si>
    <t>20mA 240mcd Colorless transparent 565nm~575nm -20℃~+85℃ Positive Stick Yellow Green 120° 50mW 2.4V 0603 LED Indication</t>
  </si>
  <si>
    <t>2.4V</t>
  </si>
  <si>
    <t>565nm~575nm</t>
  </si>
  <si>
    <t>C965806</t>
  </si>
  <si>
    <r>
      <rPr>
        <u val="single"/>
        <sz val="10"/>
        <color indexed="8"/>
        <rFont val="Arial"/>
      </rPr>
      <t>C965806</t>
    </r>
  </si>
  <si>
    <t>XL-1608SYGC-04</t>
  </si>
  <si>
    <r>
      <rPr>
        <u val="single"/>
        <sz val="10"/>
        <color indexed="8"/>
        <rFont val="Arial"/>
      </rPr>
      <t>https://wmsc.lcsc.com/wmsc/upload/file/pdf/v2/lcsc/2402181505_XINGLIGHT-XL-1608SYGC-04_C965806.pdf</t>
    </r>
  </si>
  <si>
    <r>
      <rPr>
        <sz val="10"/>
        <color indexed="8"/>
        <rFont val="Arial"/>
      </rPr>
      <t>LED_Orange_0603_10mA</t>
    </r>
  </si>
  <si>
    <r>
      <rPr>
        <sz val="10"/>
        <color indexed="8"/>
        <rFont val="Arial"/>
      </rPr>
      <t>Orange LED clear 2.2V 10mA 70mcd</t>
    </r>
  </si>
  <si>
    <t>Orange</t>
  </si>
  <si>
    <t>10mA Orange 0603 LED Indication</t>
  </si>
  <si>
    <t>2.2V</t>
  </si>
  <si>
    <t>10mA</t>
  </si>
  <si>
    <t>600nm~612nm</t>
  </si>
  <si>
    <t>70</t>
  </si>
  <si>
    <t>C22371303</t>
  </si>
  <si>
    <r>
      <rPr>
        <u val="single"/>
        <sz val="10"/>
        <color indexed="8"/>
        <rFont val="Arial"/>
      </rPr>
      <t>C22371303</t>
    </r>
  </si>
  <si>
    <t>HONGLITRONIC</t>
  </si>
  <si>
    <t>HL-PSC-1608S25OC-G4</t>
  </si>
  <si>
    <r>
      <rPr>
        <u val="single"/>
        <sz val="10"/>
        <color indexed="8"/>
        <rFont val="Arial"/>
      </rPr>
      <t>https://wmsc.lcsc.com/wmsc/upload/file/pdf/v2/lcsc/2403281522_HONGLITRONIC-Hongli-Zhihui--HONGLITRONIC-HL-PSC-1608S25OC-G4_C22371303.pdf</t>
    </r>
  </si>
  <si>
    <r>
      <rPr>
        <sz val="10"/>
        <color indexed="8"/>
        <rFont val="Arial"/>
      </rPr>
      <t>LED_Orange_0603_20mA</t>
    </r>
  </si>
  <si>
    <r>
      <rPr>
        <sz val="10"/>
        <color indexed="8"/>
        <rFont val="Arial"/>
      </rPr>
      <t>Orange LED clear 2.3V 20mA 315mcd</t>
    </r>
  </si>
  <si>
    <t>20mA 315mcd Colorless transparent -20℃~+85℃ 600nm~610nm Positive Stick Orange 120° 50mW 2.3V 0603 LED Indication</t>
  </si>
  <si>
    <t>2.3V</t>
  </si>
  <si>
    <t>315</t>
  </si>
  <si>
    <t>C965800</t>
  </si>
  <si>
    <r>
      <rPr>
        <u val="single"/>
        <sz val="10"/>
        <color indexed="8"/>
        <rFont val="Arial"/>
      </rPr>
      <t>C965800</t>
    </r>
  </si>
  <si>
    <t>XL-1608UOC-06</t>
  </si>
  <si>
    <r>
      <rPr>
        <u val="single"/>
        <sz val="10"/>
        <color indexed="8"/>
        <rFont val="Arial"/>
      </rPr>
      <t>https://wmsc.lcsc.com/wmsc/upload/file/pdf/v2/lcsc/2402181505_XINGLIGHT-XL-1608UOC-06_C965800.pdf</t>
    </r>
  </si>
  <si>
    <t>600nm~610nm</t>
  </si>
  <si>
    <t>C965801</t>
  </si>
  <si>
    <r>
      <rPr>
        <u val="single"/>
        <sz val="10"/>
        <color indexed="8"/>
        <rFont val="Arial"/>
      </rPr>
      <t>C965801</t>
    </r>
  </si>
  <si>
    <t>XL-1608UOC-04</t>
  </si>
  <si>
    <r>
      <rPr>
        <sz val="10"/>
        <color indexed="8"/>
        <rFont val="Arial"/>
      </rPr>
      <t>LED_Yellow_0603_20mA</t>
    </r>
  </si>
  <si>
    <r>
      <rPr>
        <sz val="10"/>
        <color indexed="8"/>
        <rFont val="Arial"/>
      </rPr>
      <t>Yellow LED clear 2.3V 20mA 450mcd</t>
    </r>
  </si>
  <si>
    <t>Yellow</t>
  </si>
  <si>
    <t>20mA 450mcd Colorless transparent -20℃~+85℃ 585nm~595nm Positive Stick Yellow 120° 50mW 2.3V 0603 LED Indication</t>
  </si>
  <si>
    <t>585nm~595nm</t>
  </si>
  <si>
    <t>450</t>
  </si>
  <si>
    <t>C965803</t>
  </si>
  <si>
    <r>
      <rPr>
        <u val="single"/>
        <sz val="10"/>
        <color indexed="8"/>
        <rFont val="Arial"/>
      </rPr>
      <t>C965803</t>
    </r>
  </si>
  <si>
    <t>XL-1608UYC-04</t>
  </si>
  <si>
    <r>
      <rPr>
        <u val="single"/>
        <sz val="10"/>
        <color indexed="8"/>
        <rFont val="Arial"/>
      </rPr>
      <t>https://wmsc.lcsc.com/wmsc/upload/file/pdf/v2/lcsc/2402181505_XINGLIGHT-XL-1608UOC-04_C965801.pdf</t>
    </r>
  </si>
  <si>
    <r>
      <rPr>
        <sz val="10"/>
        <color indexed="8"/>
        <rFont val="Arial"/>
      </rPr>
      <t>LED_Red_0603_20mA</t>
    </r>
  </si>
  <si>
    <r>
      <rPr>
        <sz val="10"/>
        <color indexed="8"/>
        <rFont val="Arial"/>
      </rPr>
      <t>Red LED clear 2.2V 20mA 150mcd</t>
    </r>
  </si>
  <si>
    <t>Red</t>
  </si>
  <si>
    <t>20mA 150mcd 622nm Red 120° 2.2V 0603 LED Indication</t>
  </si>
  <si>
    <t>150</t>
  </si>
  <si>
    <t>C7288939</t>
  </si>
  <si>
    <r>
      <rPr>
        <u val="single"/>
        <sz val="10"/>
        <color indexed="8"/>
        <rFont val="Arial"/>
      </rPr>
      <t>C7288939</t>
    </r>
  </si>
  <si>
    <t>Inolux</t>
  </si>
  <si>
    <t>IN-S63ASR</t>
  </si>
  <si>
    <r>
      <rPr>
        <u val="single"/>
        <sz val="10"/>
        <color indexed="8"/>
        <rFont val="Arial"/>
      </rPr>
      <t>https://wmsc.lcsc.com/wmsc/upload/file/pdf/v2/lcsc/2404241146_Inolux-IN-S63ASR_C7288939.pdf</t>
    </r>
  </si>
  <si>
    <r>
      <rPr>
        <sz val="10"/>
        <color indexed="8"/>
        <rFont val="Arial"/>
      </rPr>
      <t>Red LED clear 2.3V 20mA 330mcd</t>
    </r>
  </si>
  <si>
    <t>20mA 330mcd Colorless transparent -20℃~+85℃ Positive Stick 620nm~630nm Red 120° 50mW 2.3V 0603 LED Indication</t>
  </si>
  <si>
    <t>330</t>
  </si>
  <si>
    <t>C965799</t>
  </si>
  <si>
    <r>
      <rPr>
        <u val="single"/>
        <sz val="10"/>
        <color indexed="8"/>
        <rFont val="Arial"/>
      </rPr>
      <t>C965799</t>
    </r>
  </si>
  <si>
    <t>XL-1608SURC-06</t>
  </si>
  <si>
    <r>
      <rPr>
        <u val="single"/>
        <sz val="10"/>
        <color indexed="8"/>
        <rFont val="Arial"/>
      </rPr>
      <t>https://wmsc.lcsc.com/wmsc/upload/file/pdf/v2/lcsc/2402181505_XINGLIGHT-XL-1608SURC-06_C965799.pdf</t>
    </r>
  </si>
  <si>
    <r>
      <rPr>
        <sz val="10"/>
        <color indexed="8"/>
        <rFont val="Arial"/>
      </rPr>
      <t>Red LED clear 2.4V 20mA 360mcd</t>
    </r>
  </si>
  <si>
    <t>20mA 360mcd Colorless transparent 615nm~625nm -20℃~+85℃ Positive Stick Red 120° 50mW 2.4V 0603 LED Indication</t>
  </si>
  <si>
    <t>615nm~625nm</t>
  </si>
  <si>
    <t>360</t>
  </si>
  <si>
    <t>C965798</t>
  </si>
  <si>
    <r>
      <rPr>
        <u val="single"/>
        <sz val="10"/>
        <color indexed="8"/>
        <rFont val="Arial"/>
      </rPr>
      <t>C965798</t>
    </r>
  </si>
  <si>
    <t xml:space="preserve">XL-1608SURC-04
</t>
  </si>
  <si>
    <r>
      <rPr>
        <u val="single"/>
        <sz val="10"/>
        <color indexed="8"/>
        <rFont val="Arial"/>
      </rPr>
      <t>https://wmsc.lcsc.com/wmsc/upload/file/pdf/v2/lcsc/2402181505_XINGLIGHT-XL-1608SURC-04_C965798.pdf</t>
    </r>
  </si>
  <si>
    <r>
      <rPr>
        <sz val="10"/>
        <color indexed="8"/>
        <rFont val="Arial"/>
      </rPr>
      <t>LED_WS2812B_SMD5050</t>
    </r>
  </si>
  <si>
    <r>
      <rPr>
        <sz val="10"/>
        <color indexed="8"/>
        <rFont val="Arial"/>
      </rPr>
      <t>WS2812B LED WS2812B-WS2812B5050 5v 12mA</t>
    </r>
  </si>
  <si>
    <t>WS2812B</t>
  </si>
  <si>
    <t>WS2812B-WS2812B5050</t>
  </si>
  <si>
    <t>SMD5050 RGB LEDs(Built-in IC) NeoPixel</t>
  </si>
  <si>
    <t>SMD5050</t>
  </si>
  <si>
    <t>5v</t>
  </si>
  <si>
    <t>12mA</t>
  </si>
  <si>
    <t>C2843785</t>
  </si>
  <si>
    <r>
      <rPr>
        <u val="single"/>
        <sz val="10"/>
        <color indexed="8"/>
        <rFont val="Arial"/>
      </rPr>
      <t>C2843785</t>
    </r>
  </si>
  <si>
    <t>XL-5050RGBC-WS2812B</t>
  </si>
  <si>
    <t>SPCoast:WS2812B</t>
  </si>
  <si>
    <r>
      <rPr>
        <u val="single"/>
        <sz val="10"/>
        <color indexed="8"/>
        <rFont val="Arial"/>
      </rPr>
      <t>https://www.lcsc.com/datasheet/lcsc_datasheet_2404120946_XINGLIGHT-XL-5050RGBC-WS2812B_C2843785.pdf</t>
    </r>
  </si>
  <si>
    <r>
      <rPr>
        <sz val="10"/>
        <color indexed="8"/>
        <rFont val="Arial"/>
      </rPr>
      <t>REG_AMS1117-ADJ_SOT-223-3</t>
    </r>
  </si>
  <si>
    <r>
      <rPr>
        <sz val="10"/>
        <color indexed="8"/>
        <rFont val="Arial"/>
      </rPr>
      <t>AMS1117-ADJ ADJ 1.25-10.5v 1A</t>
    </r>
  </si>
  <si>
    <r>
      <rPr>
        <sz val="10"/>
        <color indexed="8"/>
        <rFont val="Arial"/>
      </rPr>
      <t>AMS1117-ADJ REG ADJ 1.25-10.5v 1A</t>
    </r>
  </si>
  <si>
    <t>REG</t>
  </si>
  <si>
    <t>AMS1117-ADJ</t>
  </si>
  <si>
    <t>ADJ</t>
  </si>
  <si>
    <r>
      <rPr>
        <sz val="10"/>
        <color indexed="8"/>
        <rFont val="American Typewriter"/>
      </rPr>
      <t>1A Low Dropout regulator positive adjustable output / fixed: 1.5V</t>
    </r>
    <r>
      <rPr>
        <sz val="10"/>
        <color indexed="8"/>
        <rFont val="Symbol"/>
      </rPr>
      <t>≤</t>
    </r>
    <r>
      <rPr>
        <sz val="10"/>
        <color indexed="8"/>
        <rFont val="American Typewriter"/>
      </rPr>
      <t xml:space="preserve"> (V</t>
    </r>
    <r>
      <rPr>
        <sz val="5"/>
        <color indexed="8"/>
        <rFont val="American Typewriter"/>
      </rPr>
      <t>IN</t>
    </r>
    <r>
      <rPr>
        <sz val="10"/>
        <color indexed="8"/>
        <rFont val="American Typewriter"/>
      </rPr>
      <t xml:space="preserve"> - V</t>
    </r>
    <r>
      <rPr>
        <sz val="5"/>
        <color indexed="8"/>
        <rFont val="American Typewriter"/>
      </rPr>
      <t>OUT</t>
    </r>
    <r>
      <rPr>
        <sz val="10"/>
        <color indexed="8"/>
        <rFont val="American Typewriter"/>
      </rPr>
      <t xml:space="preserve">) </t>
    </r>
    <r>
      <rPr>
        <sz val="10"/>
        <color indexed="8"/>
        <rFont val="Symbol"/>
      </rPr>
      <t>≤</t>
    </r>
    <r>
      <rPr>
        <sz val="10"/>
        <color indexed="8"/>
        <rFont val="American Typewriter"/>
      </rPr>
      <t xml:space="preserve"> 12V 1.5V 1.8V 2.5V 2.85V 3.3V and 5.0V</t>
    </r>
  </si>
  <si>
    <t>SOT-223-3</t>
  </si>
  <si>
    <t>1.25-10.5v</t>
  </si>
  <si>
    <t>1A</t>
  </si>
  <si>
    <t>C5345985</t>
  </si>
  <si>
    <r>
      <rPr>
        <u val="single"/>
        <sz val="10"/>
        <color indexed="8"/>
        <rFont val="Arial"/>
      </rPr>
      <t>C5345985</t>
    </r>
  </si>
  <si>
    <t>HXY MOSFET</t>
  </si>
  <si>
    <t>SPCoast:AMS1117</t>
  </si>
  <si>
    <t>SPCoast:SOT-223-3_TabPin2</t>
  </si>
  <si>
    <r>
      <rPr>
        <u val="single"/>
        <sz val="10"/>
        <color indexed="8"/>
        <rFont val="Arial"/>
      </rPr>
      <t>https://wmsc.lcsc.com/wmsc/upload/file/pdf/v2/lcsc/2301120930_HXY-MOSFET-AMS1117-ADJ_C5345985.pdf</t>
    </r>
  </si>
  <si>
    <r>
      <rPr>
        <sz val="10"/>
        <color indexed="8"/>
        <rFont val="Arial"/>
      </rPr>
      <t>REG_AMS1117-3.3_SOT-223-3</t>
    </r>
  </si>
  <si>
    <r>
      <rPr>
        <sz val="10"/>
        <color indexed="8"/>
        <rFont val="Arial"/>
      </rPr>
      <t>AMS1117-3.3 3v3 3v3 1A</t>
    </r>
  </si>
  <si>
    <r>
      <rPr>
        <sz val="10"/>
        <color indexed="8"/>
        <rFont val="Arial"/>
      </rPr>
      <t>AMS1117-3.3 REG 3v3 3v3 1A</t>
    </r>
  </si>
  <si>
    <t>AMS1117-3.3</t>
  </si>
  <si>
    <t>3v3</t>
  </si>
  <si>
    <t>1A Low Dropout regulator positive fixed 3.3V</t>
  </si>
  <si>
    <t>C5345982</t>
  </si>
  <si>
    <r>
      <rPr>
        <u val="single"/>
        <sz val="10"/>
        <color indexed="8"/>
        <rFont val="Arial"/>
      </rPr>
      <t>C5345982</t>
    </r>
  </si>
  <si>
    <r>
      <rPr>
        <u val="single"/>
        <sz val="10"/>
        <color indexed="8"/>
        <rFont val="Arial"/>
      </rPr>
      <t>https://wmsc.lcsc.com/wmsc/upload/file/pdf/v2/lcsc/2301120930_HXY-MOSFET-AMS1117-3-3_C5345982.pdf</t>
    </r>
  </si>
  <si>
    <r>
      <rPr>
        <sz val="10"/>
        <color indexed="8"/>
        <rFont val="Arial"/>
      </rPr>
      <t>REG_AMS1117-5.0_SOT-223-3</t>
    </r>
  </si>
  <si>
    <r>
      <rPr>
        <sz val="10"/>
        <color indexed="8"/>
        <rFont val="Arial"/>
      </rPr>
      <t>AMS1117-5.0 5v 5v0 1A</t>
    </r>
  </si>
  <si>
    <r>
      <rPr>
        <sz val="10"/>
        <color indexed="8"/>
        <rFont val="Arial"/>
      </rPr>
      <t>AMS1117-5.0 REG 5v 5v0 1A</t>
    </r>
  </si>
  <si>
    <t>AMS1117-5.0</t>
  </si>
  <si>
    <t>1A Low Dropout regulator positive fixed 5.0V</t>
  </si>
  <si>
    <t>5v0</t>
  </si>
  <si>
    <t>C5345984</t>
  </si>
  <si>
    <r>
      <rPr>
        <u val="single"/>
        <sz val="10"/>
        <color indexed="8"/>
        <rFont val="Arial"/>
      </rPr>
      <t>C5345984</t>
    </r>
  </si>
  <si>
    <r>
      <rPr>
        <u val="single"/>
        <sz val="10"/>
        <color indexed="8"/>
        <rFont val="Arial"/>
      </rPr>
      <t>https://wmsc.lcsc.com/wmsc/upload/file/pdf/v2/lcsc/2301120930_HXY-MOSFET-AMS1117-5-0_C5345984.pdf</t>
    </r>
  </si>
  <si>
    <r>
      <rPr>
        <sz val="10"/>
        <color indexed="8"/>
        <rFont val="Arial"/>
      </rPr>
      <t>REG_78L05_TO-220</t>
    </r>
  </si>
  <si>
    <r>
      <rPr>
        <sz val="10"/>
        <color indexed="8"/>
        <rFont val="Arial"/>
      </rPr>
      <t>78L05 5v</t>
    </r>
  </si>
  <si>
    <r>
      <rPr>
        <sz val="10"/>
        <color indexed="8"/>
        <rFont val="Arial"/>
      </rPr>
      <t>78L05 REG 5v</t>
    </r>
  </si>
  <si>
    <t>78L05</t>
  </si>
  <si>
    <t>5v Linear Regulator</t>
  </si>
  <si>
    <t>TO-220</t>
  </si>
  <si>
    <r>
      <rPr>
        <sz val="10"/>
        <color indexed="8"/>
        <rFont val="Arial"/>
      </rPr>
      <t>RLY_G2RL-2_29x12.7x15.7mm</t>
    </r>
  </si>
  <si>
    <r>
      <rPr>
        <sz val="10"/>
        <color indexed="8"/>
        <rFont val="Arial"/>
      </rPr>
      <t>G2RL-2 24v DPDT 24v 8A</t>
    </r>
  </si>
  <si>
    <r>
      <rPr>
        <sz val="10"/>
        <color indexed="8"/>
        <rFont val="Arial"/>
      </rPr>
      <t>G2RL-2 RLY 24v DPDT 24v 8A</t>
    </r>
  </si>
  <si>
    <t>RLY</t>
  </si>
  <si>
    <t>G2RL-2</t>
  </si>
  <si>
    <t>24v DPDT</t>
  </si>
  <si>
    <t>DPDT Low profile power relay 15.7mmH</t>
  </si>
  <si>
    <t>29x12.7x15.7mm</t>
  </si>
  <si>
    <t>24v</t>
  </si>
  <si>
    <t>8A</t>
  </si>
  <si>
    <t>Omron</t>
  </si>
  <si>
    <t>G2RL-2 / 24v</t>
  </si>
  <si>
    <t>SPCoast:G2RL-2</t>
  </si>
  <si>
    <t>SPCoast:Relay_DPDT_Omron_G2RL-2</t>
  </si>
  <si>
    <r>
      <rPr>
        <u val="single"/>
        <sz val="10"/>
        <color indexed="8"/>
        <rFont val="Arial"/>
      </rPr>
      <t>https://omronfs.omron.com/en_US/ecb/products/pdf/en-g2rl.pdf</t>
    </r>
  </si>
  <si>
    <r>
      <rPr>
        <sz val="10"/>
        <color indexed="8"/>
        <rFont val="Arial"/>
      </rPr>
      <t>Q_NPN_600mA_SOT-23_MMBT2222LT1G</t>
    </r>
  </si>
  <si>
    <r>
      <rPr>
        <sz val="10"/>
        <color indexed="8"/>
        <rFont val="Arial"/>
      </rPr>
      <t>MMBT2222LT1G NPN 30V 600mA 300mW</t>
    </r>
  </si>
  <si>
    <r>
      <rPr>
        <sz val="10"/>
        <color indexed="8"/>
        <rFont val="Arial"/>
      </rPr>
      <t>MMBT2222LT1G Q NPN 30V 600mA 300mW</t>
    </r>
  </si>
  <si>
    <t>Q</t>
  </si>
  <si>
    <t>MMBT2222LT1G</t>
  </si>
  <si>
    <t>NPN</t>
  </si>
  <si>
    <t>NPN 30 V 600 mA 250MHz 300 mW Surface Mount SOT-23-3 (TO-236)</t>
  </si>
  <si>
    <t>600mA</t>
  </si>
  <si>
    <t>300mW</t>
  </si>
  <si>
    <t>ONSemi</t>
  </si>
  <si>
    <t>Device:Q_NPN_BEC</t>
  </si>
  <si>
    <r>
      <rPr>
        <sz val="10"/>
        <color indexed="8"/>
        <rFont val="Arial"/>
      </rPr>
      <t>Q_NPN_200mA_SOT-23_MMBT3904</t>
    </r>
  </si>
  <si>
    <r>
      <rPr>
        <sz val="10"/>
        <color indexed="8"/>
        <rFont val="Arial"/>
      </rPr>
      <t>MMBT3904 NPN 40V 200mA 200mW</t>
    </r>
  </si>
  <si>
    <r>
      <rPr>
        <sz val="10"/>
        <color indexed="8"/>
        <rFont val="Arial"/>
      </rPr>
      <t>MMBT3904 Q NPN 40V 200mA 200mW</t>
    </r>
  </si>
  <si>
    <t>MMBT3904</t>
  </si>
  <si>
    <t>NPN 40V 200mW 100@10mA 1V 200mA NPN SOT-23</t>
  </si>
  <si>
    <t>40V</t>
  </si>
  <si>
    <t>200mA</t>
  </si>
  <si>
    <t>C5184404</t>
  </si>
  <si>
    <r>
      <rPr>
        <u val="single"/>
        <sz val="10"/>
        <color indexed="8"/>
        <rFont val="Arial"/>
      </rPr>
      <t>C5184404</t>
    </r>
  </si>
  <si>
    <r>
      <rPr>
        <u val="single"/>
        <sz val="10"/>
        <color indexed="8"/>
        <rFont val="Arial"/>
      </rPr>
      <t>https://wmsc.lcsc.com/wmsc/upload/file/pdf/v2/lcsc/2407151447_HXY-MOSFET-MMBT3904_C5184404.pdf</t>
    </r>
  </si>
  <si>
    <r>
      <rPr>
        <sz val="10"/>
        <color indexed="8"/>
        <rFont val="Arial"/>
      </rPr>
      <t>Q_PNP_500mA_SOT-23_BC807</t>
    </r>
  </si>
  <si>
    <r>
      <rPr>
        <sz val="10"/>
        <color indexed="8"/>
        <rFont val="Arial"/>
      </rPr>
      <t>BC807 PNP 45V 500mA 300mW</t>
    </r>
  </si>
  <si>
    <r>
      <rPr>
        <sz val="10"/>
        <color indexed="8"/>
        <rFont val="Arial"/>
      </rPr>
      <t>BC807 Q PNP 45V 500mA 300mW</t>
    </r>
  </si>
  <si>
    <t>BC807</t>
  </si>
  <si>
    <t>PNP</t>
  </si>
  <si>
    <t>PNP 45V 300mW 250@100mA 1V 500mA PNP SOT-23</t>
  </si>
  <si>
    <t>45V</t>
  </si>
  <si>
    <t>500mA</t>
  </si>
  <si>
    <t>C5184433</t>
  </si>
  <si>
    <r>
      <rPr>
        <u val="single"/>
        <sz val="10"/>
        <color indexed="8"/>
        <rFont val="Arial"/>
      </rPr>
      <t>C5184433</t>
    </r>
  </si>
  <si>
    <t>BC807-40</t>
  </si>
  <si>
    <t>Device:Q_PNP_BEC</t>
  </si>
  <si>
    <r>
      <rPr>
        <u val="single"/>
        <sz val="10"/>
        <color indexed="8"/>
        <rFont val="Arial"/>
      </rPr>
      <t>https://wmsc.lcsc.com/wmsc/upload/file/pdf/v2/lcsc/2303091430_HXY-MOSFET-BC807-40_C5184433.pdf</t>
    </r>
  </si>
  <si>
    <r>
      <rPr>
        <sz val="10"/>
        <color indexed="8"/>
        <rFont val="Arial"/>
      </rPr>
      <t>Q_N-FET_300mA_SO-8_2N7002</t>
    </r>
  </si>
  <si>
    <r>
      <rPr>
        <sz val="10"/>
        <color indexed="8"/>
        <rFont val="Arial"/>
      </rPr>
      <t>2N7002 N-FET 60v 300mA</t>
    </r>
  </si>
  <si>
    <r>
      <rPr>
        <sz val="10"/>
        <color indexed="8"/>
        <rFont val="Arial"/>
      </rPr>
      <t>2N7002 Q N-FET 60v 300mA</t>
    </r>
  </si>
  <si>
    <t>2N7002</t>
  </si>
  <si>
    <t>N-FET</t>
  </si>
  <si>
    <t>60V 300mA 1.5@10V 500mA 200mW 1.5V@250uA N-Channel SOT-23 MOSFETs</t>
  </si>
  <si>
    <t>60v</t>
  </si>
  <si>
    <t>300mA</t>
  </si>
  <si>
    <t>C5224215</t>
  </si>
  <si>
    <r>
      <rPr>
        <u val="single"/>
        <sz val="10"/>
        <color indexed="8"/>
        <rFont val="Arial"/>
      </rPr>
      <t>C5224215</t>
    </r>
  </si>
  <si>
    <t>ElecSuper</t>
  </si>
  <si>
    <t>Device:Q_NMOS_GSD</t>
  </si>
  <si>
    <r>
      <rPr>
        <u val="single"/>
        <sz val="10"/>
        <color indexed="8"/>
        <rFont val="Arial"/>
      </rPr>
      <t>https://wmsc.lcsc.com/wmsc/upload/file/pdf/v2/lcsc/2210271630_ElecSuper-2N7002_C5224215.pdf</t>
    </r>
  </si>
  <si>
    <r>
      <rPr>
        <sz val="10"/>
        <color indexed="8"/>
        <rFont val="Arial"/>
      </rPr>
      <t>Q_N-FET_10A_SOT-23_DMN4468</t>
    </r>
  </si>
  <si>
    <r>
      <rPr>
        <sz val="10"/>
        <color indexed="8"/>
        <rFont val="Arial"/>
      </rPr>
      <t>DMN4468 N-FET 30v 10A</t>
    </r>
  </si>
  <si>
    <r>
      <rPr>
        <sz val="10"/>
        <color indexed="8"/>
        <rFont val="Arial"/>
      </rPr>
      <t>DMN4468 Q N-FET 30v 10A</t>
    </r>
  </si>
  <si>
    <t>DMN4468</t>
  </si>
  <si>
    <t>30V 10A 14m@10V00mA N-Channel SO-8 MOSFETs</t>
  </si>
  <si>
    <t>SO-8</t>
  </si>
  <si>
    <t>30v</t>
  </si>
  <si>
    <t>10A</t>
  </si>
  <si>
    <t>C878901</t>
  </si>
  <si>
    <r>
      <rPr>
        <u val="single"/>
        <sz val="10"/>
        <color indexed="8"/>
        <rFont val="Arial"/>
      </rPr>
      <t>C878901</t>
    </r>
  </si>
  <si>
    <t>Diodes</t>
  </si>
  <si>
    <t>DMN4468LSS</t>
  </si>
  <si>
    <t>SPCoast:MOSFET-N</t>
  </si>
  <si>
    <t>SPCoast:SO-8</t>
  </si>
  <si>
    <r>
      <rPr>
        <u val="single"/>
        <sz val="10"/>
        <color indexed="8"/>
        <rFont val="Arial"/>
      </rPr>
      <t>https://www.diodes.com/assets/Datasheets/ds31773.pdf</t>
    </r>
  </si>
  <si>
    <r>
      <rPr>
        <sz val="10"/>
        <color indexed="8"/>
        <rFont val="Arial"/>
      </rPr>
      <t>Q_P-FET_2.3A_0603_2301V</t>
    </r>
  </si>
  <si>
    <r>
      <rPr>
        <sz val="10"/>
        <color indexed="8"/>
        <rFont val="Arial"/>
      </rPr>
      <t>2301V P-FET 20V 2.3A</t>
    </r>
  </si>
  <si>
    <r>
      <rPr>
        <sz val="10"/>
        <color indexed="8"/>
        <rFont val="Arial"/>
      </rPr>
      <t>2301V Q P-FET 20V 2.3A</t>
    </r>
  </si>
  <si>
    <t>2301V</t>
  </si>
  <si>
    <t>P-FET</t>
  </si>
  <si>
    <t>20V 2.3A 95m 1V 1 Piece P-Channel SOT-23 MOSFET</t>
  </si>
  <si>
    <t>20V</t>
  </si>
  <si>
    <t>2.3A</t>
  </si>
  <si>
    <t>C7499856</t>
  </si>
  <si>
    <r>
      <rPr>
        <u val="single"/>
        <sz val="10"/>
        <color indexed="8"/>
        <rFont val="Arial"/>
      </rPr>
      <t>C7499856</t>
    </r>
  </si>
  <si>
    <t>HL</t>
  </si>
  <si>
    <t>Device:Q_PMOS_GSD</t>
  </si>
  <si>
    <r>
      <rPr>
        <u val="single"/>
        <sz val="10"/>
        <color indexed="8"/>
        <rFont val="Arial"/>
      </rPr>
      <t>https://wmsc.lcsc.com/wmsc/upload/file/pdf/v2/lcsc/2310251707_HL-2301V_C7499856.pdf</t>
    </r>
  </si>
  <si>
    <r>
      <rPr>
        <sz val="10"/>
        <color indexed="8"/>
        <rFont val="Arial"/>
      </rPr>
      <t>RES_5%_100mW_0603_200</t>
    </r>
  </si>
  <si>
    <r>
      <rPr>
        <sz val="10"/>
        <color indexed="8"/>
        <rFont val="Arial"/>
      </rPr>
      <t>200 5% thick film 75V 100mW</t>
    </r>
  </si>
  <si>
    <r>
      <rPr>
        <sz val="10"/>
        <color indexed="8"/>
        <rFont val="Arial"/>
      </rPr>
      <t>200 RES 5% thick film 75V 100mW</t>
    </r>
  </si>
  <si>
    <t>RES</t>
  </si>
  <si>
    <t>200</t>
  </si>
  <si>
    <t>thick film</t>
  </si>
  <si>
    <t>200 100mW  75V ±100ppm/℃ ±5% 0603</t>
  </si>
  <si>
    <t>5%</t>
  </si>
  <si>
    <t>75V</t>
  </si>
  <si>
    <t>100mW</t>
  </si>
  <si>
    <t>C2907123</t>
  </si>
  <si>
    <r>
      <rPr>
        <u val="single"/>
        <sz val="10"/>
        <color indexed="8"/>
        <rFont val="Arial"/>
      </rPr>
      <t>C2907123</t>
    </r>
  </si>
  <si>
    <t>FOJAN</t>
  </si>
  <si>
    <t>FRC0603J201 TS</t>
  </si>
  <si>
    <t>Device:R_US</t>
  </si>
  <si>
    <t>SPCoast:0603-RES</t>
  </si>
  <si>
    <r>
      <rPr>
        <u val="single"/>
        <sz val="10"/>
        <color indexed="8"/>
        <rFont val="Arial"/>
      </rPr>
      <t>https://wmsc.lcsc.com/wmsc/upload/file/pdf/v2/lcsc/2308241947_FOJAN-FRC0603J201-TS_C2907123.pdf</t>
    </r>
  </si>
  <si>
    <r>
      <rPr>
        <sz val="9"/>
        <color indexed="8"/>
        <rFont val="Arial"/>
      </rPr>
      <t>RES_1%_100mW_0603_220</t>
    </r>
  </si>
  <si>
    <r>
      <rPr>
        <sz val="10"/>
        <color indexed="8"/>
        <rFont val="Arial"/>
      </rPr>
      <t>220 1% thick film 150V 100mW</t>
    </r>
  </si>
  <si>
    <r>
      <rPr>
        <sz val="10"/>
        <color indexed="8"/>
        <rFont val="Arial"/>
      </rPr>
      <t>220 RES 1% thick film 150V 100mW</t>
    </r>
  </si>
  <si>
    <t>220</t>
  </si>
  <si>
    <t>220 100mW s 150V ±100ppm/℃ ±1% 0603</t>
  </si>
  <si>
    <t>1%</t>
  </si>
  <si>
    <t>150V</t>
  </si>
  <si>
    <t>C5842375</t>
  </si>
  <si>
    <r>
      <rPr>
        <u val="single"/>
        <sz val="10"/>
        <color indexed="8"/>
        <rFont val="Arial"/>
      </rPr>
      <t>C5842375</t>
    </r>
  </si>
  <si>
    <t>RC0603FR-13220RL</t>
  </si>
  <si>
    <r>
      <rPr>
        <u val="single"/>
        <sz val="10"/>
        <color indexed="8"/>
        <rFont val="Arial"/>
      </rPr>
      <t>https://wmsc.lcsc.com/wmsc/upload/file/pdf/v2/lcsc/2312030915_YAGEO-RC0603FR-13220RL_C5842375.pdf</t>
    </r>
  </si>
  <si>
    <r>
      <rPr>
        <sz val="9"/>
        <color indexed="8"/>
        <rFont val="Arial"/>
      </rPr>
      <t>RES_5%_100mW_0603_220</t>
    </r>
  </si>
  <si>
    <r>
      <rPr>
        <sz val="10"/>
        <color indexed="8"/>
        <rFont val="Arial"/>
      </rPr>
      <t>220 5% thick film 75V 100mW</t>
    </r>
  </si>
  <si>
    <r>
      <rPr>
        <sz val="10"/>
        <color indexed="8"/>
        <rFont val="Arial"/>
      </rPr>
      <t>220 RES 5% thick film 75V 100mW</t>
    </r>
  </si>
  <si>
    <t>220 100mW  75V ±100ppm/℃ ±5% 0603</t>
  </si>
  <si>
    <t>C1226</t>
  </si>
  <si>
    <r>
      <rPr>
        <u val="single"/>
        <sz val="10"/>
        <color indexed="8"/>
        <rFont val="Arial"/>
      </rPr>
      <t>C1226</t>
    </r>
  </si>
  <si>
    <t>UNI-ROYAL</t>
  </si>
  <si>
    <t>0603WAJ0221T5E</t>
  </si>
  <si>
    <r>
      <rPr>
        <u val="single"/>
        <sz val="10"/>
        <color indexed="8"/>
        <rFont val="Arial"/>
      </rPr>
      <t>https://www.lcsc.com/datasheet/lcsc_datasheet_2206010230_UNI-ROYAL-Uniroyal-Elec-0603WAJ0221T5E_C1226.pdf</t>
    </r>
  </si>
  <si>
    <r>
      <rPr>
        <sz val="9"/>
        <color indexed="8"/>
        <rFont val="Arial"/>
      </rPr>
      <t>RES_5%_100mW_0603_330</t>
    </r>
  </si>
  <si>
    <r>
      <rPr>
        <sz val="10"/>
        <color indexed="8"/>
        <rFont val="Arial"/>
      </rPr>
      <t>330 5% thick film 75V 100mW</t>
    </r>
  </si>
  <si>
    <r>
      <rPr>
        <sz val="10"/>
        <color indexed="8"/>
        <rFont val="Arial"/>
      </rPr>
      <t>330 RES 5% thick film 75V 100mW</t>
    </r>
  </si>
  <si>
    <t>330 100mW  75V ±100ppm/℃ ±5% 0603</t>
  </si>
  <si>
    <t>C25231</t>
  </si>
  <si>
    <r>
      <rPr>
        <u val="single"/>
        <sz val="10"/>
        <color indexed="8"/>
        <rFont val="Arial"/>
      </rPr>
      <t>C25231</t>
    </r>
  </si>
  <si>
    <t>0603WAJ0331T5E</t>
  </si>
  <si>
    <r>
      <rPr>
        <u val="single"/>
        <sz val="10"/>
        <color indexed="8"/>
        <rFont val="Arial"/>
      </rPr>
      <t>https://www.lcsc.com/datasheet/lcsc_datasheet_2205311845_UNI-ROYAL-Uniroyal-Elec-0603WAJ0331T5E_C25231.pdf</t>
    </r>
  </si>
  <si>
    <r>
      <rPr>
        <sz val="9"/>
        <color indexed="8"/>
        <rFont val="Arial"/>
      </rPr>
      <t>RES_5%_100mW_0603_470</t>
    </r>
  </si>
  <si>
    <r>
      <rPr>
        <sz val="10"/>
        <color indexed="8"/>
        <rFont val="Arial"/>
      </rPr>
      <t>470 5% thick film 75V 100mW</t>
    </r>
  </si>
  <si>
    <r>
      <rPr>
        <sz val="10"/>
        <color indexed="8"/>
        <rFont val="Arial"/>
      </rPr>
      <t>470 RES 5% thick film 75V 100mW</t>
    </r>
  </si>
  <si>
    <t>470</t>
  </si>
  <si>
    <t>470 100mW  75V ±100ppm/℃ ±5% 0603</t>
  </si>
  <si>
    <t>C25241</t>
  </si>
  <si>
    <r>
      <rPr>
        <u val="single"/>
        <sz val="10"/>
        <color indexed="8"/>
        <rFont val="Arial"/>
      </rPr>
      <t>C25241</t>
    </r>
  </si>
  <si>
    <t>0603WAJ0471T5E</t>
  </si>
  <si>
    <r>
      <rPr>
        <u val="single"/>
        <sz val="10"/>
        <color indexed="8"/>
        <rFont val="Arial"/>
      </rPr>
      <t>https://www.lcsc.com/datasheet/lcsc_datasheet_2205311845_UNI-ROYAL-Uniroyal-Elec-0603WAJ0471T5E_C25241.pdf</t>
    </r>
  </si>
  <si>
    <r>
      <rPr>
        <sz val="9"/>
        <color indexed="8"/>
        <rFont val="Arial"/>
      </rPr>
      <t>RES_5%_100mW_0603_1k</t>
    </r>
  </si>
  <si>
    <r>
      <rPr>
        <sz val="10"/>
        <color indexed="8"/>
        <rFont val="Arial"/>
      </rPr>
      <t>1k 5% thick film 75V 100mW</t>
    </r>
  </si>
  <si>
    <r>
      <rPr>
        <sz val="10"/>
        <color indexed="8"/>
        <rFont val="Arial"/>
      </rPr>
      <t>1k RES 5% thick film 75V 100mW</t>
    </r>
  </si>
  <si>
    <t>1k</t>
  </si>
  <si>
    <t>1k 100mW  75V ±100ppm/℃ ±5% 0603</t>
  </si>
  <si>
    <t>C25585</t>
  </si>
  <si>
    <r>
      <rPr>
        <u val="single"/>
        <sz val="10"/>
        <color indexed="8"/>
        <rFont val="Arial"/>
      </rPr>
      <t>C25585</t>
    </r>
  </si>
  <si>
    <t>0603WAJ0102T5E</t>
  </si>
  <si>
    <r>
      <rPr>
        <u val="single"/>
        <sz val="10"/>
        <color indexed="8"/>
        <rFont val="Arial"/>
      </rPr>
      <t>https://www.lcsc.com/datasheet/lcsc_datasheet_2206010100_UNI-ROYAL-Uniroyal-Elec-0603WAJ0102T5E_C25585.pdf</t>
    </r>
  </si>
  <si>
    <r>
      <rPr>
        <sz val="9"/>
        <color indexed="8"/>
        <rFont val="Arial"/>
      </rPr>
      <t>RES_5%_100mW_0603_2.2k</t>
    </r>
  </si>
  <si>
    <r>
      <rPr>
        <sz val="10"/>
        <color indexed="8"/>
        <rFont val="Arial"/>
      </rPr>
      <t>2.2k 5% thick film 75V 100mW</t>
    </r>
  </si>
  <si>
    <r>
      <rPr>
        <sz val="10"/>
        <color indexed="8"/>
        <rFont val="Arial"/>
      </rPr>
      <t>2.2k RES 5% thick film 75V 100mW</t>
    </r>
  </si>
  <si>
    <t>2.2k</t>
  </si>
  <si>
    <t>2.2k 100mW  75V ±100ppm/℃ ±5% 0603</t>
  </si>
  <si>
    <t>C25992</t>
  </si>
  <si>
    <r>
      <rPr>
        <u val="single"/>
        <sz val="10"/>
        <color indexed="8"/>
        <rFont val="Arial"/>
      </rPr>
      <t>C25992</t>
    </r>
  </si>
  <si>
    <t>0603WAJ0222T5E</t>
  </si>
  <si>
    <r>
      <rPr>
        <u val="single"/>
        <sz val="10"/>
        <color indexed="8"/>
        <rFont val="Arial"/>
      </rPr>
      <t>https://www.lcsc.com/datasheet/lcsc_datasheet_2206010045_UNI-ROYAL-Uniroyal-Elec-0603WAJ0222T5E_C25992.pdf</t>
    </r>
  </si>
  <si>
    <r>
      <rPr>
        <sz val="9"/>
        <color indexed="8"/>
        <rFont val="Arial"/>
      </rPr>
      <t>RES_1%_100mW_0603_3.3k</t>
    </r>
  </si>
  <si>
    <r>
      <rPr>
        <sz val="10"/>
        <color indexed="8"/>
        <rFont val="Arial"/>
      </rPr>
      <t>3.3k 1% thick film 75V 100mW</t>
    </r>
  </si>
  <si>
    <r>
      <rPr>
        <sz val="10"/>
        <color indexed="8"/>
        <rFont val="Arial"/>
      </rPr>
      <t>3.3k RES 1% thick film 75V 100mW</t>
    </r>
  </si>
  <si>
    <t>3.3k</t>
  </si>
  <si>
    <t>3.3k 100mW s 75V ±100ppm/℃ ±1% 0603</t>
  </si>
  <si>
    <t>C2907023</t>
  </si>
  <si>
    <r>
      <rPr>
        <u val="single"/>
        <sz val="10"/>
        <color indexed="8"/>
        <rFont val="Arial"/>
      </rPr>
      <t>C2907023</t>
    </r>
  </si>
  <si>
    <t>FRC0603F3301TS</t>
  </si>
  <si>
    <r>
      <rPr>
        <u val="single"/>
        <sz val="10"/>
        <color indexed="8"/>
        <rFont val="Arial"/>
      </rPr>
      <t>https://wmsc.lcsc.com/wmsc/upload/file/pdf/v2/lcsc/2308241947_FOJAN-FRC0603F3301TS_C2907023.pdf</t>
    </r>
  </si>
  <si>
    <r>
      <rPr>
        <sz val="9"/>
        <color indexed="8"/>
        <rFont val="Arial"/>
      </rPr>
      <t>RES_5%_100mW_0603_3.3k</t>
    </r>
  </si>
  <si>
    <r>
      <rPr>
        <sz val="10"/>
        <color indexed="8"/>
        <rFont val="Arial"/>
      </rPr>
      <t>3.3k 5% thick film 75V 100mW</t>
    </r>
  </si>
  <si>
    <r>
      <rPr>
        <sz val="10"/>
        <color indexed="8"/>
        <rFont val="Arial"/>
      </rPr>
      <t>3.3k RES 5% thick film 75V 100mW</t>
    </r>
  </si>
  <si>
    <t>3.3k 100mW  75V ±100ppm/℃ ±5% 0603</t>
  </si>
  <si>
    <t>C25995</t>
  </si>
  <si>
    <r>
      <rPr>
        <u val="single"/>
        <sz val="10"/>
        <color indexed="8"/>
        <rFont val="Arial"/>
      </rPr>
      <t>C25995</t>
    </r>
  </si>
  <si>
    <t>0603WAJ0332T5E</t>
  </si>
  <si>
    <r>
      <rPr>
        <u val="single"/>
        <sz val="10"/>
        <color indexed="8"/>
        <rFont val="Arial"/>
      </rPr>
      <t>https://www.lcsc.com/datasheet/lcsc_datasheet_2206010045_UNI-ROYAL-Uniroyal-Elec-0603WAJ0332T5E_C25995.pdf</t>
    </r>
  </si>
  <si>
    <r>
      <rPr>
        <sz val="9"/>
        <color indexed="8"/>
        <rFont val="Arial"/>
      </rPr>
      <t>RES_5%_100mW_0603_4.7k</t>
    </r>
  </si>
  <si>
    <r>
      <rPr>
        <sz val="10"/>
        <color indexed="8"/>
        <rFont val="Arial"/>
      </rPr>
      <t>4.7k 5% thick film 75V 100mW</t>
    </r>
  </si>
  <si>
    <r>
      <rPr>
        <sz val="10"/>
        <color indexed="8"/>
        <rFont val="Arial"/>
      </rPr>
      <t>4.7k RES 5% thick film 75V 100mW</t>
    </r>
  </si>
  <si>
    <t>4.7k</t>
  </si>
  <si>
    <t>4.7k 100mW  75V ±100ppm/℃ ±5% 0603</t>
  </si>
  <si>
    <t>C25999</t>
  </si>
  <si>
    <r>
      <rPr>
        <u val="single"/>
        <sz val="10"/>
        <color indexed="8"/>
        <rFont val="Arial"/>
      </rPr>
      <t>C25999</t>
    </r>
  </si>
  <si>
    <t>0603WAJ0472T5E</t>
  </si>
  <si>
    <r>
      <rPr>
        <u val="single"/>
        <sz val="10"/>
        <color indexed="8"/>
        <rFont val="Arial"/>
      </rPr>
      <t>https://www.lcsc.com/datasheet/lcsc_datasheet_2206010045_UNI-ROYAL-Uniroyal-Elec-0603WAJ0472T5E_C25999.pdf</t>
    </r>
  </si>
  <si>
    <r>
      <rPr>
        <sz val="9"/>
        <color indexed="8"/>
        <rFont val="Arial"/>
      </rPr>
      <t>RES_5%_100mW_0603_5.6k</t>
    </r>
  </si>
  <si>
    <r>
      <rPr>
        <sz val="10"/>
        <color indexed="8"/>
        <rFont val="Arial"/>
      </rPr>
      <t>5.6k 5% thick film 75V 100mW</t>
    </r>
  </si>
  <si>
    <r>
      <rPr>
        <sz val="10"/>
        <color indexed="8"/>
        <rFont val="Arial"/>
      </rPr>
      <t>5.6k RES 5% thick film 75V 100mW</t>
    </r>
  </si>
  <si>
    <t>5.6k</t>
  </si>
  <si>
    <t>5.6k 100mW  75V ±100ppm/℃ ±5% 0603</t>
  </si>
  <si>
    <t>C26001</t>
  </si>
  <si>
    <r>
      <rPr>
        <u val="single"/>
        <sz val="10"/>
        <color indexed="8"/>
        <rFont val="Arial"/>
      </rPr>
      <t>C26001</t>
    </r>
  </si>
  <si>
    <t>0603WAJ0562T5E</t>
  </si>
  <si>
    <r>
      <rPr>
        <u val="single"/>
        <sz val="10"/>
        <color indexed="8"/>
        <rFont val="Arial"/>
      </rPr>
      <t>https://www.lcsc.com/datasheet/lcsc_datasheet_2206010045_UNI-ROYAL-Uniroyal-Elec-0603WAJ0562T5E_C26001.pdf</t>
    </r>
  </si>
  <si>
    <r>
      <rPr>
        <sz val="9"/>
        <color indexed="8"/>
        <rFont val="Arial"/>
      </rPr>
      <t>RES_5%_100mW_0603_10k</t>
    </r>
  </si>
  <si>
    <r>
      <rPr>
        <sz val="10"/>
        <color indexed="8"/>
        <rFont val="Arial"/>
      </rPr>
      <t>10k 5% thick film 150V 100mW</t>
    </r>
  </si>
  <si>
    <r>
      <rPr>
        <sz val="10"/>
        <color indexed="8"/>
        <rFont val="Arial"/>
      </rPr>
      <t>10k RES 5% thick film 150V 100mW</t>
    </r>
  </si>
  <si>
    <t>10k</t>
  </si>
  <si>
    <t>10k 100mW s 150V ±100ppm/℃ ±5% 0603</t>
  </si>
  <si>
    <t>C4118381</t>
  </si>
  <si>
    <r>
      <rPr>
        <u val="single"/>
        <sz val="10"/>
        <color indexed="8"/>
        <rFont val="Arial"/>
      </rPr>
      <t>C4118381</t>
    </r>
  </si>
  <si>
    <t>RC0603JR-1310KL</t>
  </si>
  <si>
    <r>
      <rPr>
        <u val="single"/>
        <sz val="10"/>
        <color indexed="8"/>
        <rFont val="Arial"/>
      </rPr>
      <t>https://wmsc.lcsc.com/wmsc/upload/file/pdf/v2/lcsc/2404101024_YAGEO-RC0603JR-1310KL_C4118381.pdf</t>
    </r>
  </si>
  <si>
    <r>
      <rPr>
        <sz val="10"/>
        <color indexed="8"/>
        <rFont val="Arial"/>
      </rPr>
      <t>10k 5% thick film 75V 100mW</t>
    </r>
  </si>
  <si>
    <r>
      <rPr>
        <sz val="10"/>
        <color indexed="8"/>
        <rFont val="Arial"/>
      </rPr>
      <t>10k RES 5% thick film 75V 100mW</t>
    </r>
  </si>
  <si>
    <t>10k 100mW  75V ±100ppm/℃ ±5% 0603</t>
  </si>
  <si>
    <t>C2930027</t>
  </si>
  <si>
    <r>
      <rPr>
        <u val="single"/>
        <sz val="10"/>
        <color indexed="8"/>
        <rFont val="Arial"/>
      </rPr>
      <t>C2930027</t>
    </r>
  </si>
  <si>
    <t>FRC0603J103TS</t>
  </si>
  <si>
    <r>
      <rPr>
        <u val="single"/>
        <sz val="10"/>
        <color indexed="8"/>
        <rFont val="Arial"/>
      </rPr>
      <t>https://wmsc.lcsc.com/wmsc/upload/file/pdf/v2/lcsc/2308241009_FOJAN-FRC0603J103TS_C2930027.pdf</t>
    </r>
  </si>
  <si>
    <t>C15401</t>
  </si>
  <si>
    <r>
      <rPr>
        <u val="single"/>
        <sz val="10"/>
        <color indexed="8"/>
        <rFont val="Arial"/>
      </rPr>
      <t>C15401</t>
    </r>
  </si>
  <si>
    <t>0603WAJ0103T5E</t>
  </si>
  <si>
    <r>
      <rPr>
        <sz val="9"/>
        <color indexed="8"/>
        <rFont val="Arial"/>
      </rPr>
      <t>RES_5%_100mW_0603_22k</t>
    </r>
  </si>
  <si>
    <r>
      <rPr>
        <sz val="10"/>
        <color indexed="8"/>
        <rFont val="Arial"/>
      </rPr>
      <t>22k 5% thick film 75V 100mW</t>
    </r>
  </si>
  <si>
    <r>
      <rPr>
        <sz val="10"/>
        <color indexed="8"/>
        <rFont val="Arial"/>
      </rPr>
      <t>22k RES 5% thick film 75V 100mW</t>
    </r>
  </si>
  <si>
    <t>22k</t>
  </si>
  <si>
    <t>22k 100mW  75V ±100ppm/℃ ±5% 0603</t>
  </si>
  <si>
    <t>C23344</t>
  </si>
  <si>
    <r>
      <rPr>
        <u val="single"/>
        <sz val="10"/>
        <color indexed="8"/>
        <rFont val="Arial"/>
      </rPr>
      <t>C23344</t>
    </r>
  </si>
  <si>
    <t>0603WAJ0223T5E</t>
  </si>
  <si>
    <r>
      <rPr>
        <u val="single"/>
        <sz val="10"/>
        <color indexed="8"/>
        <rFont val="Arial"/>
      </rPr>
      <t>https://www.lcsc.com/datasheet/lcsc_datasheet_2206010100_UNI-ROYAL-Uniroyal-Elec-0603WAJ0223T5E_C23344.pdf</t>
    </r>
  </si>
  <si>
    <r>
      <rPr>
        <sz val="9"/>
        <color indexed="8"/>
        <rFont val="Arial"/>
      </rPr>
      <t>RES_5%_100mW_0603_100k</t>
    </r>
  </si>
  <si>
    <r>
      <rPr>
        <sz val="10"/>
        <color indexed="8"/>
        <rFont val="Arial"/>
      </rPr>
      <t>100k 5% thick film 75V 100mW</t>
    </r>
  </si>
  <si>
    <r>
      <rPr>
        <sz val="10"/>
        <color indexed="8"/>
        <rFont val="Arial"/>
      </rPr>
      <t>100k RES 5% thick film 75V 100mW</t>
    </r>
  </si>
  <si>
    <t>100k</t>
  </si>
  <si>
    <t>100k 100mW  75V ±100ppm/℃ ±5% 0603</t>
  </si>
  <si>
    <t>C15458</t>
  </si>
  <si>
    <r>
      <rPr>
        <u val="single"/>
        <sz val="10"/>
        <color indexed="8"/>
        <rFont val="Arial"/>
      </rPr>
      <t>C15458</t>
    </r>
  </si>
  <si>
    <t>0603WAJ0104T5E</t>
  </si>
  <si>
    <r>
      <rPr>
        <u val="single"/>
        <sz val="10"/>
        <color indexed="8"/>
        <rFont val="Arial"/>
      </rPr>
      <t>https://www.lcsc.com/datasheet/lcsc_datasheet_2206010216_UNI-ROYAL-Uniroyal-Elec-0603WAJ0104T5E_C15458.pdf</t>
    </r>
  </si>
  <si>
    <r>
      <rPr>
        <sz val="9"/>
        <color indexed="8"/>
        <rFont val="Arial"/>
      </rPr>
      <t>RES_1%_100mW_0603_1M</t>
    </r>
  </si>
  <si>
    <r>
      <rPr>
        <sz val="10"/>
        <color indexed="8"/>
        <rFont val="Arial"/>
      </rPr>
      <t>1M 1% thick film 75V 100mW</t>
    </r>
  </si>
  <si>
    <r>
      <rPr>
        <sz val="10"/>
        <color indexed="8"/>
        <rFont val="Arial"/>
      </rPr>
      <t>1M RES 1% thick film 75V 100mW</t>
    </r>
  </si>
  <si>
    <t>1M</t>
  </si>
  <si>
    <t>1.0M 100mW  75V ±100ppm/℃ ±1% 0603</t>
  </si>
  <si>
    <t>C22935</t>
  </si>
  <si>
    <r>
      <rPr>
        <u val="single"/>
        <sz val="10"/>
        <color indexed="8"/>
        <rFont val="Arial"/>
      </rPr>
      <t>C22935</t>
    </r>
  </si>
  <si>
    <t>0603WAF1004T5E</t>
  </si>
  <si>
    <r>
      <rPr>
        <u val="single"/>
        <sz val="10"/>
        <color indexed="8"/>
        <rFont val="Arial"/>
      </rPr>
      <t>https://www.lcsc.com/datasheet/lcsc_datasheet_2206010130_UNI-ROYAL-Uniroyal-Elec-0603WAF1004T5E_C22935.pdf</t>
    </r>
  </si>
  <si>
    <r>
      <rPr>
        <sz val="9"/>
        <color indexed="8"/>
        <rFont val="Arial"/>
      </rPr>
      <t>RES_5%_100mW_0603_1M</t>
    </r>
  </si>
  <si>
    <r>
      <rPr>
        <sz val="10"/>
        <color indexed="8"/>
        <rFont val="Arial"/>
      </rPr>
      <t>1M 5% thick film 75V 100mW</t>
    </r>
  </si>
  <si>
    <r>
      <rPr>
        <sz val="10"/>
        <color indexed="8"/>
        <rFont val="Arial"/>
      </rPr>
      <t>1M RES 5% thick film 75V 100mW</t>
    </r>
  </si>
  <si>
    <t>1.0M 100mW  75V ±100ppm/℃ ±5% 0603</t>
  </si>
  <si>
    <t>C26098</t>
  </si>
  <si>
    <r>
      <rPr>
        <u val="single"/>
        <sz val="10"/>
        <color indexed="8"/>
        <rFont val="Arial"/>
      </rPr>
      <t>C26098</t>
    </r>
  </si>
  <si>
    <t>0603WAJ0105T5E</t>
  </si>
  <si>
    <r>
      <rPr>
        <u val="single"/>
        <sz val="10"/>
        <color indexed="8"/>
        <rFont val="Arial"/>
      </rPr>
      <t>https://www.lcsc.com/datasheet/lcsc_datasheet_2206010030_UNI-ROYAL-Uniroyal-Elec-0603WAJ0105T5E_C26098.pdf</t>
    </r>
  </si>
  <si>
    <r>
      <rPr>
        <sz val="9"/>
        <color indexed="8"/>
        <rFont val="Arial"/>
      </rPr>
      <t>RES_5%_100mW_0603_2.2M</t>
    </r>
  </si>
  <si>
    <r>
      <rPr>
        <sz val="10"/>
        <color indexed="8"/>
        <rFont val="Arial"/>
      </rPr>
      <t>2.2M 5% thick film 75V 100mW</t>
    </r>
  </si>
  <si>
    <r>
      <rPr>
        <sz val="10"/>
        <color indexed="8"/>
        <rFont val="Arial"/>
      </rPr>
      <t>2.2M RES 5% thick film 75V 100mW</t>
    </r>
  </si>
  <si>
    <t>2.2M</t>
  </si>
  <si>
    <t>2.2M 100mW  75V ±100ppm/℃ ±5% 0603</t>
  </si>
  <si>
    <t>C18679</t>
  </si>
  <si>
    <r>
      <rPr>
        <u val="single"/>
        <sz val="10"/>
        <color indexed="8"/>
        <rFont val="Arial"/>
      </rPr>
      <t>C18679</t>
    </r>
  </si>
  <si>
    <t>0603WAJ0225T5E</t>
  </si>
  <si>
    <r>
      <rPr>
        <u val="single"/>
        <sz val="10"/>
        <color indexed="8"/>
        <rFont val="Arial"/>
      </rPr>
      <t>https://www.lcsc.com/datasheet/lcsc_datasheet_2206010145_UNI-ROYAL-Uniroyal-Elec-0603WAJ0225T5E_C18679.pdf</t>
    </r>
  </si>
  <si>
    <r>
      <rPr>
        <sz val="10"/>
        <color indexed="8"/>
        <rFont val="Arial"/>
      </rPr>
      <t>2.2M 5% thick film 50V 100mW</t>
    </r>
  </si>
  <si>
    <r>
      <rPr>
        <sz val="10"/>
        <color indexed="8"/>
        <rFont val="Arial"/>
      </rPr>
      <t>2.2M RES 5% thick film 50V 100mW</t>
    </r>
  </si>
  <si>
    <t>2.2M 100mW  50V ±250ppm/℃ ±5% 0603</t>
  </si>
  <si>
    <t>C403986</t>
  </si>
  <si>
    <r>
      <rPr>
        <u val="single"/>
        <sz val="10"/>
        <color indexed="8"/>
        <rFont val="Arial"/>
      </rPr>
      <t>C403986</t>
    </r>
  </si>
  <si>
    <t>FH</t>
  </si>
  <si>
    <t>RS-03L225JJT</t>
  </si>
  <si>
    <r>
      <rPr>
        <u val="single"/>
        <sz val="10"/>
        <color indexed="8"/>
        <rFont val="Arial"/>
      </rPr>
      <t>https://wmsc.lcsc.com/wmsc/upload/file/pdf/v2/lcsc/2304140030_FH--Guangdong-Fenghua-Advanced-Tech-RS-03L225JJT_C403986.pdf</t>
    </r>
  </si>
  <si>
    <r>
      <rPr>
        <sz val="9"/>
        <color indexed="8"/>
        <rFont val="Arial"/>
      </rPr>
      <t>RLY___ISOPLUS-264_CPC1709J</t>
    </r>
  </si>
  <si>
    <r>
      <rPr>
        <sz val="10"/>
        <color indexed="8"/>
        <rFont val="Arial"/>
      </rPr>
      <t>CPC1709J SSR 1.42V 9A-22.8A</t>
    </r>
  </si>
  <si>
    <r>
      <rPr>
        <sz val="10"/>
        <color indexed="8"/>
        <rFont val="Arial"/>
      </rPr>
      <t>CPC1709J RLY SSR 1.42V 9A-22.8A</t>
    </r>
  </si>
  <si>
    <t>CPC1709J</t>
  </si>
  <si>
    <t>SSR</t>
  </si>
  <si>
    <t>2.5kV 220us 27mΩ 7ms DC ISOPLUS-264 Solid State Relays (MOS Output) -40c-+85c 1.42V 10mA</t>
  </si>
  <si>
    <t>ISOPLUS-264</t>
  </si>
  <si>
    <t>1.42V</t>
  </si>
  <si>
    <t>9A-22.8A</t>
  </si>
  <si>
    <t>C1525253</t>
  </si>
  <si>
    <r>
      <rPr>
        <u val="single"/>
        <sz val="10"/>
        <color indexed="8"/>
        <rFont val="Arial"/>
      </rPr>
      <t>C1525253</t>
    </r>
  </si>
  <si>
    <t>Littelfuse/IXYS</t>
  </si>
  <si>
    <t>SPCoast:Relay_CPC1709J</t>
  </si>
  <si>
    <r>
      <rPr>
        <u val="single"/>
        <sz val="10"/>
        <color indexed="8"/>
        <rFont val="Arial"/>
      </rPr>
      <t>https://jlcpcb.com/api/file/downloadByFileSystemAccessId/8589033743424368640</t>
    </r>
  </si>
  <si>
    <r>
      <rPr>
        <sz val="9"/>
        <color indexed="8"/>
        <rFont val="Arial"/>
      </rPr>
      <t>IC___SMD-6P_4N28SM</t>
    </r>
  </si>
  <si>
    <r>
      <rPr>
        <sz val="10"/>
        <color indexed="8"/>
        <rFont val="Arial"/>
      </rPr>
      <t>4N28SM Phototransistor</t>
    </r>
  </si>
  <si>
    <r>
      <rPr>
        <sz val="10"/>
        <color indexed="8"/>
        <rFont val="Arial"/>
      </rPr>
      <t>4N28SM IC Phototransistor</t>
    </r>
  </si>
  <si>
    <t>4N28SM</t>
  </si>
  <si>
    <t>Phototransistor</t>
  </si>
  <si>
    <t>4.17kV 6V Phototransistor SMD-6P Transistor Photovoltaic Output Optoisolators -40c+10c 1 1.18V 10% 10mA 30V</t>
  </si>
  <si>
    <t>SMD-6P</t>
  </si>
  <si>
    <t>6</t>
  </si>
  <si>
    <t>0.100</t>
  </si>
  <si>
    <t>C898949</t>
  </si>
  <si>
    <r>
      <rPr>
        <u val="single"/>
        <sz val="10"/>
        <color indexed="8"/>
        <rFont val="Arial"/>
      </rPr>
      <t>C898949</t>
    </r>
  </si>
  <si>
    <t>Isolator:4N28</t>
  </si>
  <si>
    <t>Package_DIP:SMDIP-6_W7.62mm</t>
  </si>
  <si>
    <r>
      <rPr>
        <u val="single"/>
        <sz val="10"/>
        <color indexed="8"/>
        <rFont val="Arial"/>
      </rPr>
      <t>https://jlcpcb.com/api/file/downloadByFileSystemAccessId/8588917274006720512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</si>
</sst>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14">
    <font>
      <sz val="10"/>
      <color indexed="8"/>
      <name val="Helvetica Neue"/>
    </font>
    <font>
      <sz val="12"/>
      <color indexed="8"/>
      <name val="Helvetica Neue"/>
    </font>
    <font>
      <b val="1"/>
      <sz val="24"/>
      <color indexed="8"/>
      <name val="Helvetica Neue"/>
    </font>
    <font>
      <b val="1"/>
      <sz val="14"/>
      <color indexed="8"/>
      <name val="Helvetica Neue"/>
    </font>
    <font>
      <b val="1"/>
      <sz val="14"/>
      <color indexed="8"/>
      <name val="American Typewriter"/>
    </font>
    <font>
      <sz val="10"/>
      <color indexed="8"/>
      <name val="Arial"/>
    </font>
    <font>
      <sz val="10"/>
      <color indexed="8"/>
      <name val="American Typewriter"/>
    </font>
    <font>
      <u val="single"/>
      <sz val="10"/>
      <color indexed="8"/>
      <name val="Arial"/>
    </font>
    <font>
      <sz val="14"/>
      <color indexed="15"/>
      <name val="Helvetica Neue"/>
    </font>
    <font>
      <sz val="10"/>
      <color indexed="8"/>
      <name val="Symbol"/>
    </font>
    <font>
      <sz val="5"/>
      <color indexed="8"/>
      <name val="American Typewriter"/>
    </font>
    <font>
      <sz val="9"/>
      <color indexed="8"/>
      <name val="Arial"/>
    </font>
    <font>
      <b val="1"/>
      <sz val="18"/>
      <color indexed="8"/>
      <name val="Helvetica Neue"/>
    </font>
    <font>
      <b val="1"/>
      <sz val="18"/>
      <color indexed="8"/>
      <name val="American Typewriter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5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applyNumberFormat="0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5" fillId="3" borderId="2" applyNumberFormat="0" applyFont="1" applyFill="1" applyBorder="1" applyAlignment="1" applyProtection="0">
      <alignment horizontal="left" vertical="center"/>
    </xf>
    <xf numFmtId="0" fontId="5" fillId="4" borderId="2" applyNumberFormat="0" applyFont="1" applyFill="1" applyBorder="1" applyAlignment="1" applyProtection="0">
      <alignment horizontal="left" vertical="center"/>
    </xf>
    <xf numFmtId="49" fontId="5" borderId="2" applyNumberFormat="1" applyFont="1" applyFill="0" applyBorder="1" applyAlignment="1" applyProtection="0">
      <alignment horizontal="left" vertical="center"/>
    </xf>
    <xf numFmtId="49" fontId="6" borderId="2" applyNumberFormat="1" applyFont="1" applyFill="0" applyBorder="1" applyAlignment="1" applyProtection="0">
      <alignment horizontal="left" vertical="center"/>
    </xf>
    <xf numFmtId="0" fontId="5" borderId="2" applyNumberFormat="0" applyFont="1" applyFill="0" applyBorder="1" applyAlignment="1" applyProtection="0">
      <alignment horizontal="left" vertical="center"/>
    </xf>
    <xf numFmtId="0" fontId="5" fillId="5" borderId="2" applyNumberFormat="0" applyFont="1" applyFill="1" applyBorder="1" applyAlignment="1" applyProtection="0">
      <alignment horizontal="left" vertical="center"/>
    </xf>
    <xf numFmtId="0" fontId="0" borderId="2" applyNumberFormat="1" applyFont="1" applyFill="0" applyBorder="1" applyAlignment="1" applyProtection="0">
      <alignment horizontal="center" vertical="top" wrapText="1"/>
    </xf>
    <xf numFmtId="49" fontId="5" borderId="2" applyNumberFormat="1" applyFont="1" applyFill="0" applyBorder="1" applyAlignment="1" applyProtection="0">
      <alignment horizontal="left" vertical="top"/>
    </xf>
    <xf numFmtId="49" fontId="6" borderId="2" applyNumberFormat="1" applyFont="1" applyFill="0" applyBorder="1" applyAlignment="1" applyProtection="0">
      <alignment horizontal="left" vertical="top"/>
    </xf>
    <xf numFmtId="0" fontId="5" fillId="3" borderId="3" applyNumberFormat="0" applyFont="1" applyFill="1" applyBorder="1" applyAlignment="1" applyProtection="0">
      <alignment horizontal="left" vertical="center"/>
    </xf>
    <xf numFmtId="0" fontId="5" fillId="4" borderId="3" applyNumberFormat="0" applyFont="1" applyFill="1" applyBorder="1" applyAlignment="1" applyProtection="0">
      <alignment horizontal="left" vertical="center"/>
    </xf>
    <xf numFmtId="49" fontId="5" borderId="3" applyNumberFormat="1" applyFont="1" applyFill="0" applyBorder="1" applyAlignment="1" applyProtection="0">
      <alignment horizontal="left" vertical="center"/>
    </xf>
    <xf numFmtId="49" fontId="6" borderId="3" applyNumberFormat="1" applyFont="1" applyFill="0" applyBorder="1" applyAlignment="1" applyProtection="0">
      <alignment horizontal="left" vertical="center"/>
    </xf>
    <xf numFmtId="0" fontId="5" borderId="3" applyNumberFormat="0" applyFont="1" applyFill="0" applyBorder="1" applyAlignment="1" applyProtection="0">
      <alignment horizontal="left" vertical="center"/>
    </xf>
    <xf numFmtId="0" fontId="5" fillId="5" borderId="3" applyNumberFormat="0" applyFont="1" applyFill="1" applyBorder="1" applyAlignment="1" applyProtection="0">
      <alignment horizontal="left" vertical="center"/>
    </xf>
    <xf numFmtId="0" fontId="0" borderId="3" applyNumberFormat="1" applyFont="1" applyFill="0" applyBorder="1" applyAlignment="1" applyProtection="0">
      <alignment horizontal="center" vertical="top" wrapText="1"/>
    </xf>
    <xf numFmtId="49" fontId="5" borderId="3" applyNumberFormat="1" applyFont="1" applyFill="0" applyBorder="1" applyAlignment="1" applyProtection="0">
      <alignment horizontal="left" vertical="top"/>
    </xf>
    <xf numFmtId="49" fontId="6" borderId="3" applyNumberFormat="1" applyFont="1" applyFill="0" applyBorder="1" applyAlignment="1" applyProtection="0">
      <alignment horizontal="left" vertical="top"/>
    </xf>
    <xf numFmtId="0" fontId="6" borderId="3" applyNumberFormat="0" applyFont="1" applyFill="0" applyBorder="1" applyAlignment="1" applyProtection="0">
      <alignment horizontal="left" vertical="center"/>
    </xf>
    <xf numFmtId="49" fontId="5" fillId="3" borderId="3" applyNumberFormat="1" applyFont="1" applyFill="1" applyBorder="1" applyAlignment="1" applyProtection="0">
      <alignment horizontal="left" vertical="center"/>
    </xf>
    <xf numFmtId="49" fontId="6" fillId="3" borderId="3" applyNumberFormat="1" applyFont="1" applyFill="1" applyBorder="1" applyAlignment="1" applyProtection="0">
      <alignment horizontal="left" vertical="center"/>
    </xf>
    <xf numFmtId="0" fontId="5" borderId="3" applyNumberFormat="1" applyFont="1" applyFill="0" applyBorder="1" applyAlignment="1" applyProtection="0">
      <alignment horizontal="center" vertical="center"/>
    </xf>
    <xf numFmtId="0" fontId="6" borderId="3" applyNumberFormat="0" applyFont="1" applyFill="0" applyBorder="1" applyAlignment="1" applyProtection="0">
      <alignment horizontal="left" vertical="top"/>
    </xf>
    <xf numFmtId="0" fontId="8" borderId="3" applyNumberFormat="0" applyFont="1" applyFill="0" applyBorder="1" applyAlignment="1" applyProtection="0">
      <alignment horizontal="left" vertical="center"/>
    </xf>
    <xf numFmtId="49" fontId="8" borderId="3" applyNumberFormat="1" applyFont="1" applyFill="0" applyBorder="1" applyAlignment="1" applyProtection="0">
      <alignment horizontal="left" vertical="center"/>
    </xf>
    <xf numFmtId="49" fontId="6" borderId="3" applyNumberFormat="1" applyFont="1" applyFill="0" applyBorder="1" applyAlignment="1" applyProtection="0">
      <alignment horizontal="left" vertical="center" readingOrder="1"/>
    </xf>
    <xf numFmtId="49" fontId="5" borderId="3" applyNumberFormat="1" applyFont="1" applyFill="0" applyBorder="1" applyAlignment="1" applyProtection="0">
      <alignment horizontal="left" vertical="center" readingOrder="1"/>
    </xf>
    <xf numFmtId="0" fontId="5" borderId="3" applyNumberFormat="0" applyFont="1" applyFill="0" applyBorder="1" applyAlignment="1" applyProtection="0">
      <alignment horizontal="left" vertical="center" readingOrder="1"/>
    </xf>
    <xf numFmtId="49" fontId="5" fillId="3" borderId="3" applyNumberFormat="1" applyFont="1" applyFill="1" applyBorder="1" applyAlignment="1" applyProtection="0">
      <alignment horizontal="left" vertical="center" readingOrder="1"/>
    </xf>
    <xf numFmtId="49" fontId="6" borderId="3" applyNumberFormat="1" applyFont="1" applyFill="0" applyBorder="1" applyAlignment="1" applyProtection="0">
      <alignment vertical="top" wrapText="1"/>
    </xf>
    <xf numFmtId="49" fontId="5" borderId="3" applyNumberFormat="1" applyFont="1" applyFill="0" applyBorder="1" applyAlignment="1" applyProtection="0">
      <alignment horizontal="left" vertical="top" wrapText="1"/>
    </xf>
    <xf numFmtId="49" fontId="6" borderId="3" applyNumberFormat="1" applyFont="1" applyFill="0" applyBorder="1" applyAlignment="1" applyProtection="0">
      <alignment horizontal="left" vertical="top" wrapText="1"/>
    </xf>
    <xf numFmtId="49" fontId="5" borderId="3" applyNumberFormat="1" applyFont="1" applyFill="0" applyBorder="1" applyAlignment="1" applyProtection="0">
      <alignment horizontal="left" vertical="center" wrapText="1"/>
    </xf>
    <xf numFmtId="0" fontId="6" fillId="3" borderId="3" applyNumberFormat="0" applyFont="1" applyFill="1" applyBorder="1" applyAlignment="1" applyProtection="0">
      <alignment horizontal="left" vertical="center"/>
    </xf>
    <xf numFmtId="0" fontId="11" fillId="3" borderId="3" applyNumberFormat="0" applyFont="1" applyFill="1" applyBorder="1" applyAlignment="1" applyProtection="0">
      <alignment horizontal="left" vertical="center"/>
    </xf>
    <xf numFmtId="0" fontId="11" fillId="3" borderId="1" applyNumberFormat="0" applyFont="1" applyFill="1" applyBorder="1" applyAlignment="1" applyProtection="0">
      <alignment horizontal="left" vertical="center"/>
    </xf>
    <xf numFmtId="0" fontId="5" fillId="4" borderId="1" applyNumberFormat="0" applyFont="1" applyFill="1" applyBorder="1" applyAlignment="1" applyProtection="0">
      <alignment horizontal="left" vertical="center"/>
    </xf>
    <xf numFmtId="49" fontId="5" borderId="1" applyNumberFormat="1" applyFont="1" applyFill="0" applyBorder="1" applyAlignment="1" applyProtection="0">
      <alignment horizontal="left" vertical="center"/>
    </xf>
    <xf numFmtId="49" fontId="6" borderId="1" applyNumberFormat="1" applyFont="1" applyFill="0" applyBorder="1" applyAlignment="1" applyProtection="0">
      <alignment horizontal="left" vertical="center"/>
    </xf>
    <xf numFmtId="0" fontId="6" borderId="1" applyNumberFormat="0" applyFont="1" applyFill="0" applyBorder="1" applyAlignment="1" applyProtection="0">
      <alignment horizontal="left" vertical="center"/>
    </xf>
    <xf numFmtId="0" fontId="5" fillId="5" borderId="1" applyNumberFormat="0" applyFont="1" applyFill="1" applyBorder="1" applyAlignment="1" applyProtection="0">
      <alignment horizontal="left" vertical="center"/>
    </xf>
    <xf numFmtId="0" fontId="5" borderId="1" applyNumberFormat="1" applyFont="1" applyFill="0" applyBorder="1" applyAlignment="1" applyProtection="0">
      <alignment horizontal="center" vertical="center"/>
    </xf>
    <xf numFmtId="49" fontId="5" fillId="3" borderId="1" applyNumberFormat="1" applyFont="1" applyFill="1" applyBorder="1" applyAlignment="1" applyProtection="0">
      <alignment horizontal="left" vertical="center"/>
    </xf>
    <xf numFmtId="49" fontId="5" borderId="1" applyNumberFormat="1" applyFont="1" applyFill="0" applyBorder="1" applyAlignment="1" applyProtection="0">
      <alignment horizontal="left" vertical="top" wrapText="1"/>
    </xf>
    <xf numFmtId="49" fontId="6" borderId="1" applyNumberFormat="1" applyFont="1" applyFill="0" applyBorder="1" applyAlignment="1" applyProtection="0">
      <alignment horizontal="left" vertical="top"/>
    </xf>
    <xf numFmtId="49" fontId="12" borderId="2" applyNumberFormat="1" applyFont="1" applyFill="0" applyBorder="1" applyAlignment="1" applyProtection="0">
      <alignment vertical="top"/>
    </xf>
    <xf numFmtId="0" fontId="12" borderId="2" applyNumberFormat="0" applyFont="1" applyFill="0" applyBorder="1" applyAlignment="1" applyProtection="0">
      <alignment vertical="top"/>
    </xf>
    <xf numFmtId="0" fontId="13" borderId="2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dfffdf"/>
      <rgbColor rgb="ffe6f7e2"/>
      <rgbColor rgb="ff2121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0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merican Typewriter"/>
            <a:ea typeface="American Typewriter"/>
            <a:cs typeface="American Typewriter"/>
            <a:sym typeface="American Typewriter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lcpcb.com/partdetail/C840579" TargetMode="External"/><Relationship Id="rId2" Type="http://schemas.openxmlformats.org/officeDocument/2006/relationships/hyperlink" Target="https://wmsc.lcsc.com/wmsc/upload/file/pdf/v2/lcsc/2311231642_ECE-EDG104S33_C840579.pdf" TargetMode="External"/><Relationship Id="rId3" Type="http://schemas.openxmlformats.org/officeDocument/2006/relationships/hyperlink" Target="https://jlcpcb.com/partdetail/C5340138" TargetMode="External"/><Relationship Id="rId4" Type="http://schemas.openxmlformats.org/officeDocument/2006/relationships/hyperlink" Target="https://wmsc.lcsc.com/wmsc/upload/file/pdf/v2/lcsc/2212291730_hanxia-HX-TS666CJ-250gf-009_C5340138.pdf" TargetMode="External"/><Relationship Id="rId5" Type="http://schemas.openxmlformats.org/officeDocument/2006/relationships/hyperlink" Target="https://jlcpcb.com/partdetail/C5340123" TargetMode="External"/><Relationship Id="rId6" Type="http://schemas.openxmlformats.org/officeDocument/2006/relationships/hyperlink" Target="https://wmsc.lcsc.com/wmsc/upload/file/pdf/v2/lcsc/2212271430_hanxia-HX-TS666TP-250gf-009_C5340123.pdf" TargetMode="External"/><Relationship Id="rId7" Type="http://schemas.openxmlformats.org/officeDocument/2006/relationships/hyperlink" Target="https://www.amazon.com/DWEII-WT32-ETH01-Bluetooth-Development-Converter/dp/B0B1V2RSLY/ref=sr_1_6?crid=314KW0BPPVKW8&amp;dib=eyJ2IjoiMSJ9.G-jwgG2jf14TIyjtM6gPyYH3hjQUHKrQfu5_H3L9tC5jQFWRvQDq9e6MLIQJ2c_4zpV9VRvg39dGowOt8Ju3zdg0lPeXEKqTTXnLnach_267rAAC7T58mNYeH4anDT2My3U9K8OfvWwLEeqER44Jda4kDCnkxc14_Mbmi_gna2cnePF20jCunUNQWGwMVCvjp-UtBf86MK56FFjlFtjp1z2Aq4rvOP806BaqqU8Oo38.ev-u-C0T1GFgjLgimXKb_ZAMLnonoSzJ6AzhzPd1w-4&amp;dib_tag=se&amp;keywords=WT32-eth01&amp;qid=1736014651&amp;sprefix=wt32-eth01,aps,160&amp;sr=8-6&amp;th=1" TargetMode="External"/><Relationship Id="rId8" Type="http://schemas.openxmlformats.org/officeDocument/2006/relationships/hyperlink" Target="https://mischianti.org/wp-content/uploads/2020/11/ESP32-DOIT-DEV-KIT-v1-pinout-mischianti.png" TargetMode="External"/><Relationship Id="rId9" Type="http://schemas.openxmlformats.org/officeDocument/2006/relationships/hyperlink" Target="https://jlcpcb.com/partdetail/C1852832" TargetMode="External"/><Relationship Id="rId10" Type="http://schemas.openxmlformats.org/officeDocument/2006/relationships/hyperlink" Target="https://wmsc.lcsc.com/wmsc/upload/file/pdf/v2/lcsc/2201271000_YAGEO-CC0603KPX7R8BB103_C1852832.pdf" TargetMode="External"/><Relationship Id="rId11" Type="http://schemas.openxmlformats.org/officeDocument/2006/relationships/hyperlink" Target="https://jlcpcb.com/partdetail/C3910010" TargetMode="External"/><Relationship Id="rId12" Type="http://schemas.openxmlformats.org/officeDocument/2006/relationships/hyperlink" Target="https://jlcpcb.com/partdetail/C100042" TargetMode="External"/><Relationship Id="rId13" Type="http://schemas.openxmlformats.org/officeDocument/2006/relationships/hyperlink" Target="https://www.lcsc.com/datasheet/lcsc_datasheet_2304140030_YAGEO-CC0603KRX7R9BB103_C100042.pdf" TargetMode="External"/><Relationship Id="rId14" Type="http://schemas.openxmlformats.org/officeDocument/2006/relationships/hyperlink" Target="https://jlcpcb.com/partdetail/C3853265" TargetMode="External"/><Relationship Id="rId15" Type="http://schemas.openxmlformats.org/officeDocument/2006/relationships/hyperlink" Target="https://jlcpcb.com/partdetail/C14663" TargetMode="External"/><Relationship Id="rId16" Type="http://schemas.openxmlformats.org/officeDocument/2006/relationships/hyperlink" Target="https://www.lcsc.com/datasheet/lcsc_datasheet_2211101700_YAGEO-CC0603KRX7R9BB104_C14663.pdf" TargetMode="External"/><Relationship Id="rId17" Type="http://schemas.openxmlformats.org/officeDocument/2006/relationships/hyperlink" Target="https://jlcpcb.com/partdetail/C2169859" TargetMode="External"/><Relationship Id="rId18" Type="http://schemas.openxmlformats.org/officeDocument/2006/relationships/hyperlink" Target="https://wmsc.lcsc.com/wmsc/upload/file/pdf/v2/lcsc/2309051403_Taiyo-Yuden-GMK107BJ105KAHT_C2169859.pdf" TargetMode="External"/><Relationship Id="rId19" Type="http://schemas.openxmlformats.org/officeDocument/2006/relationships/hyperlink" Target="https://jlcpcb.com/partdetail/C15849" TargetMode="External"/><Relationship Id="rId20" Type="http://schemas.openxmlformats.org/officeDocument/2006/relationships/hyperlink" Target="https://www.lcsc.com/datasheet/lcsc_datasheet_2304140030_Samsung-Electro-Mechanics-CL10A105KB8NNNC_C15849.pdf" TargetMode="External"/><Relationship Id="rId21" Type="http://schemas.openxmlformats.org/officeDocument/2006/relationships/hyperlink" Target="https://jlcpcb.com/partdetail/C13585" TargetMode="External"/><Relationship Id="rId22" Type="http://schemas.openxmlformats.org/officeDocument/2006/relationships/hyperlink" Target="https://www.lcsc.com/datasheet/lcsc_datasheet_2304140030_Samsung-Electro-Mechanics-CL31A106KBHNNNE_C13585.pdf" TargetMode="External"/><Relationship Id="rId23" Type="http://schemas.openxmlformats.org/officeDocument/2006/relationships/hyperlink" Target="https://jlcpcb.com/partdetail/C136294" TargetMode="External"/><Relationship Id="rId24" Type="http://schemas.openxmlformats.org/officeDocument/2006/relationships/hyperlink" Target="https://www.lcsc.com/datasheet/lcsc_datasheet_1808312007_Nichicon-UCD1V221MNL1GS_C136294.pdf" TargetMode="External"/><Relationship Id="rId25" Type="http://schemas.openxmlformats.org/officeDocument/2006/relationships/hyperlink" Target="https://www.mouser.com/ProductDetail/Nichicon/UVR0J102MPD1TD" TargetMode="External"/><Relationship Id="rId26" Type="http://schemas.openxmlformats.org/officeDocument/2006/relationships/hyperlink" Target="https://jlcpcb.com/partdetail/C970714" TargetMode="External"/><Relationship Id="rId27" Type="http://schemas.openxmlformats.org/officeDocument/2006/relationships/hyperlink" Target="https://jlcpcb.com/api/file/downloadByFileSystemAccessId/8590911073887604736" TargetMode="External"/><Relationship Id="rId28" Type="http://schemas.openxmlformats.org/officeDocument/2006/relationships/hyperlink" Target="https://jlcpcb.com/partdetail/C353517" TargetMode="External"/><Relationship Id="rId29" Type="http://schemas.openxmlformats.org/officeDocument/2006/relationships/hyperlink" Target="https://www.lcsc.com/datasheet/lcsc_datasheet_2304140030_Shandong-Jingdao-Microelectronics-BZT52C4V7S_C353517.pdf" TargetMode="External"/><Relationship Id="rId30" Type="http://schemas.openxmlformats.org/officeDocument/2006/relationships/hyperlink" Target="https://jlcpcb.com/partdetail/C5261070" TargetMode="External"/><Relationship Id="rId31" Type="http://schemas.openxmlformats.org/officeDocument/2006/relationships/hyperlink" Target="https://wmsc.lcsc.com/wmsc/upload/file/pdf/v2/lcsc/2406051353_HXY-MOSFET-BAT54_C5261070.pdf" TargetMode="External"/><Relationship Id="rId32" Type="http://schemas.openxmlformats.org/officeDocument/2006/relationships/hyperlink" Target="https://jlcpcb.com/partdetail/C2926172" TargetMode="External"/><Relationship Id="rId33" Type="http://schemas.openxmlformats.org/officeDocument/2006/relationships/hyperlink" Target="https://wmsc.lcsc.com/wmsc/upload/file/pdf/v2/lcsc/2112031830_FOSAN-BAT54A_C2926172.pdf" TargetMode="External"/><Relationship Id="rId34" Type="http://schemas.openxmlformats.org/officeDocument/2006/relationships/hyperlink" Target="https://jlcpcb.com/partdetail/C2926174" TargetMode="External"/><Relationship Id="rId35" Type="http://schemas.openxmlformats.org/officeDocument/2006/relationships/hyperlink" Target="https://wmsc.lcsc.com/wmsc/upload/file/pdf/v2/lcsc/2112031830_FOSAN-BAT54S_C2926174.pdf" TargetMode="External"/><Relationship Id="rId36" Type="http://schemas.openxmlformats.org/officeDocument/2006/relationships/hyperlink" Target="https://jlcpcb.com/partdetail/C408388" TargetMode="External"/><Relationship Id="rId37" Type="http://schemas.openxmlformats.org/officeDocument/2006/relationships/hyperlink" Target="https://www.lcsc.com/datasheet/lcsc_datasheet_2407101108_MDD-Microdiode-Semiconductor-BAT54C_C408388.pdf" TargetMode="External"/><Relationship Id="rId38" Type="http://schemas.openxmlformats.org/officeDocument/2006/relationships/hyperlink" Target="https://jlcpcb.com/partdetail/C2683482" TargetMode="External"/><Relationship Id="rId39" Type="http://schemas.openxmlformats.org/officeDocument/2006/relationships/hyperlink" Target="https://www.lcsc.com/datasheet/lcsc_datasheet_2403081523_IDCHIP-LM358D_C2683482.pdf" TargetMode="External"/><Relationship Id="rId40" Type="http://schemas.openxmlformats.org/officeDocument/2006/relationships/hyperlink" Target="https://jlcpcb.com/partdetail/C5145392" TargetMode="External"/><Relationship Id="rId41" Type="http://schemas.openxmlformats.org/officeDocument/2006/relationships/hyperlink" Target="https://wmsc.lcsc.com/wmsc/upload/file/pdf/v2/lcsc/2209290930_HANSCHIP-semiconductor-NE556DRG_C5145392.pdf" TargetMode="External"/><Relationship Id="rId42" Type="http://schemas.openxmlformats.org/officeDocument/2006/relationships/hyperlink" Target="https://jlcpcb.com/partdetail/C629440" TargetMode="External"/><Relationship Id="rId43" Type="http://schemas.openxmlformats.org/officeDocument/2006/relationships/hyperlink" Target="https://wmsc.lcsc.com/wmsc/upload/file/pdf/v2/lcsc/2203221230_Microchip-Tech-MCP23017T-E-SO_C629440.pdf" TargetMode="External"/><Relationship Id="rId44" Type="http://schemas.openxmlformats.org/officeDocument/2006/relationships/hyperlink" Target="https://jlcpcb.com/partdetail/C2678753" TargetMode="External"/><Relationship Id="rId45" Type="http://schemas.openxmlformats.org/officeDocument/2006/relationships/hyperlink" Target="https://www.lcsc.com/datasheet/lcsc_datasheet_2405281434_NXP-Semicon-PCA9685PW-118_C2678753.pdf" TargetMode="External"/><Relationship Id="rId46" Type="http://schemas.openxmlformats.org/officeDocument/2006/relationships/hyperlink" Target="https://jlcpcb.com/partdetail/C965807" TargetMode="External"/><Relationship Id="rId47" Type="http://schemas.openxmlformats.org/officeDocument/2006/relationships/hyperlink" Target="https://wmsc.lcsc.com/wmsc/upload/file/pdf/v2/lcsc/2402181505_XINGLIGHT-XL-1608UBC-04_C965807.pdf" TargetMode="External"/><Relationship Id="rId48" Type="http://schemas.openxmlformats.org/officeDocument/2006/relationships/hyperlink" Target="https://jlcpcb.com/partdetail/C965808" TargetMode="External"/><Relationship Id="rId49" Type="http://schemas.openxmlformats.org/officeDocument/2006/relationships/hyperlink" Target="https://wmsc.lcsc.com/wmsc/upload/file/pdf/v2/lcsc/2402181505_XINGLIGHT-XL-1608UWC-04_C965808.pdf" TargetMode="External"/><Relationship Id="rId50" Type="http://schemas.openxmlformats.org/officeDocument/2006/relationships/hyperlink" Target="https://jlcpcb.com/partdetail/C965804" TargetMode="External"/><Relationship Id="rId51" Type="http://schemas.openxmlformats.org/officeDocument/2006/relationships/hyperlink" Target="https://wmsc.lcsc.com/wmsc/upload/file/pdf/v2/lcsc/2402181505_XINGLIGHT-XL-1608UGC-04_C965804.pdf" TargetMode="External"/><Relationship Id="rId52" Type="http://schemas.openxmlformats.org/officeDocument/2006/relationships/hyperlink" Target="https://jlcpcb.com/partdetail/C965806" TargetMode="External"/><Relationship Id="rId53" Type="http://schemas.openxmlformats.org/officeDocument/2006/relationships/hyperlink" Target="https://wmsc.lcsc.com/wmsc/upload/file/pdf/v2/lcsc/2402181505_XINGLIGHT-XL-1608SYGC-04_C965806.pdf" TargetMode="External"/><Relationship Id="rId54" Type="http://schemas.openxmlformats.org/officeDocument/2006/relationships/hyperlink" Target="https://jlcpcb.com/partdetail/C22371303" TargetMode="External"/><Relationship Id="rId55" Type="http://schemas.openxmlformats.org/officeDocument/2006/relationships/hyperlink" Target="https://wmsc.lcsc.com/wmsc/upload/file/pdf/v2/lcsc/2403281522_HONGLITRONIC-Hongli-Zhihui--HONGLITRONIC-HL-PSC-1608S25OC-G4_C22371303.pdf" TargetMode="External"/><Relationship Id="rId56" Type="http://schemas.openxmlformats.org/officeDocument/2006/relationships/hyperlink" Target="https://jlcpcb.com/partdetail/C965800" TargetMode="External"/><Relationship Id="rId57" Type="http://schemas.openxmlformats.org/officeDocument/2006/relationships/hyperlink" Target="https://wmsc.lcsc.com/wmsc/upload/file/pdf/v2/lcsc/2402181505_XINGLIGHT-XL-1608UOC-06_C965800.pdf" TargetMode="External"/><Relationship Id="rId58" Type="http://schemas.openxmlformats.org/officeDocument/2006/relationships/hyperlink" Target="https://jlcpcb.com/partdetail/C965801" TargetMode="External"/><Relationship Id="rId59" Type="http://schemas.openxmlformats.org/officeDocument/2006/relationships/hyperlink" Target="https://wmsc.lcsc.com/wmsc/upload/file/pdf/v2/lcsc/2402181505_XINGLIGHT-XL-1608UOC-06_C965800.pdf" TargetMode="External"/><Relationship Id="rId60" Type="http://schemas.openxmlformats.org/officeDocument/2006/relationships/hyperlink" Target="https://jlcpcb.com/partdetail/C965803" TargetMode="External"/><Relationship Id="rId61" Type="http://schemas.openxmlformats.org/officeDocument/2006/relationships/hyperlink" Target="https://wmsc.lcsc.com/wmsc/upload/file/pdf/v2/lcsc/2402181505_XINGLIGHT-XL-1608UOC-04_C965801.pdf" TargetMode="External"/><Relationship Id="rId62" Type="http://schemas.openxmlformats.org/officeDocument/2006/relationships/hyperlink" Target="https://jlcpcb.com/partdetail/C7288939" TargetMode="External"/><Relationship Id="rId63" Type="http://schemas.openxmlformats.org/officeDocument/2006/relationships/hyperlink" Target="https://wmsc.lcsc.com/wmsc/upload/file/pdf/v2/lcsc/2404241146_Inolux-IN-S63ASR_C7288939.pdf" TargetMode="External"/><Relationship Id="rId64" Type="http://schemas.openxmlformats.org/officeDocument/2006/relationships/hyperlink" Target="https://jlcpcb.com/partdetail/C965799" TargetMode="External"/><Relationship Id="rId65" Type="http://schemas.openxmlformats.org/officeDocument/2006/relationships/hyperlink" Target="https://wmsc.lcsc.com/wmsc/upload/file/pdf/v2/lcsc/2402181505_XINGLIGHT-XL-1608SURC-06_C965799.pdf" TargetMode="External"/><Relationship Id="rId66" Type="http://schemas.openxmlformats.org/officeDocument/2006/relationships/hyperlink" Target="https://jlcpcb.com/partdetail/C965798" TargetMode="External"/><Relationship Id="rId67" Type="http://schemas.openxmlformats.org/officeDocument/2006/relationships/hyperlink" Target="https://wmsc.lcsc.com/wmsc/upload/file/pdf/v2/lcsc/2402181505_XINGLIGHT-XL-1608SURC-04_C965798.pdf" TargetMode="External"/><Relationship Id="rId68" Type="http://schemas.openxmlformats.org/officeDocument/2006/relationships/hyperlink" Target="https://jlcpcb.com/partdetail/C2843785" TargetMode="External"/><Relationship Id="rId69" Type="http://schemas.openxmlformats.org/officeDocument/2006/relationships/hyperlink" Target="https://www.lcsc.com/datasheet/lcsc_datasheet_2404120946_XINGLIGHT-XL-5050RGBC-WS2812B_C2843785.pdf" TargetMode="External"/><Relationship Id="rId70" Type="http://schemas.openxmlformats.org/officeDocument/2006/relationships/hyperlink" Target="https://jlcpcb.com/partdetail/C5345985" TargetMode="External"/><Relationship Id="rId71" Type="http://schemas.openxmlformats.org/officeDocument/2006/relationships/hyperlink" Target="https://wmsc.lcsc.com/wmsc/upload/file/pdf/v2/lcsc/2301120930_HXY-MOSFET-AMS1117-ADJ_C5345985.pdf" TargetMode="External"/><Relationship Id="rId72" Type="http://schemas.openxmlformats.org/officeDocument/2006/relationships/hyperlink" Target="https://jlcpcb.com/partdetail/C5345982" TargetMode="External"/><Relationship Id="rId73" Type="http://schemas.openxmlformats.org/officeDocument/2006/relationships/hyperlink" Target="https://wmsc.lcsc.com/wmsc/upload/file/pdf/v2/lcsc/2301120930_HXY-MOSFET-AMS1117-3-3_C5345982.pdf" TargetMode="External"/><Relationship Id="rId74" Type="http://schemas.openxmlformats.org/officeDocument/2006/relationships/hyperlink" Target="https://jlcpcb.com/partdetail/C5345984" TargetMode="External"/><Relationship Id="rId75" Type="http://schemas.openxmlformats.org/officeDocument/2006/relationships/hyperlink" Target="https://wmsc.lcsc.com/wmsc/upload/file/pdf/v2/lcsc/2301120930_HXY-MOSFET-AMS1117-5-0_C5345984.pdf" TargetMode="External"/><Relationship Id="rId76" Type="http://schemas.openxmlformats.org/officeDocument/2006/relationships/hyperlink" Target="https://omronfs.omron.com/en_US/ecb/products/pdf/en-g2rl.pdf" TargetMode="External"/><Relationship Id="rId77" Type="http://schemas.openxmlformats.org/officeDocument/2006/relationships/hyperlink" Target="https://jlcpcb.com/partdetail/C5184404" TargetMode="External"/><Relationship Id="rId78" Type="http://schemas.openxmlformats.org/officeDocument/2006/relationships/hyperlink" Target="https://wmsc.lcsc.com/wmsc/upload/file/pdf/v2/lcsc/2407151447_HXY-MOSFET-MMBT3904_C5184404.pdf" TargetMode="External"/><Relationship Id="rId79" Type="http://schemas.openxmlformats.org/officeDocument/2006/relationships/hyperlink" Target="https://jlcpcb.com/partdetail/C5184433" TargetMode="External"/><Relationship Id="rId80" Type="http://schemas.openxmlformats.org/officeDocument/2006/relationships/hyperlink" Target="https://wmsc.lcsc.com/wmsc/upload/file/pdf/v2/lcsc/2303091430_HXY-MOSFET-BC807-40_C5184433.pdf" TargetMode="External"/><Relationship Id="rId81" Type="http://schemas.openxmlformats.org/officeDocument/2006/relationships/hyperlink" Target="https://jlcpcb.com/partdetail/C5224215" TargetMode="External"/><Relationship Id="rId82" Type="http://schemas.openxmlformats.org/officeDocument/2006/relationships/hyperlink" Target="https://wmsc.lcsc.com/wmsc/upload/file/pdf/v2/lcsc/2210271630_ElecSuper-2N7002_C5224215.pdf" TargetMode="External"/><Relationship Id="rId83" Type="http://schemas.openxmlformats.org/officeDocument/2006/relationships/hyperlink" Target="https://jlcpcb.com/partdetail/C878901" TargetMode="External"/><Relationship Id="rId84" Type="http://schemas.openxmlformats.org/officeDocument/2006/relationships/hyperlink" Target="https://www.diodes.com/assets/Datasheets/ds31773.pdf" TargetMode="External"/><Relationship Id="rId85" Type="http://schemas.openxmlformats.org/officeDocument/2006/relationships/hyperlink" Target="https://jlcpcb.com/partdetail/C7499856" TargetMode="External"/><Relationship Id="rId86" Type="http://schemas.openxmlformats.org/officeDocument/2006/relationships/hyperlink" Target="https://wmsc.lcsc.com/wmsc/upload/file/pdf/v2/lcsc/2310251707_HL-2301V_C7499856.pdf" TargetMode="External"/><Relationship Id="rId87" Type="http://schemas.openxmlformats.org/officeDocument/2006/relationships/hyperlink" Target="https://jlcpcb.com/partdetail/C2907123" TargetMode="External"/><Relationship Id="rId88" Type="http://schemas.openxmlformats.org/officeDocument/2006/relationships/hyperlink" Target="https://wmsc.lcsc.com/wmsc/upload/file/pdf/v2/lcsc/2308241947_FOJAN-FRC0603J201-TS_C2907123.pdf" TargetMode="External"/><Relationship Id="rId89" Type="http://schemas.openxmlformats.org/officeDocument/2006/relationships/hyperlink" Target="https://jlcpcb.com/partdetail/C5842375" TargetMode="External"/><Relationship Id="rId90" Type="http://schemas.openxmlformats.org/officeDocument/2006/relationships/hyperlink" Target="https://wmsc.lcsc.com/wmsc/upload/file/pdf/v2/lcsc/2312030915_YAGEO-RC0603FR-13220RL_C5842375.pdf" TargetMode="External"/><Relationship Id="rId91" Type="http://schemas.openxmlformats.org/officeDocument/2006/relationships/hyperlink" Target="https://jlcpcb.com/partdetail/C1226" TargetMode="External"/><Relationship Id="rId92" Type="http://schemas.openxmlformats.org/officeDocument/2006/relationships/hyperlink" Target="https://www.lcsc.com/datasheet/lcsc_datasheet_2206010230_UNI-ROYAL-Uniroyal-Elec-0603WAJ0221T5E_C1226.pdf" TargetMode="External"/><Relationship Id="rId93" Type="http://schemas.openxmlformats.org/officeDocument/2006/relationships/hyperlink" Target="https://jlcpcb.com/partdetail/C25231" TargetMode="External"/><Relationship Id="rId94" Type="http://schemas.openxmlformats.org/officeDocument/2006/relationships/hyperlink" Target="https://www.lcsc.com/datasheet/lcsc_datasheet_2205311845_UNI-ROYAL-Uniroyal-Elec-0603WAJ0331T5E_C25231.pdf" TargetMode="External"/><Relationship Id="rId95" Type="http://schemas.openxmlformats.org/officeDocument/2006/relationships/hyperlink" Target="https://jlcpcb.com/partdetail/C25241" TargetMode="External"/><Relationship Id="rId96" Type="http://schemas.openxmlformats.org/officeDocument/2006/relationships/hyperlink" Target="https://www.lcsc.com/datasheet/lcsc_datasheet_2205311845_UNI-ROYAL-Uniroyal-Elec-0603WAJ0471T5E_C25241.pdf" TargetMode="External"/><Relationship Id="rId97" Type="http://schemas.openxmlformats.org/officeDocument/2006/relationships/hyperlink" Target="https://jlcpcb.com/partdetail/C25585" TargetMode="External"/><Relationship Id="rId98" Type="http://schemas.openxmlformats.org/officeDocument/2006/relationships/hyperlink" Target="https://www.lcsc.com/datasheet/lcsc_datasheet_2206010100_UNI-ROYAL-Uniroyal-Elec-0603WAJ0102T5E_C25585.pdf" TargetMode="External"/><Relationship Id="rId99" Type="http://schemas.openxmlformats.org/officeDocument/2006/relationships/hyperlink" Target="https://jlcpcb.com/partdetail/C25992" TargetMode="External"/><Relationship Id="rId100" Type="http://schemas.openxmlformats.org/officeDocument/2006/relationships/hyperlink" Target="https://www.lcsc.com/datasheet/lcsc_datasheet_2206010045_UNI-ROYAL-Uniroyal-Elec-0603WAJ0222T5E_C25992.pdf" TargetMode="External"/><Relationship Id="rId101" Type="http://schemas.openxmlformats.org/officeDocument/2006/relationships/hyperlink" Target="https://jlcpcb.com/partdetail/C2907023" TargetMode="External"/><Relationship Id="rId102" Type="http://schemas.openxmlformats.org/officeDocument/2006/relationships/hyperlink" Target="https://wmsc.lcsc.com/wmsc/upload/file/pdf/v2/lcsc/2308241947_FOJAN-FRC0603F3301TS_C2907023.pdf" TargetMode="External"/><Relationship Id="rId103" Type="http://schemas.openxmlformats.org/officeDocument/2006/relationships/hyperlink" Target="https://jlcpcb.com/partdetail/C25995" TargetMode="External"/><Relationship Id="rId104" Type="http://schemas.openxmlformats.org/officeDocument/2006/relationships/hyperlink" Target="https://www.lcsc.com/datasheet/lcsc_datasheet_2206010045_UNI-ROYAL-Uniroyal-Elec-0603WAJ0332T5E_C25995.pdf" TargetMode="External"/><Relationship Id="rId105" Type="http://schemas.openxmlformats.org/officeDocument/2006/relationships/hyperlink" Target="https://jlcpcb.com/partdetail/C25999" TargetMode="External"/><Relationship Id="rId106" Type="http://schemas.openxmlformats.org/officeDocument/2006/relationships/hyperlink" Target="https://www.lcsc.com/datasheet/lcsc_datasheet_2206010045_UNI-ROYAL-Uniroyal-Elec-0603WAJ0472T5E_C25999.pdf" TargetMode="External"/><Relationship Id="rId107" Type="http://schemas.openxmlformats.org/officeDocument/2006/relationships/hyperlink" Target="https://jlcpcb.com/partdetail/C26001" TargetMode="External"/><Relationship Id="rId108" Type="http://schemas.openxmlformats.org/officeDocument/2006/relationships/hyperlink" Target="https://www.lcsc.com/datasheet/lcsc_datasheet_2206010045_UNI-ROYAL-Uniroyal-Elec-0603WAJ0562T5E_C26001.pdf" TargetMode="External"/><Relationship Id="rId109" Type="http://schemas.openxmlformats.org/officeDocument/2006/relationships/hyperlink" Target="https://jlcpcb.com/partdetail/C4118381" TargetMode="External"/><Relationship Id="rId110" Type="http://schemas.openxmlformats.org/officeDocument/2006/relationships/hyperlink" Target="https://wmsc.lcsc.com/wmsc/upload/file/pdf/v2/lcsc/2404101024_YAGEO-RC0603JR-1310KL_C4118381.pdf" TargetMode="External"/><Relationship Id="rId111" Type="http://schemas.openxmlformats.org/officeDocument/2006/relationships/hyperlink" Target="https://jlcpcb.com/partdetail/C2930027" TargetMode="External"/><Relationship Id="rId112" Type="http://schemas.openxmlformats.org/officeDocument/2006/relationships/hyperlink" Target="https://wmsc.lcsc.com/wmsc/upload/file/pdf/v2/lcsc/2308241009_FOJAN-FRC0603J103TS_C2930027.pdf" TargetMode="External"/><Relationship Id="rId113" Type="http://schemas.openxmlformats.org/officeDocument/2006/relationships/hyperlink" Target="https://jlcpcb.com/partdetail/C15401" TargetMode="External"/><Relationship Id="rId114" Type="http://schemas.openxmlformats.org/officeDocument/2006/relationships/hyperlink" Target="https://jlcpcb.com/partdetail/C23344" TargetMode="External"/><Relationship Id="rId115" Type="http://schemas.openxmlformats.org/officeDocument/2006/relationships/hyperlink" Target="https://www.lcsc.com/datasheet/lcsc_datasheet_2206010100_UNI-ROYAL-Uniroyal-Elec-0603WAJ0223T5E_C23344.pdf" TargetMode="External"/><Relationship Id="rId116" Type="http://schemas.openxmlformats.org/officeDocument/2006/relationships/hyperlink" Target="https://jlcpcb.com/partdetail/C15458" TargetMode="External"/><Relationship Id="rId117" Type="http://schemas.openxmlformats.org/officeDocument/2006/relationships/hyperlink" Target="https://www.lcsc.com/datasheet/lcsc_datasheet_2206010216_UNI-ROYAL-Uniroyal-Elec-0603WAJ0104T5E_C15458.pdf" TargetMode="External"/><Relationship Id="rId118" Type="http://schemas.openxmlformats.org/officeDocument/2006/relationships/hyperlink" Target="https://jlcpcb.com/partdetail/C22935" TargetMode="External"/><Relationship Id="rId119" Type="http://schemas.openxmlformats.org/officeDocument/2006/relationships/hyperlink" Target="https://www.lcsc.com/datasheet/lcsc_datasheet_2206010130_UNI-ROYAL-Uniroyal-Elec-0603WAF1004T5E_C22935.pdf" TargetMode="External"/><Relationship Id="rId120" Type="http://schemas.openxmlformats.org/officeDocument/2006/relationships/hyperlink" Target="https://jlcpcb.com/partdetail/C26098" TargetMode="External"/><Relationship Id="rId121" Type="http://schemas.openxmlformats.org/officeDocument/2006/relationships/hyperlink" Target="https://www.lcsc.com/datasheet/lcsc_datasheet_2206010030_UNI-ROYAL-Uniroyal-Elec-0603WAJ0105T5E_C26098.pdf" TargetMode="External"/><Relationship Id="rId122" Type="http://schemas.openxmlformats.org/officeDocument/2006/relationships/hyperlink" Target="https://jlcpcb.com/partdetail/C18679" TargetMode="External"/><Relationship Id="rId123" Type="http://schemas.openxmlformats.org/officeDocument/2006/relationships/hyperlink" Target="https://www.lcsc.com/datasheet/lcsc_datasheet_2206010145_UNI-ROYAL-Uniroyal-Elec-0603WAJ0225T5E_C18679.pdf" TargetMode="External"/><Relationship Id="rId124" Type="http://schemas.openxmlformats.org/officeDocument/2006/relationships/hyperlink" Target="https://jlcpcb.com/partdetail/C403986" TargetMode="External"/><Relationship Id="rId125" Type="http://schemas.openxmlformats.org/officeDocument/2006/relationships/hyperlink" Target="https://wmsc.lcsc.com/wmsc/upload/file/pdf/v2/lcsc/2304140030_FH--Guangdong-Fenghua-Advanced-Tech-RS-03L225JJT_C403986.pdf" TargetMode="External"/><Relationship Id="rId126" Type="http://schemas.openxmlformats.org/officeDocument/2006/relationships/hyperlink" Target="https://jlcpcb.com/partdetail/C18679" TargetMode="External"/><Relationship Id="rId127" Type="http://schemas.openxmlformats.org/officeDocument/2006/relationships/hyperlink" Target="https://www.lcsc.com/datasheet/lcsc_datasheet_2206010145_UNI-ROYAL-Uniroyal-Elec-0603WAJ0225T5E_C18679.pdf" TargetMode="External"/><Relationship Id="rId128" Type="http://schemas.openxmlformats.org/officeDocument/2006/relationships/hyperlink" Target="https://jlcpcb.com/partdetail/C1525253" TargetMode="External"/><Relationship Id="rId129" Type="http://schemas.openxmlformats.org/officeDocument/2006/relationships/hyperlink" Target="https://jlcpcb.com/api/file/downloadByFileSystemAccessId/8589033743424368640" TargetMode="External"/><Relationship Id="rId130" Type="http://schemas.openxmlformats.org/officeDocument/2006/relationships/hyperlink" Target="https://jlcpcb.com/partdetail/C898949" TargetMode="External"/><Relationship Id="rId131" Type="http://schemas.openxmlformats.org/officeDocument/2006/relationships/hyperlink" Target="https://jlcpcb.com/api/file/downloadByFileSystemAccessId/85889172740067205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B3:AF104"/>
  <sheetViews>
    <sheetView workbookViewId="0" showGridLines="0" defaultGridColor="1">
      <pane topLeftCell="A4" xSplit="0" ySplit="3" activePane="bottomLeft" state="frozen"/>
    </sheetView>
  </sheetViews>
  <sheetFormatPr defaultColWidth="16.6667" defaultRowHeight="19.9" customHeight="1" outlineLevelRow="0" outlineLevelCol="0"/>
  <cols>
    <col min="1" max="1" width="13.0625" style="1" customWidth="1"/>
    <col min="2" max="2" width="36.4141" style="1" customWidth="1"/>
    <col min="3" max="3" width="41.3906" style="1" customWidth="1"/>
    <col min="4" max="4" hidden="1" width="16.6667" style="1" customWidth="1"/>
    <col min="5" max="5" width="11.9766" style="1" customWidth="1"/>
    <col min="6" max="7" width="17.1328" style="1" customWidth="1"/>
    <col min="8" max="8" width="26.6797" style="1" customWidth="1"/>
    <col min="9" max="9" width="95.5156" style="1" customWidth="1"/>
    <col min="10" max="10" width="14.0781" style="1" customWidth="1"/>
    <col min="11" max="11" width="10.0703" style="1" customWidth="1"/>
    <col min="12" max="12" width="7.70312" style="1" customWidth="1"/>
    <col min="13" max="13" width="10.3672" style="1" customWidth="1"/>
    <col min="14" max="14" width="12.4062" style="1" customWidth="1"/>
    <col min="15" max="15" width="7.70312" style="1" customWidth="1"/>
    <col min="16" max="16" width="9.64844" style="1" customWidth="1"/>
    <col min="17" max="18" width="9.82812" style="1" customWidth="1"/>
    <col min="19" max="19" width="10.6953" style="1" customWidth="1"/>
    <col min="20" max="20" width="8.54688" style="1" customWidth="1"/>
    <col min="21" max="21" width="16.6875" style="1" customWidth="1"/>
    <col min="22" max="24" width="16.6719" style="1" customWidth="1"/>
    <col min="25" max="26" width="13.9453" style="1" customWidth="1"/>
    <col min="27" max="27" width="16.6719" style="1" customWidth="1"/>
    <col min="28" max="28" width="24.6953" style="1" customWidth="1"/>
    <col min="29" max="29" width="34.6484" style="1" customWidth="1"/>
    <col min="30" max="30" width="24.6172" style="1" customWidth="1"/>
    <col min="31" max="31" width="39.5312" style="1" customWidth="1"/>
    <col min="32" max="32" width="118.641" style="1" customWidth="1"/>
    <col min="33" max="16384" width="16.6719" style="1" customWidth="1"/>
  </cols>
  <sheetData>
    <row r="1" ht="53.75" customHeight="1"/>
    <row r="2" ht="48.3" customHeight="1">
      <c r="B2" t="s" s="2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ht="42.1" customHeight="1">
      <c r="B3" t="s" s="3">
        <v>1</v>
      </c>
      <c r="C3" t="s" s="3">
        <v>2</v>
      </c>
      <c r="D3" t="s" s="3">
        <v>3</v>
      </c>
      <c r="E3" t="s" s="3">
        <v>4</v>
      </c>
      <c r="F3" t="s" s="3">
        <v>5</v>
      </c>
      <c r="G3" t="s" s="3">
        <v>6</v>
      </c>
      <c r="H3" t="s" s="3">
        <v>7</v>
      </c>
      <c r="I3" t="s" s="4">
        <v>8</v>
      </c>
      <c r="J3" t="s" s="3">
        <v>9</v>
      </c>
      <c r="K3" t="s" s="3">
        <v>10</v>
      </c>
      <c r="L3" t="s" s="3">
        <v>11</v>
      </c>
      <c r="M3" t="s" s="3">
        <v>12</v>
      </c>
      <c r="N3" t="s" s="3">
        <v>13</v>
      </c>
      <c r="O3" t="s" s="3">
        <v>14</v>
      </c>
      <c r="P3" t="s" s="3">
        <v>15</v>
      </c>
      <c r="Q3" t="s" s="3">
        <v>16</v>
      </c>
      <c r="R3" t="s" s="3">
        <v>17</v>
      </c>
      <c r="S3" t="s" s="3">
        <v>18</v>
      </c>
      <c r="T3" t="s" s="3">
        <v>19</v>
      </c>
      <c r="U3" t="s" s="3">
        <v>20</v>
      </c>
      <c r="V3" t="s" s="3">
        <v>21</v>
      </c>
      <c r="W3" t="s" s="3">
        <v>22</v>
      </c>
      <c r="X3" t="s" s="3">
        <v>23</v>
      </c>
      <c r="Y3" t="s" s="3">
        <v>24</v>
      </c>
      <c r="Z3" t="s" s="3">
        <v>25</v>
      </c>
      <c r="AA3" t="s" s="3">
        <v>26</v>
      </c>
      <c r="AB3" t="s" s="3">
        <v>27</v>
      </c>
      <c r="AC3" t="s" s="3">
        <v>28</v>
      </c>
      <c r="AD3" t="s" s="5">
        <v>29</v>
      </c>
      <c r="AE3" t="s" s="5">
        <v>30</v>
      </c>
      <c r="AF3" t="s" s="3">
        <v>31</v>
      </c>
    </row>
    <row r="4" ht="18.9" customHeight="1">
      <c r="B4" t="str" s="6" cm="1">
        <f t="array" ref="B4">E4&amp;"_"&amp;G4</f>
        <v>SLK_BRD_80x100</v>
      </c>
      <c r="C4" t="str" s="7" cm="1">
        <f t="array" ref="C4">$G4&amp;IF($E4="LED"," LED","")&amp;IF($N4="",""," ")&amp;$N4&amp;IF($H4="",""," ")&amp;$H4&amp;IF($O4="",""," ")&amp;$O4&amp;IF($P4="",""," ")&amp;$P4&amp;IF($Q4="",""," ")&amp;$Q4&amp;IF($T4="",""," ")&amp;$T4&amp;IF($T4="","","mcd")</f>
        <v>BRD_80x100 Board Outline &amp; Milling</v>
      </c>
      <c r="D4" t="str" s="7" cm="1">
        <f t="array" ref="D4">B4&amp;" "&amp;$G4&amp;" "&amp;E4&amp;IF($N4="",""," ")&amp;$N4&amp;IF($H4="",""," ")&amp;$H4&amp;IF($O4="",""," ")&amp;$O4&amp;IF($P4="",""," ")&amp;$P4&amp;IF($Q4="",""," ")&amp;$Q4&amp;IF($T4="",""," ")&amp;$T4&amp;IF($T4="","","mcd")</f>
        <v>SLK_BRD_80x100 BRD_80x100 SLK Board Outline &amp; Milling</v>
      </c>
      <c r="E4" t="s" s="8">
        <v>35</v>
      </c>
      <c r="F4" t="s" s="8">
        <v>36</v>
      </c>
      <c r="G4" t="s" s="8">
        <v>37</v>
      </c>
      <c r="H4" t="s" s="8">
        <v>38</v>
      </c>
      <c r="I4" t="s" s="9">
        <v>39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0"/>
      <c r="W4" s="10"/>
      <c r="X4" s="10"/>
      <c r="Y4" t="str" s="11" cm="1">
        <f t="array" ref="Y4">IF(ISBLANK(X4),"",HYPERLINK("https://jlcpcb.com/partdetail/"&amp;$X4,$X4))</f>
      </c>
      <c r="Z4" s="12">
        <v>10</v>
      </c>
      <c r="AA4" t="s" s="8">
        <v>40</v>
      </c>
      <c r="AB4" s="6"/>
      <c r="AC4" s="10"/>
      <c r="AD4" t="s" s="13">
        <v>41</v>
      </c>
      <c r="AE4" t="s" s="14">
        <v>42</v>
      </c>
      <c r="AF4" s="10"/>
    </row>
    <row r="5" ht="18.9" customHeight="1">
      <c r="B5" t="str" s="15" cm="1">
        <f t="array" ref="B5">E5&amp;"_"&amp;G5</f>
        <v>SLK_BRD_100x50</v>
      </c>
      <c r="C5" t="str" s="16" cm="1">
        <f t="array" ref="C5">$G5&amp;IF($E5="LED"," LED","")&amp;IF($N5="",""," ")&amp;$N5&amp;IF($H5="",""," ")&amp;$H5&amp;IF($O5="",""," ")&amp;$O5&amp;IF($P5="",""," ")&amp;$P5&amp;IF($Q5="",""," ")&amp;$Q5&amp;IF($T5="",""," ")&amp;$T5&amp;IF($T5="","","mcd")</f>
        <v>BRD_100x50 Board Outline &amp; Milling</v>
      </c>
      <c r="D5" t="str" s="16" cm="1">
        <f t="array" ref="D5">$G5&amp;" "&amp;E5&amp;IF($N5="",""," ")&amp;$N5&amp;IF($H5="",""," ")&amp;$H5&amp;IF($O5="",""," ")&amp;$O5&amp;IF($P5="",""," ")&amp;$P5&amp;IF($Q5="",""," ")&amp;$Q5&amp;IF($T5="",""," ")&amp;$T5&amp;IF($T5="","","mcd")</f>
        <v>BRD_100x50 SLK Board Outline &amp; Milling</v>
      </c>
      <c r="E5" t="s" s="17">
        <v>35</v>
      </c>
      <c r="F5" t="s" s="17">
        <v>36</v>
      </c>
      <c r="G5" t="s" s="17">
        <v>46</v>
      </c>
      <c r="H5" t="s" s="17">
        <v>38</v>
      </c>
      <c r="I5" t="s" s="18">
        <v>47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9"/>
      <c r="W5" s="19"/>
      <c r="X5" s="19"/>
      <c r="Y5" t="str" s="20" cm="1">
        <f t="array" ref="Y5">IF(ISBLANK(X5),"",HYPERLINK("https://jlcpcb.com/partdetail/"&amp;$X5,$X5))</f>
      </c>
      <c r="Z5" s="21">
        <v>10</v>
      </c>
      <c r="AA5" t="s" s="17">
        <v>40</v>
      </c>
      <c r="AB5" s="15"/>
      <c r="AC5" s="19"/>
      <c r="AD5" t="s" s="22">
        <v>41</v>
      </c>
      <c r="AE5" t="s" s="23">
        <v>48</v>
      </c>
      <c r="AF5" s="19"/>
    </row>
    <row r="6" ht="18.9" customHeight="1">
      <c r="B6" t="str" s="15" cm="1">
        <f t="array" ref="B6">E6&amp;"_"&amp;G6</f>
        <v>SLK_BRD_100x25x2</v>
      </c>
      <c r="C6" t="str" s="16" cm="1">
        <f t="array" ref="C6">$G6&amp;IF($E6="LED"," LED","")&amp;IF($N6="",""," ")&amp;$N6&amp;IF($H6="",""," ")&amp;$H6&amp;IF($O6="",""," ")&amp;$O6&amp;IF($P6="",""," ")&amp;$P6&amp;IF($Q6="",""," ")&amp;$Q6&amp;IF($T6="",""," ")&amp;$T6&amp;IF($T6="","","mcd")</f>
        <v>BRD_100x25x2 Board Outline &amp; Milling</v>
      </c>
      <c r="D6" t="str" s="16" cm="1">
        <f t="array" ref="D6">$G6&amp;" "&amp;E6&amp;IF($N6="",""," ")&amp;$N6&amp;IF($H6="",""," ")&amp;$H6&amp;IF($O6="",""," ")&amp;$O6&amp;IF($P6="",""," ")&amp;$P6&amp;IF($Q6="",""," ")&amp;$Q6&amp;IF($T6="",""," ")&amp;$T6&amp;IF($T6="","","mcd")</f>
        <v>BRD_100x25x2 SLK Board Outline &amp; Milling</v>
      </c>
      <c r="E6" t="s" s="17">
        <v>35</v>
      </c>
      <c r="F6" t="s" s="17">
        <v>36</v>
      </c>
      <c r="G6" t="s" s="17">
        <v>52</v>
      </c>
      <c r="H6" t="s" s="17">
        <v>38</v>
      </c>
      <c r="I6" t="s" s="18">
        <v>47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9"/>
      <c r="W6" s="19"/>
      <c r="X6" s="19"/>
      <c r="Y6" t="str" s="20" cm="1">
        <f t="array" ref="Y6">IF(ISBLANK(X6),"",HYPERLINK("https://jlcpcb.com/partdetail/"&amp;$X6,$X6))</f>
      </c>
      <c r="Z6" s="21">
        <v>10</v>
      </c>
      <c r="AA6" t="s" s="17">
        <v>40</v>
      </c>
      <c r="AB6" s="15"/>
      <c r="AC6" s="19"/>
      <c r="AD6" t="s" s="22">
        <v>41</v>
      </c>
      <c r="AE6" t="s" s="23">
        <v>53</v>
      </c>
      <c r="AF6" s="19"/>
    </row>
    <row r="7" ht="18.9" customHeight="1">
      <c r="B7" t="str" s="15" cm="1">
        <f t="array" ref="B7">E7&amp;"_"&amp;G7</f>
        <v>SLK_BRD_100x75</v>
      </c>
      <c r="C7" t="str" s="16" cm="1">
        <f t="array" ref="C7">$G7&amp;IF($E7="LED"," LED","")&amp;IF($N7="",""," ")&amp;$N7&amp;IF($H7="",""," ")&amp;$H7&amp;IF($O7="",""," ")&amp;$O7&amp;IF($P7="",""," ")&amp;$P7&amp;IF($Q7="",""," ")&amp;$Q7&amp;IF($T7="",""," ")&amp;$T7&amp;IF($T7="","","mcd")</f>
        <v>BRD_100x75 Board Outline &amp; Milling</v>
      </c>
      <c r="D7" t="str" s="16" cm="1">
        <f t="array" ref="D7">$G7&amp;" "&amp;E7&amp;IF($N7="",""," ")&amp;$N7&amp;IF($H7="",""," ")&amp;$H7&amp;IF($O7="",""," ")&amp;$O7&amp;IF($P7="",""," ")&amp;$P7&amp;IF($Q7="",""," ")&amp;$Q7&amp;IF($T7="",""," ")&amp;$T7&amp;IF($T7="","","mcd")</f>
        <v>BRD_100x75 SLK Board Outline &amp; Milling</v>
      </c>
      <c r="E7" t="s" s="17">
        <v>35</v>
      </c>
      <c r="F7" t="s" s="17">
        <v>36</v>
      </c>
      <c r="G7" t="s" s="17">
        <v>57</v>
      </c>
      <c r="H7" t="s" s="17">
        <v>38</v>
      </c>
      <c r="I7" t="s" s="18">
        <v>47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9"/>
      <c r="W7" s="19"/>
      <c r="X7" s="19"/>
      <c r="Y7" t="str" s="20" cm="1">
        <f t="array" ref="Y7">IF(ISBLANK(X7),"",HYPERLINK("https://jlcpcb.com/partdetail/"&amp;$X7,$X7))</f>
      </c>
      <c r="Z7" s="21">
        <v>10</v>
      </c>
      <c r="AA7" s="19"/>
      <c r="AB7" s="15"/>
      <c r="AC7" s="19"/>
      <c r="AD7" t="s" s="22">
        <v>41</v>
      </c>
      <c r="AE7" t="s" s="23">
        <v>58</v>
      </c>
      <c r="AF7" s="19"/>
    </row>
    <row r="8" ht="18.9" customHeight="1">
      <c r="B8" t="str" s="15" cm="1">
        <f t="array" ref="B8">E8&amp;"_"&amp;G8</f>
        <v>SLK_BRD_100x75</v>
      </c>
      <c r="C8" t="str" s="16" cm="1">
        <f t="array" ref="C8">$G8&amp;IF($E8="LED"," LED","")&amp;IF($N8="",""," ")&amp;$N8&amp;IF($H8="",""," ")&amp;$H8&amp;IF($O8="",""," ")&amp;$O8&amp;IF($P8="",""," ")&amp;$P8&amp;IF($Q8="",""," ")&amp;$Q8&amp;IF($T8="",""," ")&amp;$T8&amp;IF($T8="","","mcd")</f>
        <v>BRD_100x75 Board Outline &amp; Milling</v>
      </c>
      <c r="D8" t="str" s="16" cm="1">
        <f t="array" ref="D8">$G8&amp;" "&amp;E8&amp;IF($N8="",""," ")&amp;$N8&amp;IF($H8="",""," ")&amp;$H8&amp;IF($O8="",""," ")&amp;$O8&amp;IF($P8="",""," ")&amp;$P8&amp;IF($Q8="",""," ")&amp;$Q8&amp;IF($T8="",""," ")&amp;$T8&amp;IF($T8="","","mcd")</f>
        <v>BRD_100x75 SLK Board Outline &amp; Milling</v>
      </c>
      <c r="E8" t="s" s="17">
        <v>35</v>
      </c>
      <c r="F8" t="s" s="17">
        <v>36</v>
      </c>
      <c r="G8" t="s" s="17">
        <v>57</v>
      </c>
      <c r="H8" t="s" s="17">
        <v>38</v>
      </c>
      <c r="I8" t="s" s="18">
        <v>59</v>
      </c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9"/>
      <c r="W8" s="19"/>
      <c r="X8" s="19"/>
      <c r="Y8" t="str" s="20" cm="1">
        <f t="array" ref="Y8">IF(ISBLANK(X8),"",HYPERLINK("https://jlcpcb.com/partdetail/"&amp;$X8,$X8))</f>
      </c>
      <c r="Z8" s="21">
        <v>10</v>
      </c>
      <c r="AA8" s="19"/>
      <c r="AB8" s="15"/>
      <c r="AC8" s="19"/>
      <c r="AD8" t="s" s="22">
        <v>41</v>
      </c>
      <c r="AE8" t="s" s="23">
        <v>60</v>
      </c>
      <c r="AF8" s="19"/>
    </row>
    <row r="9" ht="18.9" customHeight="1">
      <c r="B9" t="str" s="15" cm="1">
        <f t="array" ref="B9">E9&amp;"_"&amp;G9</f>
        <v>SLK_BRD_100x100</v>
      </c>
      <c r="C9" t="str" s="16" cm="1">
        <f t="array" ref="C9">$G9&amp;IF($E9="LED"," LED","")&amp;IF($N9="",""," ")&amp;$N9&amp;IF($H9="",""," ")&amp;$H9&amp;IF($O9="",""," ")&amp;$O9&amp;IF($P9="",""," ")&amp;$P9&amp;IF($Q9="",""," ")&amp;$Q9&amp;IF($T9="",""," ")&amp;$T9&amp;IF($T9="","","mcd")</f>
        <v>BRD_100x100 Board Outline &amp; Milling</v>
      </c>
      <c r="D9" t="str" s="16" cm="1">
        <f t="array" ref="D9">$G9&amp;" "&amp;E9&amp;IF($N9="",""," ")&amp;$N9&amp;IF($H9="",""," ")&amp;$H9&amp;IF($O9="",""," ")&amp;$O9&amp;IF($P9="",""," ")&amp;$P9&amp;IF($Q9="",""," ")&amp;$Q9&amp;IF($T9="",""," ")&amp;$T9&amp;IF($T9="","","mcd")</f>
        <v>BRD_100x100 SLK Board Outline &amp; Milling</v>
      </c>
      <c r="E9" t="s" s="17">
        <v>35</v>
      </c>
      <c r="F9" t="s" s="17">
        <v>36</v>
      </c>
      <c r="G9" t="s" s="17">
        <v>64</v>
      </c>
      <c r="H9" t="s" s="17">
        <v>38</v>
      </c>
      <c r="I9" t="s" s="18">
        <v>47</v>
      </c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9"/>
      <c r="W9" s="19"/>
      <c r="X9" s="19"/>
      <c r="Y9" t="str" s="20" cm="1">
        <f t="array" ref="Y9">IF(ISBLANK(X9),"",HYPERLINK("https://jlcpcb.com/partdetail/"&amp;$X9,$X9))</f>
      </c>
      <c r="Z9" s="21">
        <v>10</v>
      </c>
      <c r="AA9" s="19"/>
      <c r="AB9" s="15"/>
      <c r="AC9" s="19"/>
      <c r="AD9" t="s" s="22">
        <v>41</v>
      </c>
      <c r="AE9" t="s" s="23">
        <v>65</v>
      </c>
      <c r="AF9" s="19"/>
    </row>
    <row r="10" ht="18.9" customHeight="1">
      <c r="B10" t="str" s="15" cm="1">
        <f t="array" ref="B10">E10&amp;"_"&amp;G10</f>
        <v>SLK_BRD_100x150</v>
      </c>
      <c r="C10" t="str" s="16" cm="1">
        <f t="array" ref="C10">$G10&amp;IF($E10="LED"," LED","")&amp;IF($N10="",""," ")&amp;$N10&amp;IF($H10="",""," ")&amp;$H10&amp;IF($O10="",""," ")&amp;$O10&amp;IF($P10="",""," ")&amp;$P10&amp;IF($Q10="",""," ")&amp;$Q10&amp;IF($T10="",""," ")&amp;$T10&amp;IF($T10="","","mcd")</f>
        <v>BRD_100x150 Board Outline &amp; Milling</v>
      </c>
      <c r="D10" t="str" s="16" cm="1">
        <f t="array" ref="D10">$G10&amp;" "&amp;E10&amp;IF($N10="",""," ")&amp;$N10&amp;IF($H10="",""," ")&amp;$H10&amp;IF($O10="",""," ")&amp;$O10&amp;IF($P10="",""," ")&amp;$P10&amp;IF($Q10="",""," ")&amp;$Q10&amp;IF($T10="",""," ")&amp;$T10&amp;IF($T10="","","mcd")</f>
        <v>BRD_100x150 SLK Board Outline &amp; Milling</v>
      </c>
      <c r="E10" t="s" s="17">
        <v>35</v>
      </c>
      <c r="F10" t="s" s="17">
        <v>36</v>
      </c>
      <c r="G10" t="s" s="17">
        <v>69</v>
      </c>
      <c r="H10" t="s" s="17">
        <v>38</v>
      </c>
      <c r="I10" t="s" s="18">
        <v>47</v>
      </c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9"/>
      <c r="W10" s="19"/>
      <c r="X10" s="19"/>
      <c r="Y10" t="str" s="20" cm="1">
        <f t="array" ref="Y10">IF(ISBLANK(X10),"",HYPERLINK("https://jlcpcb.com/partdetail/"&amp;$X10,$X10))</f>
      </c>
      <c r="Z10" s="21">
        <v>10</v>
      </c>
      <c r="AA10" s="19"/>
      <c r="AB10" s="15"/>
      <c r="AC10" s="19"/>
      <c r="AD10" t="s" s="22">
        <v>41</v>
      </c>
      <c r="AE10" t="s" s="23">
        <v>70</v>
      </c>
      <c r="AF10" s="19"/>
    </row>
    <row r="11" ht="18.9" customHeight="1">
      <c r="B11" t="str" s="15" cm="1">
        <f t="array" ref="B11">E11&amp;"_"&amp;G11</f>
        <v>SLK_BRD_100x200</v>
      </c>
      <c r="C11" t="str" s="16" cm="1">
        <f t="array" ref="C11">$G11&amp;IF($E11="LED"," LED","")&amp;IF($N11="",""," ")&amp;$N11&amp;IF($H11="",""," ")&amp;$H11&amp;IF($O11="",""," ")&amp;$O11&amp;IF($P11="",""," ")&amp;$P11&amp;IF($Q11="",""," ")&amp;$Q11&amp;IF($T11="",""," ")&amp;$T11&amp;IF($T11="","","mcd")</f>
        <v>BRD_100x200 Board Outline &amp; Milling</v>
      </c>
      <c r="D11" t="str" s="16" cm="1">
        <f t="array" ref="D11">$G11&amp;" "&amp;E11&amp;IF($N11="",""," ")&amp;$N11&amp;IF($H11="",""," ")&amp;$H11&amp;IF($O11="",""," ")&amp;$O11&amp;IF($P11="",""," ")&amp;$P11&amp;IF($Q11="",""," ")&amp;$Q11&amp;IF($T11="",""," ")&amp;$T11&amp;IF($T11="","","mcd")</f>
        <v>BRD_100x200 SLK Board Outline &amp; Milling</v>
      </c>
      <c r="E11" t="s" s="17">
        <v>35</v>
      </c>
      <c r="F11" t="s" s="17">
        <v>36</v>
      </c>
      <c r="G11" t="s" s="17">
        <v>74</v>
      </c>
      <c r="H11" t="s" s="17">
        <v>38</v>
      </c>
      <c r="I11" t="s" s="18">
        <v>47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9"/>
      <c r="W11" s="19"/>
      <c r="X11" s="19"/>
      <c r="Y11" t="str" s="20" cm="1">
        <f t="array" ref="Y11">IF(ISBLANK(X11),"",HYPERLINK("https://jlcpcb.com/partdetail/"&amp;$X11,$X11))</f>
      </c>
      <c r="Z11" s="21">
        <v>10</v>
      </c>
      <c r="AA11" s="19"/>
      <c r="AB11" s="15"/>
      <c r="AC11" s="19"/>
      <c r="AD11" t="s" s="22">
        <v>41</v>
      </c>
      <c r="AE11" t="s" s="23">
        <v>75</v>
      </c>
      <c r="AF11" s="19"/>
    </row>
    <row r="12" ht="18.9" customHeight="1">
      <c r="B12" t="str" s="15" cm="1">
        <f t="array" ref="B12">E12&amp;"_"&amp;G12</f>
        <v>SLK_DCPower+</v>
      </c>
      <c r="C12" t="str" s="16" cm="1">
        <f t="array" ref="C12">$G12&amp;IF($E12="LED"," LED","")&amp;IF($N12="",""," ")&amp;$N12&amp;IF($H12="",""," ")&amp;$H12&amp;IF($O12="",""," ")&amp;$O12&amp;IF($P12="",""," ")&amp;$P12&amp;IF($Q12="",""," ")&amp;$Q12&amp;IF($T12="",""," ")&amp;$T12&amp;IF($T12="","","mcd")</f>
        <v>DCPower+ SilkScreen</v>
      </c>
      <c r="D12" t="str" s="16" cm="1">
        <f t="array" ref="D12">$G12&amp;" "&amp;E12&amp;IF($N12="",""," ")&amp;$N12&amp;IF($H12="",""," ")&amp;$H12&amp;IF($O12="",""," ")&amp;$O12&amp;IF($P12="",""," ")&amp;$P12&amp;IF($Q12="",""," ")&amp;$Q12&amp;IF($T12="",""," ")&amp;$T12&amp;IF($T12="","","mcd")</f>
        <v>DCPower+ SLK SilkScreen</v>
      </c>
      <c r="E12" t="s" s="17">
        <v>35</v>
      </c>
      <c r="F12" t="s" s="17">
        <v>36</v>
      </c>
      <c r="G12" t="s" s="17">
        <v>79</v>
      </c>
      <c r="H12" t="s" s="17">
        <v>80</v>
      </c>
      <c r="I12" t="s" s="18">
        <v>81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9"/>
      <c r="W12" s="19"/>
      <c r="X12" s="19"/>
      <c r="Y12" t="str" s="20" cm="1">
        <f t="array" ref="Y12">IF(ISBLANK(X12),"",HYPERLINK("https://jlcpcb.com/partdetail/"&amp;$X12,$X12))</f>
      </c>
      <c r="Z12" s="21">
        <v>10</v>
      </c>
      <c r="AA12" s="19"/>
      <c r="AB12" s="15"/>
      <c r="AC12" s="19"/>
      <c r="AD12" t="s" s="22">
        <v>82</v>
      </c>
      <c r="AE12" t="s" s="23">
        <v>83</v>
      </c>
      <c r="AF12" s="19"/>
    </row>
    <row r="13" ht="18.9" customHeight="1">
      <c r="B13" t="str" s="15" cm="1">
        <f t="array" ref="B13">E13&amp;"_"&amp;G13</f>
        <v>SLK_DCPower-</v>
      </c>
      <c r="C13" t="str" s="16" cm="1">
        <f t="array" ref="C13">$G13&amp;IF($E13="LED"," LED","")&amp;IF($N13="",""," ")&amp;$N13&amp;IF($H13="",""," ")&amp;$H13&amp;IF($O13="",""," ")&amp;$O13&amp;IF($P13="",""," ")&amp;$P13&amp;IF($Q13="",""," ")&amp;$Q13&amp;IF($T13="",""," ")&amp;$T13&amp;IF($T13="","","mcd")</f>
        <v>DCPower- SilkScreen</v>
      </c>
      <c r="D13" t="str" s="16" cm="1">
        <f t="array" ref="D13">$G13&amp;" "&amp;E13&amp;IF($N13="",""," ")&amp;$N13&amp;IF($H13="",""," ")&amp;$H13&amp;IF($O13="",""," ")&amp;$O13&amp;IF($P13="",""," ")&amp;$P13&amp;IF($Q13="",""," ")&amp;$Q13&amp;IF($T13="",""," ")&amp;$T13&amp;IF($T13="","","mcd")</f>
        <v>DCPower- SLK SilkScreen</v>
      </c>
      <c r="E13" t="s" s="17">
        <v>35</v>
      </c>
      <c r="F13" t="s" s="17">
        <v>36</v>
      </c>
      <c r="G13" t="s" s="17">
        <v>87</v>
      </c>
      <c r="H13" t="s" s="17">
        <v>80</v>
      </c>
      <c r="I13" t="s" s="18">
        <v>81</v>
      </c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9"/>
      <c r="W13" s="19"/>
      <c r="X13" s="19"/>
      <c r="Y13" t="str" s="20" cm="1">
        <f t="array" ref="Y13">IF(ISBLANK(X13),"",HYPERLINK("https://jlcpcb.com/partdetail/"&amp;$X13,$X13))</f>
      </c>
      <c r="Z13" s="21">
        <v>10</v>
      </c>
      <c r="AA13" s="19"/>
      <c r="AB13" s="15"/>
      <c r="AC13" s="19"/>
      <c r="AD13" t="s" s="22">
        <v>88</v>
      </c>
      <c r="AE13" t="s" s="23">
        <v>89</v>
      </c>
      <c r="AF13" s="19"/>
    </row>
    <row r="14" ht="18.9" customHeight="1">
      <c r="B14" t="str" s="15" cm="1">
        <f t="array" ref="B14">E14&amp;"_"&amp;G14</f>
        <v>SLK_CA65</v>
      </c>
      <c r="C14" t="str" s="16" cm="1">
        <f t="array" ref="C14">$G14&amp;IF($E14="LED"," LED","")&amp;IF($N14="",""," ")&amp;$N14&amp;IF($H14="",""," ")&amp;$H14&amp;IF($O14="",""," ")&amp;$O14&amp;IF($P14="",""," ")&amp;$P14&amp;IF($Q14="",""," ")&amp;$Q14&amp;IF($T14="",""," ")&amp;$T14&amp;IF($T14="","","mcd")</f>
        <v>CA65 SilkScreen</v>
      </c>
      <c r="D14" t="str" s="16" cm="1">
        <f t="array" ref="D14">$G14&amp;" "&amp;E14&amp;IF($N14="",""," ")&amp;$N14&amp;IF($H14="",""," ")&amp;$H14&amp;IF($O14="",""," ")&amp;$O14&amp;IF($P14="",""," ")&amp;$P14&amp;IF($Q14="",""," ")&amp;$Q14&amp;IF($T14="",""," ")&amp;$T14&amp;IF($T14="","","mcd")</f>
        <v>CA65 SLK SilkScreen</v>
      </c>
      <c r="E14" t="s" s="17">
        <v>35</v>
      </c>
      <c r="F14" t="s" s="17">
        <v>36</v>
      </c>
      <c r="G14" t="s" s="17">
        <v>93</v>
      </c>
      <c r="H14" t="s" s="17">
        <v>80</v>
      </c>
      <c r="I14" t="s" s="18">
        <v>94</v>
      </c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9"/>
      <c r="W14" s="19"/>
      <c r="X14" s="19"/>
      <c r="Y14" t="str" s="20" cm="1">
        <f t="array" ref="Y14">IF(ISBLANK(X14),"",HYPERLINK("https://jlcpcb.com/partdetail/"&amp;$X14,$X14))</f>
      </c>
      <c r="Z14" s="21">
        <v>10</v>
      </c>
      <c r="AA14" s="19"/>
      <c r="AB14" s="15"/>
      <c r="AC14" s="19"/>
      <c r="AD14" t="s" s="22">
        <v>95</v>
      </c>
      <c r="AE14" t="s" s="23">
        <v>96</v>
      </c>
      <c r="AF14" s="19"/>
    </row>
    <row r="15" ht="18.9" customHeight="1">
      <c r="B15" t="str" s="15" cm="1">
        <f t="array" ref="B15">E15&amp;"_"&amp;G15</f>
        <v>SLK_CC-by-sa</v>
      </c>
      <c r="C15" t="str" s="16" cm="1">
        <f t="array" ref="C15">$G15&amp;IF($E15="LED"," LED","")&amp;IF($N15="",""," ")&amp;$N15&amp;IF($H15="",""," ")&amp;$H15&amp;IF($O15="",""," ")&amp;$O15&amp;IF($P15="",""," ")&amp;$P15&amp;IF($Q15="",""," ")&amp;$Q15&amp;IF($T15="",""," ")&amp;$T15&amp;IF($T15="","","mcd")</f>
        <v>CC-by-sa SilkScreen</v>
      </c>
      <c r="D15" t="str" s="16" cm="1">
        <f t="array" ref="D15">$G15&amp;" "&amp;E15&amp;IF($N15="",""," ")&amp;$N15&amp;IF($H15="",""," ")&amp;$H15&amp;IF($O15="",""," ")&amp;$O15&amp;IF($P15="",""," ")&amp;$P15&amp;IF($Q15="",""," ")&amp;$Q15&amp;IF($T15="",""," ")&amp;$T15&amp;IF($T15="","","mcd")</f>
        <v>CC-by-sa SLK SilkScreen</v>
      </c>
      <c r="E15" t="s" s="17">
        <v>35</v>
      </c>
      <c r="F15" t="s" s="17">
        <v>36</v>
      </c>
      <c r="G15" t="s" s="17">
        <v>100</v>
      </c>
      <c r="H15" t="s" s="17">
        <v>80</v>
      </c>
      <c r="I15" t="s" s="18">
        <v>101</v>
      </c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9"/>
      <c r="W15" s="19"/>
      <c r="X15" s="19"/>
      <c r="Y15" t="str" s="20" cm="1">
        <f t="array" ref="Y15">IF(ISBLANK(X15),"",HYPERLINK("https://jlcpcb.com/partdetail/"&amp;$X15,$X15))</f>
      </c>
      <c r="Z15" s="21">
        <v>10</v>
      </c>
      <c r="AA15" s="19"/>
      <c r="AB15" s="15"/>
      <c r="AC15" s="19"/>
      <c r="AD15" t="s" s="22">
        <v>102</v>
      </c>
      <c r="AE15" t="s" s="23">
        <v>103</v>
      </c>
      <c r="AF15" s="19"/>
    </row>
    <row r="16" ht="18.9" customHeight="1">
      <c r="B16" t="str" s="15" cm="1">
        <f t="array" ref="B16">E16&amp;"_"&amp;G16</f>
        <v>SLK_Logo_MRCS</v>
      </c>
      <c r="C16" t="str" s="16" cm="1">
        <f t="array" ref="C16">$G16&amp;IF($E16="LED"," LED","")&amp;IF($N16="",""," ")&amp;$N16&amp;IF($H16="",""," ")&amp;$H16&amp;IF($O16="",""," ")&amp;$O16&amp;IF($P16="",""," ")&amp;$P16&amp;IF($Q16="",""," ")&amp;$Q16&amp;IF($T16="",""," ")&amp;$T16&amp;IF($T16="","","mcd")</f>
        <v>Logo_MRCS SilkScreen</v>
      </c>
      <c r="D16" t="str" s="16" cm="1">
        <f t="array" ref="D16">$G16&amp;" "&amp;E16&amp;IF($N16="",""," ")&amp;$N16&amp;IF($H16="",""," ")&amp;$H16&amp;IF($O16="",""," ")&amp;$O16&amp;IF($P16="",""," ")&amp;$P16&amp;IF($Q16="",""," ")&amp;$Q16&amp;IF($T16="",""," ")&amp;$T16&amp;IF($T16="","","mcd")</f>
        <v>Logo_MRCS SLK SilkScreen</v>
      </c>
      <c r="E16" t="s" s="17">
        <v>35</v>
      </c>
      <c r="F16" t="s" s="17">
        <v>36</v>
      </c>
      <c r="G16" t="s" s="17">
        <v>107</v>
      </c>
      <c r="H16" t="s" s="17">
        <v>80</v>
      </c>
      <c r="I16" t="s" s="18">
        <v>108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9"/>
      <c r="W16" s="19"/>
      <c r="X16" s="19"/>
      <c r="Y16" t="str" s="20" cm="1">
        <f t="array" ref="Y16">IF(ISBLANK(X16),"",HYPERLINK("https://jlcpcb.com/partdetail/"&amp;$X16,$X16))</f>
      </c>
      <c r="Z16" s="21">
        <v>10</v>
      </c>
      <c r="AA16" s="19"/>
      <c r="AB16" s="15"/>
      <c r="AC16" s="19"/>
      <c r="AD16" t="s" s="22">
        <v>109</v>
      </c>
      <c r="AE16" t="s" s="23">
        <v>110</v>
      </c>
      <c r="AF16" s="19"/>
    </row>
    <row r="17" ht="18.9" customHeight="1">
      <c r="B17" t="str" s="15" cm="1">
        <f t="array" ref="B17">E17&amp;"_"&amp;G17</f>
        <v>SLK_Logo_SPCoast</v>
      </c>
      <c r="C17" t="str" s="16" cm="1">
        <f t="array" ref="C17">$G17&amp;IF($E17="LED"," LED","")&amp;IF($N17="",""," ")&amp;$N17&amp;IF($H17="",""," ")&amp;$H17&amp;IF($O17="",""," ")&amp;$O17&amp;IF($P17="",""," ")&amp;$P17&amp;IF($Q17="",""," ")&amp;$Q17&amp;IF($T17="",""," ")&amp;$T17&amp;IF($T17="","","mcd")</f>
        <v>Logo_SPCoast SilkScreen</v>
      </c>
      <c r="D17" t="str" s="16" cm="1">
        <f t="array" ref="D17">$G17&amp;" "&amp;E17&amp;IF($N17="",""," ")&amp;$N17&amp;IF($H17="",""," ")&amp;$H17&amp;IF($O17="",""," ")&amp;$O17&amp;IF($P17="",""," ")&amp;$P17&amp;IF($Q17="",""," ")&amp;$Q17&amp;IF($T17="",""," ")&amp;$T17&amp;IF($T17="","","mcd")</f>
        <v>Logo_SPCoast SLK SilkScreen</v>
      </c>
      <c r="E17" t="s" s="17">
        <v>35</v>
      </c>
      <c r="F17" t="s" s="17">
        <v>36</v>
      </c>
      <c r="G17" t="s" s="17">
        <v>114</v>
      </c>
      <c r="H17" t="s" s="17">
        <v>80</v>
      </c>
      <c r="I17" t="s" s="18">
        <v>115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9"/>
      <c r="W17" s="19"/>
      <c r="X17" s="19"/>
      <c r="Y17" t="str" s="20" cm="1">
        <f t="array" ref="Y17">IF(ISBLANK(X17),"",HYPERLINK("https://jlcpcb.com/partdetail/"&amp;$X17,$X17))</f>
      </c>
      <c r="Z17" s="21">
        <v>10</v>
      </c>
      <c r="AA17" s="19"/>
      <c r="AB17" s="15"/>
      <c r="AC17" s="19"/>
      <c r="AD17" t="s" s="22">
        <v>116</v>
      </c>
      <c r="AE17" t="s" s="23">
        <v>117</v>
      </c>
      <c r="AF17" s="19"/>
    </row>
    <row r="18" ht="18.9" customHeight="1">
      <c r="B18" t="str" s="15" cm="1">
        <f t="array" ref="B18">E18&amp;"_"&amp;G18</f>
        <v>SLK_Power_Draw</v>
      </c>
      <c r="C18" t="str" s="16" cm="1">
        <f t="array" ref="C18">$G18&amp;IF($E18="LED"," LED","")&amp;IF($N18="",""," ")&amp;$N18&amp;IF($H18="",""," ")&amp;$H18&amp;IF($O18="",""," ")&amp;$O18&amp;IF($P18="",""," ")&amp;$P18&amp;IF($Q18="",""," ")&amp;$Q18&amp;IF($T18="",""," ")&amp;$T18&amp;IF($T18="","","mcd")</f>
        <v>Power_Draw SilkScreen</v>
      </c>
      <c r="D18" t="str" s="16" cm="1">
        <f t="array" ref="D18">$G18&amp;" "&amp;E18&amp;IF($N18="",""," ")&amp;$N18&amp;IF($H18="",""," ")&amp;$H18&amp;IF($O18="",""," ")&amp;$O18&amp;IF($P18="",""," ")&amp;$P18&amp;IF($Q18="",""," ")&amp;$Q18&amp;IF($T18="",""," ")&amp;$T18&amp;IF($T18="","","mcd")</f>
        <v>Power_Draw SLK SilkScreen</v>
      </c>
      <c r="E18" t="s" s="17">
        <v>35</v>
      </c>
      <c r="F18" t="s" s="17">
        <v>36</v>
      </c>
      <c r="G18" t="s" s="17">
        <v>121</v>
      </c>
      <c r="H18" t="s" s="17">
        <v>80</v>
      </c>
      <c r="I18" t="s" s="18">
        <v>122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24"/>
      <c r="W18" s="24"/>
      <c r="X18" s="24"/>
      <c r="Y18" t="str" s="20" cm="1">
        <f t="array" ref="Y18">IF(ISBLANK(X18),"",HYPERLINK("https://jlcpcb.com/partdetail/"&amp;$X18,$X18))</f>
      </c>
      <c r="Z18" s="21">
        <v>10</v>
      </c>
      <c r="AA18" s="19"/>
      <c r="AB18" s="15"/>
      <c r="AC18" s="19"/>
      <c r="AD18" t="s" s="22">
        <v>123</v>
      </c>
      <c r="AE18" t="s" s="23">
        <v>124</v>
      </c>
      <c r="AF18" s="19"/>
    </row>
    <row r="19" ht="18.9" customHeight="1">
      <c r="B19" t="str" s="15" cm="1">
        <f t="array" ref="B19">E19&amp;"_"&amp;G19</f>
        <v>SLK_Power_Provide</v>
      </c>
      <c r="C19" t="str" s="16" cm="1">
        <f t="array" ref="C19">$G19&amp;IF($E19="LED"," LED","")&amp;IF($N19="",""," ")&amp;$N19&amp;IF($H19="",""," ")&amp;$H19&amp;IF($O19="",""," ")&amp;$O19&amp;IF($P19="",""," ")&amp;$P19&amp;IF($Q19="",""," ")&amp;$Q19&amp;IF($T19="",""," ")&amp;$T19&amp;IF($T19="","","mcd")</f>
        <v>Power_Provide SilkScreen</v>
      </c>
      <c r="D19" t="str" s="16" cm="1">
        <f t="array" ref="D19">$G19&amp;" "&amp;E19&amp;IF($N19="",""," ")&amp;$N19&amp;IF($H19="",""," ")&amp;$H19&amp;IF($O19="",""," ")&amp;$O19&amp;IF($P19="",""," ")&amp;$P19&amp;IF($Q19="",""," ")&amp;$Q19&amp;IF($T19="",""," ")&amp;$T19&amp;IF($T19="","","mcd")</f>
        <v>Power_Provide SLK SilkScreen</v>
      </c>
      <c r="E19" t="s" s="17">
        <v>35</v>
      </c>
      <c r="F19" t="s" s="17">
        <v>36</v>
      </c>
      <c r="G19" t="s" s="17">
        <v>128</v>
      </c>
      <c r="H19" t="s" s="17">
        <v>80</v>
      </c>
      <c r="I19" t="s" s="18">
        <v>129</v>
      </c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24"/>
      <c r="W19" s="24"/>
      <c r="X19" s="24"/>
      <c r="Y19" t="str" s="20" cm="1">
        <f t="array" ref="Y19">IF(ISBLANK(X19),"",HYPERLINK("https://jlcpcb.com/partdetail/"&amp;$X19,$X19))</f>
      </c>
      <c r="Z19" s="21">
        <v>10</v>
      </c>
      <c r="AA19" s="19"/>
      <c r="AB19" s="15"/>
      <c r="AC19" s="19"/>
      <c r="AD19" t="s" s="22">
        <v>130</v>
      </c>
      <c r="AE19" t="s" s="23">
        <v>131</v>
      </c>
      <c r="AF19" s="19"/>
    </row>
    <row r="20" ht="18.9" customHeight="1">
      <c r="B20" t="str" s="15" cm="1">
        <f t="array" ref="B20">E20&amp;"_"&amp;G20</f>
        <v>CON_TC2030-NL</v>
      </c>
      <c r="C20" t="str" s="16" cm="1">
        <f t="array" ref="C20">$G20&amp;IF($E20="LED"," LED","")&amp;IF($N20="",""," ")&amp;$N20&amp;IF($H20="",""," ")&amp;$H20&amp;IF($O20="",""," ")&amp;$O20&amp;IF($P20="",""," ")&amp;$P20&amp;IF($Q20="",""," ")&amp;$Q20&amp;IF($T20="",""," ")&amp;$T20&amp;IF($T20="","","mcd")</f>
        <v>TC2030-NL SilkScreen &amp; Pads</v>
      </c>
      <c r="D20" t="str" s="16" cm="1">
        <f t="array" ref="D20">$G20&amp;" "&amp;E20&amp;IF($N20="",""," ")&amp;$N20&amp;IF($H20="",""," ")&amp;$H20&amp;IF($O20="",""," ")&amp;$O20&amp;IF($P20="",""," ")&amp;$P20&amp;IF($Q20="",""," ")&amp;$Q20&amp;IF($T20="",""," ")&amp;$T20&amp;IF($T20="","","mcd")</f>
        <v>TC2030-NL CON SilkScreen &amp; Pads</v>
      </c>
      <c r="E20" t="s" s="17">
        <v>135</v>
      </c>
      <c r="F20" t="s" s="17">
        <v>36</v>
      </c>
      <c r="G20" t="s" s="17">
        <v>136</v>
      </c>
      <c r="H20" t="s" s="17">
        <v>137</v>
      </c>
      <c r="I20" t="s" s="18">
        <v>138</v>
      </c>
      <c r="J20" s="17"/>
      <c r="K20" t="s" s="17">
        <v>139</v>
      </c>
      <c r="L20" t="s" s="17">
        <v>140</v>
      </c>
      <c r="M20" t="s" s="17">
        <v>141</v>
      </c>
      <c r="N20" s="17"/>
      <c r="O20" s="17"/>
      <c r="P20" s="17"/>
      <c r="Q20" s="17"/>
      <c r="R20" s="17"/>
      <c r="S20" s="17"/>
      <c r="T20" s="17"/>
      <c r="U20" s="17"/>
      <c r="V20" s="19"/>
      <c r="W20" s="19"/>
      <c r="X20" s="19"/>
      <c r="Y20" t="str" s="20" cm="1">
        <f t="array" ref="Y20">IF(ISBLANK(X20),"",HYPERLINK("https://jlcpcb.com/partdetail/"&amp;$X20,$X20))</f>
      </c>
      <c r="Z20" s="21">
        <v>10</v>
      </c>
      <c r="AA20" s="19"/>
      <c r="AB20" t="s" s="25">
        <v>142</v>
      </c>
      <c r="AC20" t="s" s="17">
        <v>136</v>
      </c>
      <c r="AD20" t="s" s="22">
        <v>143</v>
      </c>
      <c r="AE20" t="s" s="23">
        <v>144</v>
      </c>
      <c r="AF20" s="19"/>
    </row>
    <row r="21" ht="18.9" customHeight="1">
      <c r="B21" t="str" s="15" cm="1">
        <f t="array" ref="B21">E21&amp;"_"&amp;G21</f>
        <v>CON_TC2030-FP</v>
      </c>
      <c r="C21" t="str" s="16" cm="1">
        <f t="array" ref="C21">$G21&amp;IF($E21="LED"," LED","")&amp;IF($N21="",""," ")&amp;$N21&amp;IF($H21="",""," ")&amp;$H21&amp;IF($O21="",""," ")&amp;$O21&amp;IF($P21="",""," ")&amp;$P21&amp;IF($Q21="",""," ")&amp;$Q21&amp;IF($T21="",""," ")&amp;$T21&amp;IF($T21="","","mcd")</f>
        <v>TC2030-FP SilkScreen &amp; Pads</v>
      </c>
      <c r="D21" t="str" s="16" cm="1">
        <f t="array" ref="D21">$G21&amp;" "&amp;E21&amp;IF($N21="",""," ")&amp;$N21&amp;IF($H21="",""," ")&amp;$H21&amp;IF($O21="",""," ")&amp;$O21&amp;IF($P21="",""," ")&amp;$P21&amp;IF($Q21="",""," ")&amp;$Q21&amp;IF($T21="",""," ")&amp;$T21&amp;IF($T21="","","mcd")</f>
        <v>TC2030-FP CON SilkScreen &amp; Pads</v>
      </c>
      <c r="E21" t="s" s="17">
        <v>135</v>
      </c>
      <c r="F21" t="s" s="17">
        <v>36</v>
      </c>
      <c r="G21" t="s" s="17">
        <v>148</v>
      </c>
      <c r="H21" t="s" s="17">
        <v>137</v>
      </c>
      <c r="I21" t="s" s="18">
        <v>149</v>
      </c>
      <c r="J21" s="17"/>
      <c r="K21" t="s" s="17">
        <v>150</v>
      </c>
      <c r="L21" t="s" s="17">
        <v>140</v>
      </c>
      <c r="M21" t="s" s="17">
        <v>141</v>
      </c>
      <c r="N21" s="17"/>
      <c r="O21" s="17"/>
      <c r="P21" s="17"/>
      <c r="Q21" s="17"/>
      <c r="R21" s="17"/>
      <c r="S21" s="17"/>
      <c r="T21" s="17"/>
      <c r="U21" s="17"/>
      <c r="V21" s="19"/>
      <c r="W21" s="19"/>
      <c r="X21" s="19"/>
      <c r="Y21" t="str" s="20" cm="1">
        <f t="array" ref="Y21">IF(ISBLANK(X21),"",HYPERLINK("https://jlcpcb.com/partdetail/"&amp;$X21,$X21))</f>
      </c>
      <c r="Z21" s="21">
        <v>10</v>
      </c>
      <c r="AA21" s="19"/>
      <c r="AB21" t="s" s="25">
        <v>142</v>
      </c>
      <c r="AC21" t="s" s="17">
        <v>148</v>
      </c>
      <c r="AD21" t="s" s="22">
        <v>143</v>
      </c>
      <c r="AE21" t="s" s="23">
        <v>151</v>
      </c>
      <c r="AF21" s="19"/>
    </row>
    <row r="22" ht="18.9" customHeight="1">
      <c r="B22" t="str" s="15" cm="1">
        <f t="array" ref="B22">E22&amp;"_"&amp;G22</f>
        <v>CON_TC2050-NL</v>
      </c>
      <c r="C22" t="str" s="16" cm="1">
        <f t="array" ref="C22">$G22&amp;IF($E22="LED"," LED","")&amp;IF($N22="",""," ")&amp;$N22&amp;IF($H22="",""," ")&amp;$H22&amp;IF($O22="",""," ")&amp;$O22&amp;IF($P22="",""," ")&amp;$P22&amp;IF($Q22="",""," ")&amp;$Q22&amp;IF($T22="",""," ")&amp;$T22&amp;IF($T22="","","mcd")</f>
        <v>TC2050-NL SilkScreen &amp; Pads</v>
      </c>
      <c r="D22" t="str" s="16" cm="1">
        <f t="array" ref="D22">$G22&amp;" "&amp;E22&amp;IF($N22="",""," ")&amp;$N22&amp;IF($H22="",""," ")&amp;$H22&amp;IF($O22="",""," ")&amp;$O22&amp;IF($P22="",""," ")&amp;$P22&amp;IF($Q22="",""," ")&amp;$Q22&amp;IF($T22="",""," ")&amp;$T22&amp;IF($T22="","","mcd")</f>
        <v>TC2050-NL CON SilkScreen &amp; Pads</v>
      </c>
      <c r="E22" t="s" s="17">
        <v>135</v>
      </c>
      <c r="F22" t="s" s="17">
        <v>36</v>
      </c>
      <c r="G22" t="s" s="17">
        <v>155</v>
      </c>
      <c r="H22" t="s" s="17">
        <v>137</v>
      </c>
      <c r="I22" t="s" s="18">
        <v>156</v>
      </c>
      <c r="J22" s="17"/>
      <c r="K22" t="s" s="17">
        <v>139</v>
      </c>
      <c r="L22" t="s" s="17">
        <v>157</v>
      </c>
      <c r="M22" t="s" s="17">
        <v>141</v>
      </c>
      <c r="N22" s="17"/>
      <c r="O22" s="17"/>
      <c r="P22" s="17"/>
      <c r="Q22" s="17"/>
      <c r="R22" s="17"/>
      <c r="S22" s="17"/>
      <c r="T22" s="17"/>
      <c r="U22" s="17"/>
      <c r="V22" s="19"/>
      <c r="W22" s="19"/>
      <c r="X22" s="19"/>
      <c r="Y22" t="str" s="20" cm="1">
        <f t="array" ref="Y22">IF(ISBLANK(X22),"",HYPERLINK("https://jlcpcb.com/partdetail/"&amp;$X22,$X22))</f>
      </c>
      <c r="Z22" s="21">
        <v>10</v>
      </c>
      <c r="AA22" s="19"/>
      <c r="AB22" t="s" s="25">
        <v>142</v>
      </c>
      <c r="AC22" t="s" s="17">
        <v>155</v>
      </c>
      <c r="AD22" t="s" s="22">
        <v>158</v>
      </c>
      <c r="AE22" t="s" s="23">
        <v>159</v>
      </c>
      <c r="AF22" s="19"/>
    </row>
    <row r="23" ht="18.9" customHeight="1">
      <c r="B23" t="str" s="15" cm="1">
        <f t="array" ref="B23">E23&amp;"_"&amp;G23</f>
        <v>CON_TC2050-FP</v>
      </c>
      <c r="C23" t="str" s="16" cm="1">
        <f t="array" ref="C23">$G23&amp;IF($E23="LED"," LED","")&amp;IF($N23="",""," ")&amp;$N23&amp;IF($H23="",""," ")&amp;$H23&amp;IF($O23="",""," ")&amp;$O23&amp;IF($P23="",""," ")&amp;$P23&amp;IF($Q23="",""," ")&amp;$Q23&amp;IF($T23="",""," ")&amp;$T23&amp;IF($T23="","","mcd")</f>
        <v>TC2050-FP SilkScreen &amp; Pads</v>
      </c>
      <c r="D23" t="str" s="16" cm="1">
        <f t="array" ref="D23">$G23&amp;" "&amp;E23&amp;IF($N23="",""," ")&amp;$N23&amp;IF($H23="",""," ")&amp;$H23&amp;IF($O23="",""," ")&amp;$O23&amp;IF($P23="",""," ")&amp;$P23&amp;IF($Q23="",""," ")&amp;$Q23&amp;IF($T23="",""," ")&amp;$T23&amp;IF($T23="","","mcd")</f>
        <v>TC2050-FP CON SilkScreen &amp; Pads</v>
      </c>
      <c r="E23" t="s" s="17">
        <v>135</v>
      </c>
      <c r="F23" t="s" s="17">
        <v>36</v>
      </c>
      <c r="G23" t="s" s="17">
        <v>163</v>
      </c>
      <c r="H23" t="s" s="17">
        <v>137</v>
      </c>
      <c r="I23" t="s" s="18">
        <v>164</v>
      </c>
      <c r="J23" s="17"/>
      <c r="K23" t="s" s="17">
        <v>150</v>
      </c>
      <c r="L23" t="s" s="17">
        <v>157</v>
      </c>
      <c r="M23" t="s" s="17">
        <v>141</v>
      </c>
      <c r="N23" s="17"/>
      <c r="O23" s="17"/>
      <c r="P23" s="17"/>
      <c r="Q23" s="17"/>
      <c r="R23" s="17"/>
      <c r="S23" s="17"/>
      <c r="T23" s="17"/>
      <c r="U23" s="17"/>
      <c r="V23" s="19"/>
      <c r="W23" s="19"/>
      <c r="X23" s="19"/>
      <c r="Y23" t="str" s="20" cm="1">
        <f t="array" ref="Y23">IF(ISBLANK(X23),"",HYPERLINK("https://jlcpcb.com/partdetail/"&amp;$X23,$X23))</f>
      </c>
      <c r="Z23" s="21">
        <v>10</v>
      </c>
      <c r="AA23" s="19"/>
      <c r="AB23" t="s" s="25">
        <v>142</v>
      </c>
      <c r="AC23" t="s" s="17">
        <v>163</v>
      </c>
      <c r="AD23" t="s" s="22">
        <v>158</v>
      </c>
      <c r="AE23" t="s" s="23">
        <v>165</v>
      </c>
      <c r="AF23" s="19"/>
    </row>
    <row r="24" ht="18.9" customHeight="1">
      <c r="B24" t="str" s="15" cm="1">
        <f t="array" ref="B24">E24&amp;"_"&amp;G24</f>
        <v>CON_TC2070-FP</v>
      </c>
      <c r="C24" t="str" s="16" cm="1">
        <f t="array" ref="C24">$G24&amp;IF($E24="LED"," LED","")&amp;IF($N24="",""," ")&amp;$N24&amp;IF($H24="",""," ")&amp;$H24&amp;IF($O24="",""," ")&amp;$O24&amp;IF($P24="",""," ")&amp;$P24&amp;IF($Q24="",""," ")&amp;$Q24&amp;IF($T24="",""," ")&amp;$T24&amp;IF($T24="","","mcd")</f>
        <v>TC2070-FP SilkScreen &amp; Pads</v>
      </c>
      <c r="D24" t="str" s="16" cm="1">
        <f t="array" ref="D24">$G24&amp;" "&amp;E24&amp;IF($N24="",""," ")&amp;$N24&amp;IF($H24="",""," ")&amp;$H24&amp;IF($O24="",""," ")&amp;$O24&amp;IF($P24="",""," ")&amp;$P24&amp;IF($Q24="",""," ")&amp;$Q24&amp;IF($T24="",""," ")&amp;$T24&amp;IF($T24="","","mcd")</f>
        <v>TC2070-FP CON SilkScreen &amp; Pads</v>
      </c>
      <c r="E24" t="s" s="17">
        <v>135</v>
      </c>
      <c r="F24" t="s" s="17">
        <v>36</v>
      </c>
      <c r="G24" t="s" s="17">
        <v>169</v>
      </c>
      <c r="H24" t="s" s="17">
        <v>137</v>
      </c>
      <c r="I24" t="s" s="18">
        <v>170</v>
      </c>
      <c r="J24" s="17"/>
      <c r="K24" t="s" s="17">
        <v>150</v>
      </c>
      <c r="L24" t="s" s="17">
        <v>171</v>
      </c>
      <c r="M24" t="s" s="17">
        <v>141</v>
      </c>
      <c r="N24" s="17"/>
      <c r="O24" s="17"/>
      <c r="P24" s="17"/>
      <c r="Q24" s="17"/>
      <c r="R24" s="17"/>
      <c r="S24" s="17"/>
      <c r="T24" s="17"/>
      <c r="U24" s="17"/>
      <c r="V24" s="19"/>
      <c r="W24" s="19"/>
      <c r="X24" s="19"/>
      <c r="Y24" t="str" s="20" cm="1">
        <f t="array" ref="Y24">IF(ISBLANK(X24),"",HYPERLINK("https://jlcpcb.com/partdetail/"&amp;$X24,$X24))</f>
      </c>
      <c r="Z24" s="21">
        <v>10</v>
      </c>
      <c r="AA24" s="19"/>
      <c r="AB24" t="s" s="25">
        <v>142</v>
      </c>
      <c r="AC24" t="s" s="17">
        <v>169</v>
      </c>
      <c r="AD24" t="s" s="22">
        <v>172</v>
      </c>
      <c r="AE24" t="s" s="23">
        <v>173</v>
      </c>
      <c r="AF24" s="19"/>
    </row>
    <row r="25" ht="18.9" customHeight="1">
      <c r="B25" t="str" s="15" cm="1">
        <f t="array" ref="B25">E25&amp;"_"&amp;G25</f>
        <v>SWI_EDG-104</v>
      </c>
      <c r="C25" t="str" s="16" cm="1">
        <f t="array" ref="C25">$G25&amp;IF($E25="LED"," LED","")&amp;IF($N25="",""," ")&amp;$N25&amp;IF($H25="",""," ")&amp;$H25&amp;IF($O25="",""," ")&amp;$O25&amp;IF($P25="",""," ")&amp;$P25&amp;IF($Q25="",""," ")&amp;$Q25&amp;IF($T25="",""," ")&amp;$T25&amp;IF($T25="","","mcd")</f>
        <v>EDG-104 SPSTx4 DIP</v>
      </c>
      <c r="D25" t="str" s="16" cm="1">
        <f t="array" ref="D25">$G25&amp;" "&amp;E25&amp;IF($N25="",""," ")&amp;$N25&amp;IF($H25="",""," ")&amp;$H25&amp;IF($O25="",""," ")&amp;$O25&amp;IF($P25="",""," ")&amp;$P25&amp;IF($Q25="",""," ")&amp;$Q25&amp;IF($T25="",""," ")&amp;$T25&amp;IF($T25="","","mcd")</f>
        <v>EDG-104 SWI SPSTx4 DIP</v>
      </c>
      <c r="E25" t="s" s="17">
        <v>177</v>
      </c>
      <c r="F25" t="s" s="18">
        <v>178</v>
      </c>
      <c r="G25" t="s" s="17">
        <v>179</v>
      </c>
      <c r="H25" t="s" s="17">
        <v>180</v>
      </c>
      <c r="I25" t="s" s="18">
        <v>181</v>
      </c>
      <c r="J25" t="s" s="17">
        <v>182</v>
      </c>
      <c r="K25" t="s" s="17">
        <v>183</v>
      </c>
      <c r="L25" t="s" s="17">
        <v>184</v>
      </c>
      <c r="M25" t="s" s="17">
        <v>141</v>
      </c>
      <c r="N25" s="17"/>
      <c r="O25" s="17"/>
      <c r="P25" s="17"/>
      <c r="Q25" s="17"/>
      <c r="R25" s="17"/>
      <c r="S25" s="17"/>
      <c r="T25" s="17"/>
      <c r="U25" s="17"/>
      <c r="V25" s="24"/>
      <c r="W25" s="24"/>
      <c r="X25" t="s" s="18">
        <v>185</v>
      </c>
      <c r="Y25" t="str" s="20" cm="1">
        <f t="array" ref="Y25">IF(ISBLANK(X25),"",HYPERLINK("https://jlcpcb.com/partdetail/"&amp;$X25,$X25))</f>
        <v>C840579</v>
      </c>
      <c r="Z25" s="21">
        <v>10</v>
      </c>
      <c r="AA25" t="s" s="17">
        <v>187</v>
      </c>
      <c r="AB25" t="s" s="25">
        <v>188</v>
      </c>
      <c r="AC25" t="s" s="17">
        <v>189</v>
      </c>
      <c r="AD25" t="s" s="22">
        <v>190</v>
      </c>
      <c r="AE25" t="s" s="23">
        <v>190</v>
      </c>
      <c r="AF25" t="s" s="17">
        <v>191</v>
      </c>
    </row>
    <row r="26" ht="18.9" customHeight="1">
      <c r="B26" t="str" s="15" cm="1">
        <f t="array" ref="B26">E26&amp;"_"&amp;G26</f>
        <v>SWI_6x6x6mm_PTH</v>
      </c>
      <c r="C26" t="str" s="16" cm="1">
        <f t="array" ref="C26">$G26&amp;IF($E26="LED"," LED","")&amp;IF($N26="",""," ")&amp;$N26&amp;IF($H26="",""," ")&amp;$H26&amp;IF($O26="",""," ")&amp;$O26&amp;IF($P26="",""," ")&amp;$P26&amp;IF($Q26="",""," ")&amp;$Q26&amp;IF($T26="",""," ")&amp;$T26&amp;IF($T26="","","mcd")</f>
        <v>6x6x6mm_PTH SPSTx1 6mm Momentary</v>
      </c>
      <c r="D26" t="str" s="16" cm="1">
        <f t="array" ref="D26">$G26&amp;" "&amp;E26&amp;IF($N26="",""," ")&amp;$N26&amp;IF($H26="",""," ")&amp;$H26&amp;IF($O26="",""," ")&amp;$O26&amp;IF($P26="",""," ")&amp;$P26&amp;IF($Q26="",""," ")&amp;$Q26&amp;IF($T26="",""," ")&amp;$T26&amp;IF($T26="","","mcd")</f>
        <v>6x6x6mm_PTH SWI SPSTx1 6mm Momentary</v>
      </c>
      <c r="E26" t="s" s="17">
        <v>177</v>
      </c>
      <c r="F26" t="s" s="18">
        <v>178</v>
      </c>
      <c r="G26" t="s" s="18">
        <v>195</v>
      </c>
      <c r="H26" t="s" s="17">
        <v>196</v>
      </c>
      <c r="I26" t="s" s="18">
        <v>197</v>
      </c>
      <c r="J26" t="s" s="17">
        <v>198</v>
      </c>
      <c r="K26" t="s" s="17">
        <v>178</v>
      </c>
      <c r="L26" t="s" s="17">
        <v>199</v>
      </c>
      <c r="M26" s="17"/>
      <c r="N26" s="17"/>
      <c r="O26" s="17"/>
      <c r="P26" s="17"/>
      <c r="Q26" s="17"/>
      <c r="R26" s="17"/>
      <c r="S26" s="17"/>
      <c r="T26" s="17"/>
      <c r="U26" s="17"/>
      <c r="V26" s="24"/>
      <c r="W26" s="24"/>
      <c r="X26" t="s" s="18">
        <v>200</v>
      </c>
      <c r="Y26" t="str" s="20" cm="1">
        <f t="array" ref="Y26">IF(ISBLANK(X26),"",HYPERLINK("https://jlcpcb.com/partdetail/"&amp;$X26,$X26))</f>
        <v>C5340138</v>
      </c>
      <c r="Z26" s="21">
        <v>10</v>
      </c>
      <c r="AA26" t="s" s="17">
        <v>187</v>
      </c>
      <c r="AB26" t="s" s="26">
        <v>202</v>
      </c>
      <c r="AC26" t="s" s="18">
        <v>203</v>
      </c>
      <c r="AD26" t="s" s="22">
        <v>204</v>
      </c>
      <c r="AE26" t="s" s="23">
        <v>205</v>
      </c>
      <c r="AF26" t="s" s="17">
        <v>206</v>
      </c>
    </row>
    <row r="27" ht="18.9" customHeight="1">
      <c r="B27" t="str" s="15" cm="1">
        <f t="array" ref="B27">E27&amp;"_"&amp;G27</f>
        <v>SWI_6x6x6mm_SMD</v>
      </c>
      <c r="C27" t="str" s="16" cm="1">
        <f t="array" ref="C27">$G27&amp;IF($E27="LED"," LED","")&amp;IF($N27="",""," ")&amp;$N27&amp;IF($H27="",""," ")&amp;$H27&amp;IF($O27="",""," ")&amp;$O27&amp;IF($P27="",""," ")&amp;$P27&amp;IF($Q27="",""," ")&amp;$Q27&amp;IF($T27="",""," ")&amp;$T27&amp;IF($T27="","","mcd")</f>
        <v>6x6x6mm_SMD SPSTx1 6mm Momentary</v>
      </c>
      <c r="D27" t="str" s="16" cm="1">
        <f t="array" ref="D27">$G27&amp;" "&amp;E27&amp;IF($N27="",""," ")&amp;$N27&amp;IF($H27="",""," ")&amp;$H27&amp;IF($O27="",""," ")&amp;$O27&amp;IF($P27="",""," ")&amp;$P27&amp;IF($Q27="",""," ")&amp;$Q27&amp;IF($T27="",""," ")&amp;$T27&amp;IF($T27="","","mcd")</f>
        <v>6x6x6mm_SMD SWI SPSTx1 6mm Momentary</v>
      </c>
      <c r="E27" t="s" s="17">
        <v>177</v>
      </c>
      <c r="F27" t="s" s="17">
        <v>5</v>
      </c>
      <c r="G27" t="s" s="18">
        <v>210</v>
      </c>
      <c r="H27" t="s" s="17">
        <v>196</v>
      </c>
      <c r="I27" t="s" s="18">
        <v>211</v>
      </c>
      <c r="J27" t="s" s="17">
        <v>198</v>
      </c>
      <c r="K27" t="s" s="17">
        <v>5</v>
      </c>
      <c r="L27" t="s" s="17">
        <v>199</v>
      </c>
      <c r="M27" s="17"/>
      <c r="N27" s="17"/>
      <c r="O27" s="17"/>
      <c r="P27" s="17"/>
      <c r="Q27" s="17"/>
      <c r="R27" s="17"/>
      <c r="S27" s="17"/>
      <c r="T27" s="17"/>
      <c r="U27" s="17"/>
      <c r="V27" s="24"/>
      <c r="W27" s="24"/>
      <c r="X27" t="s" s="18">
        <v>212</v>
      </c>
      <c r="Y27" t="str" s="20" cm="1">
        <f t="array" ref="Y27">IF(ISBLANK(X27),"",HYPERLINK("https://jlcpcb.com/partdetail/"&amp;$X27,$X27))</f>
        <v>C5340123</v>
      </c>
      <c r="Z27" s="21">
        <v>10</v>
      </c>
      <c r="AA27" t="s" s="17">
        <v>187</v>
      </c>
      <c r="AB27" t="s" s="26">
        <v>202</v>
      </c>
      <c r="AC27" t="s" s="18">
        <v>214</v>
      </c>
      <c r="AD27" t="s" s="22">
        <v>204</v>
      </c>
      <c r="AE27" t="s" s="23">
        <v>215</v>
      </c>
      <c r="AF27" t="s" s="17">
        <v>216</v>
      </c>
    </row>
    <row r="28" ht="18.9" customHeight="1">
      <c r="B28" t="str" s="15" cm="1">
        <f t="array" ref="B28">E28&amp;"_"&amp;G28</f>
        <v>CON_DCJ0202</v>
      </c>
      <c r="C28" t="str" s="16" cm="1">
        <f t="array" ref="C28">$G28&amp;IF($E28="LED"," LED","")&amp;IF($N28="",""," ")&amp;$N28&amp;IF($H28="",""," ")&amp;$H28&amp;IF($O28="",""," ")&amp;$O28&amp;IF($P28="",""," ")&amp;$P28&amp;IF($Q28="",""," ")&amp;$Q28&amp;IF($T28="",""," ")&amp;$T28&amp;IF($T28="","","mcd")</f>
        <v>DCJ0202 Power Connector</v>
      </c>
      <c r="D28" t="str" s="16" cm="1">
        <f t="array" ref="D28">$G28&amp;" "&amp;E28&amp;IF($N28="",""," ")&amp;$N28&amp;IF($H28="",""," ")&amp;$H28&amp;IF($O28="",""," ")&amp;$O28&amp;IF($P28="",""," ")&amp;$P28&amp;IF($Q28="",""," ")&amp;$Q28&amp;IF($T28="",""," ")&amp;$T28&amp;IF($T28="","","mcd")</f>
        <v>DCJ0202 CON Power Connector</v>
      </c>
      <c r="E28" t="s" s="17">
        <v>135</v>
      </c>
      <c r="F28" t="s" s="18">
        <v>178</v>
      </c>
      <c r="G28" t="s" s="17">
        <v>220</v>
      </c>
      <c r="H28" t="s" s="17">
        <v>221</v>
      </c>
      <c r="I28" t="s" s="18">
        <v>222</v>
      </c>
      <c r="J28" s="17"/>
      <c r="K28" s="17"/>
      <c r="L28" t="s" s="17">
        <v>223</v>
      </c>
      <c r="M28" s="17"/>
      <c r="N28" s="17"/>
      <c r="O28" s="17"/>
      <c r="P28" s="17"/>
      <c r="Q28" s="17"/>
      <c r="R28" s="17"/>
      <c r="S28" s="17"/>
      <c r="T28" s="17"/>
      <c r="U28" s="17"/>
      <c r="V28" s="19"/>
      <c r="W28" s="19"/>
      <c r="X28" s="19"/>
      <c r="Y28" t="str" s="20" cm="1">
        <f t="array" ref="Y28">IF(ISBLANK(X28),"",HYPERLINK("https://jlcpcb.com/partdetail/"&amp;$X28,$X28))</f>
      </c>
      <c r="Z28" s="21">
        <v>10</v>
      </c>
      <c r="AA28" t="s" s="17">
        <v>187</v>
      </c>
      <c r="AB28" s="15"/>
      <c r="AC28" t="s" s="17">
        <v>220</v>
      </c>
      <c r="AD28" t="s" s="22">
        <v>224</v>
      </c>
      <c r="AE28" t="s" s="23">
        <v>225</v>
      </c>
      <c r="AF28" s="19"/>
    </row>
    <row r="29" ht="18.9" customHeight="1">
      <c r="B29" t="str" s="15" cm="1">
        <f t="array" ref="B29">E29&amp;"_"&amp;G29</f>
        <v>CON_1x02-0.100</v>
      </c>
      <c r="C29" t="str" s="16" cm="1">
        <f t="array" ref="C29">$G29&amp;IF($E29="LED"," LED","")&amp;IF($N29="",""," ")&amp;$N29&amp;IF($H29="",""," ")&amp;$H29&amp;IF($O29="",""," ")&amp;$O29&amp;IF($P29="",""," ")&amp;$P29&amp;IF($Q29="",""," ")&amp;$Q29&amp;IF($T29="",""," ")&amp;$T29&amp;IF($T29="","","mcd")</f>
        <v>1x02-0.100 Male Header</v>
      </c>
      <c r="D29" t="str" s="16" cm="1">
        <f t="array" ref="D29">$G29&amp;" "&amp;E29&amp;IF($N29="",""," ")&amp;$N29&amp;IF($H29="",""," ")&amp;$H29&amp;IF($O29="",""," ")&amp;$O29&amp;IF($P29="",""," ")&amp;$P29&amp;IF($Q29="",""," ")&amp;$Q29&amp;IF($T29="",""," ")&amp;$T29&amp;IF($T29="","","mcd")</f>
        <v>1x02-0.100 CON Male Header</v>
      </c>
      <c r="E29" t="s" s="17">
        <v>135</v>
      </c>
      <c r="F29" t="s" s="18">
        <v>178</v>
      </c>
      <c r="G29" t="s" s="17">
        <v>229</v>
      </c>
      <c r="H29" t="s" s="17">
        <v>230</v>
      </c>
      <c r="I29" t="s" s="18">
        <v>231</v>
      </c>
      <c r="J29" s="17"/>
      <c r="K29" s="17"/>
      <c r="L29" t="s" s="17">
        <v>232</v>
      </c>
      <c r="M29" t="s" s="17">
        <v>233</v>
      </c>
      <c r="N29" s="17"/>
      <c r="O29" s="17"/>
      <c r="P29" s="17"/>
      <c r="Q29" s="17"/>
      <c r="R29" s="17"/>
      <c r="S29" s="17"/>
      <c r="T29" s="17"/>
      <c r="U29" s="17"/>
      <c r="V29" s="19"/>
      <c r="W29" s="19"/>
      <c r="X29" s="19"/>
      <c r="Y29" t="str" s="20" cm="1">
        <f t="array" ref="Y29">IF(ISBLANK(X29),"",HYPERLINK("https://jlcpcb.com/partdetail/"&amp;$X29,$X29))</f>
      </c>
      <c r="Z29" s="21">
        <v>10</v>
      </c>
      <c r="AA29" t="s" s="17">
        <v>187</v>
      </c>
      <c r="AB29" s="15"/>
      <c r="AC29" s="19"/>
      <c r="AD29" t="s" s="22">
        <v>234</v>
      </c>
      <c r="AE29" t="s" s="23">
        <v>235</v>
      </c>
      <c r="AF29" s="19"/>
    </row>
    <row r="30" ht="18.9" customHeight="1">
      <c r="B30" t="str" s="15" cm="1">
        <f t="array" ref="B30">E30&amp;"_"&amp;G30</f>
        <v>CON_1x03-0.100</v>
      </c>
      <c r="C30" t="str" s="16" cm="1">
        <f t="array" ref="C30">$G30&amp;IF($E30="LED"," LED","")&amp;IF($N30="",""," ")&amp;$N30&amp;IF($H30="",""," ")&amp;$H30&amp;IF($O30="",""," ")&amp;$O30&amp;IF($P30="",""," ")&amp;$P30&amp;IF($Q30="",""," ")&amp;$Q30&amp;IF($T30="",""," ")&amp;$T30&amp;IF($T30="","","mcd")</f>
        <v>1x03-0.100 Male Header</v>
      </c>
      <c r="D30" t="str" s="16" cm="1">
        <f t="array" ref="D30">$G30&amp;" "&amp;E30&amp;IF($N30="",""," ")&amp;$N30&amp;IF($H30="",""," ")&amp;$H30&amp;IF($O30="",""," ")&amp;$O30&amp;IF($P30="",""," ")&amp;$P30&amp;IF($Q30="",""," ")&amp;$Q30&amp;IF($T30="",""," ")&amp;$T30&amp;IF($T30="","","mcd")</f>
        <v>1x03-0.100 CON Male Header</v>
      </c>
      <c r="E30" t="s" s="17">
        <v>135</v>
      </c>
      <c r="F30" t="s" s="18">
        <v>178</v>
      </c>
      <c r="G30" t="s" s="17">
        <v>239</v>
      </c>
      <c r="H30" t="s" s="17">
        <v>230</v>
      </c>
      <c r="I30" t="s" s="18">
        <v>240</v>
      </c>
      <c r="J30" s="17"/>
      <c r="K30" s="17"/>
      <c r="L30" t="s" s="17">
        <v>241</v>
      </c>
      <c r="M30" t="s" s="17">
        <v>233</v>
      </c>
      <c r="N30" s="17"/>
      <c r="O30" s="17"/>
      <c r="P30" s="17"/>
      <c r="Q30" s="17"/>
      <c r="R30" s="17"/>
      <c r="S30" s="17"/>
      <c r="T30" s="17"/>
      <c r="U30" s="17"/>
      <c r="V30" s="19"/>
      <c r="W30" s="19"/>
      <c r="X30" s="19"/>
      <c r="Y30" t="str" s="20" cm="1">
        <f t="array" ref="Y30">IF(ISBLANK(X30),"",HYPERLINK("https://jlcpcb.com/partdetail/"&amp;$X30,$X30))</f>
      </c>
      <c r="Z30" s="21">
        <v>10</v>
      </c>
      <c r="AA30" t="s" s="17">
        <v>187</v>
      </c>
      <c r="AB30" s="15"/>
      <c r="AC30" s="19"/>
      <c r="AD30" t="s" s="22">
        <v>242</v>
      </c>
      <c r="AE30" t="s" s="23">
        <v>243</v>
      </c>
      <c r="AF30" s="19"/>
    </row>
    <row r="31" ht="18.9" customHeight="1">
      <c r="B31" t="str" s="15" cm="1">
        <f t="array" ref="B31">E31&amp;"_"&amp;G31</f>
        <v>CON_1x04-0.100</v>
      </c>
      <c r="C31" t="str" s="16" cm="1">
        <f t="array" ref="C31">$G31&amp;IF($E31="LED"," LED","")&amp;IF($N31="",""," ")&amp;$N31&amp;IF($H31="",""," ")&amp;$H31&amp;IF($O31="",""," ")&amp;$O31&amp;IF($P31="",""," ")&amp;$P31&amp;IF($Q31="",""," ")&amp;$Q31&amp;IF($T31="",""," ")&amp;$T31&amp;IF($T31="","","mcd")</f>
        <v>1x04-0.100 Male Header</v>
      </c>
      <c r="D31" t="str" s="16" cm="1">
        <f t="array" ref="D31">$G31&amp;" "&amp;E31&amp;IF($N31="",""," ")&amp;$N31&amp;IF($H31="",""," ")&amp;$H31&amp;IF($O31="",""," ")&amp;$O31&amp;IF($P31="",""," ")&amp;$P31&amp;IF($Q31="",""," ")&amp;$Q31&amp;IF($T31="",""," ")&amp;$T31&amp;IF($T31="","","mcd")</f>
        <v>1x04-0.100 CON Male Header</v>
      </c>
      <c r="E31" t="s" s="17">
        <v>135</v>
      </c>
      <c r="F31" t="s" s="18">
        <v>178</v>
      </c>
      <c r="G31" t="s" s="17">
        <v>247</v>
      </c>
      <c r="H31" t="s" s="17">
        <v>230</v>
      </c>
      <c r="I31" t="s" s="18">
        <v>248</v>
      </c>
      <c r="J31" s="17"/>
      <c r="K31" s="17"/>
      <c r="L31" t="s" s="17">
        <v>249</v>
      </c>
      <c r="M31" t="s" s="17">
        <v>233</v>
      </c>
      <c r="N31" s="17"/>
      <c r="O31" s="17"/>
      <c r="P31" s="17"/>
      <c r="Q31" s="17"/>
      <c r="R31" s="17"/>
      <c r="S31" s="17"/>
      <c r="T31" s="17"/>
      <c r="U31" s="17"/>
      <c r="V31" s="19"/>
      <c r="W31" s="19"/>
      <c r="X31" s="19"/>
      <c r="Y31" t="str" s="20" cm="1">
        <f t="array" ref="Y31">IF(ISBLANK(X31),"",HYPERLINK("https://jlcpcb.com/partdetail/"&amp;$X31,$X31))</f>
      </c>
      <c r="Z31" s="21">
        <v>10</v>
      </c>
      <c r="AA31" t="s" s="17">
        <v>187</v>
      </c>
      <c r="AB31" s="15"/>
      <c r="AC31" s="19"/>
      <c r="AD31" t="s" s="22">
        <v>250</v>
      </c>
      <c r="AE31" t="s" s="23">
        <v>251</v>
      </c>
      <c r="AF31" s="19"/>
    </row>
    <row r="32" ht="18.9" customHeight="1">
      <c r="B32" t="str" s="15" cm="1">
        <f t="array" ref="B32">E32&amp;"_"&amp;G32</f>
        <v>CON_1x06-0.100</v>
      </c>
      <c r="C32" t="str" s="16" cm="1">
        <f t="array" ref="C32">$G32&amp;IF($E32="LED"," LED","")&amp;IF($N32="",""," ")&amp;$N32&amp;IF($H32="",""," ")&amp;$H32&amp;IF($O32="",""," ")&amp;$O32&amp;IF($P32="",""," ")&amp;$P32&amp;IF($Q32="",""," ")&amp;$Q32&amp;IF($T32="",""," ")&amp;$T32&amp;IF($T32="","","mcd")</f>
        <v>1x06-0.100 Male Header</v>
      </c>
      <c r="D32" t="str" s="16" cm="1">
        <f t="array" ref="D32">$G32&amp;" "&amp;E32&amp;IF($N32="",""," ")&amp;$N32&amp;IF($H32="",""," ")&amp;$H32&amp;IF($O32="",""," ")&amp;$O32&amp;IF($P32="",""," ")&amp;$P32&amp;IF($Q32="",""," ")&amp;$Q32&amp;IF($T32="",""," ")&amp;$T32&amp;IF($T32="","","mcd")</f>
        <v>1x06-0.100 CON Male Header</v>
      </c>
      <c r="E32" t="s" s="17">
        <v>135</v>
      </c>
      <c r="F32" t="s" s="18">
        <v>178</v>
      </c>
      <c r="G32" t="s" s="17">
        <v>255</v>
      </c>
      <c r="H32" t="s" s="17">
        <v>230</v>
      </c>
      <c r="I32" t="s" s="18">
        <v>256</v>
      </c>
      <c r="J32" s="17"/>
      <c r="K32" s="17"/>
      <c r="L32" t="s" s="17">
        <v>257</v>
      </c>
      <c r="M32" t="s" s="17">
        <v>233</v>
      </c>
      <c r="N32" s="17"/>
      <c r="O32" s="17"/>
      <c r="P32" s="17"/>
      <c r="Q32" s="17"/>
      <c r="R32" s="17"/>
      <c r="S32" s="17"/>
      <c r="T32" s="17"/>
      <c r="U32" s="17"/>
      <c r="V32" s="19"/>
      <c r="W32" s="19"/>
      <c r="X32" s="19"/>
      <c r="Y32" t="str" s="20" cm="1">
        <f t="array" ref="Y32">IF(ISBLANK(X32),"",HYPERLINK("https://jlcpcb.com/partdetail/"&amp;$X32,$X32))</f>
      </c>
      <c r="Z32" s="21">
        <v>10</v>
      </c>
      <c r="AA32" t="s" s="17">
        <v>187</v>
      </c>
      <c r="AB32" s="15"/>
      <c r="AC32" s="19"/>
      <c r="AD32" t="s" s="22">
        <v>258</v>
      </c>
      <c r="AE32" t="s" s="23">
        <v>259</v>
      </c>
      <c r="AF32" s="19"/>
    </row>
    <row r="33" ht="18.9" customHeight="1">
      <c r="B33" t="str" s="15" cm="1">
        <f t="array" ref="B33">E33&amp;"_"&amp;G33</f>
        <v>CON_FTDI-1x6-0.100</v>
      </c>
      <c r="C33" t="str" s="16" cm="1">
        <f t="array" ref="C33">$G33&amp;IF($E33="LED"," LED","")&amp;IF($N33="",""," ")&amp;$N33&amp;IF($H33="",""," ")&amp;$H33&amp;IF($O33="",""," ")&amp;$O33&amp;IF($P33="",""," ")&amp;$P33&amp;IF($Q33="",""," ")&amp;$Q33&amp;IF($T33="",""," ")&amp;$T33&amp;IF($T33="","","mcd")</f>
        <v>FTDI-1x6-0.100 Male Header</v>
      </c>
      <c r="D33" t="str" s="16" cm="1">
        <f t="array" ref="D33">$G33&amp;" "&amp;E33&amp;IF($N33="",""," ")&amp;$N33&amp;IF($H33="",""," ")&amp;$H33&amp;IF($O33="",""," ")&amp;$O33&amp;IF($P33="",""," ")&amp;$P33&amp;IF($Q33="",""," ")&amp;$Q33&amp;IF($T33="",""," ")&amp;$T33&amp;IF($T33="","","mcd")</f>
        <v>FTDI-1x6-0.100 CON Male Header</v>
      </c>
      <c r="E33" t="s" s="17">
        <v>135</v>
      </c>
      <c r="F33" t="s" s="18">
        <v>178</v>
      </c>
      <c r="G33" t="s" s="17">
        <v>263</v>
      </c>
      <c r="H33" t="s" s="17">
        <v>230</v>
      </c>
      <c r="I33" t="s" s="18">
        <v>264</v>
      </c>
      <c r="J33" s="17"/>
      <c r="K33" s="17"/>
      <c r="L33" t="s" s="17">
        <v>257</v>
      </c>
      <c r="M33" t="s" s="17">
        <v>233</v>
      </c>
      <c r="N33" s="17"/>
      <c r="O33" s="17"/>
      <c r="P33" s="17"/>
      <c r="Q33" s="17"/>
      <c r="R33" s="17"/>
      <c r="S33" s="17"/>
      <c r="T33" s="17"/>
      <c r="U33" s="17"/>
      <c r="V33" s="19"/>
      <c r="W33" s="19"/>
      <c r="X33" s="19"/>
      <c r="Y33" t="str" s="20" cm="1">
        <f t="array" ref="Y33">IF(ISBLANK(X33),"",HYPERLINK("https://jlcpcb.com/partdetail/"&amp;$X33,$X33))</f>
      </c>
      <c r="Z33" s="21">
        <v>10</v>
      </c>
      <c r="AA33" t="s" s="17">
        <v>187</v>
      </c>
      <c r="AB33" s="15"/>
      <c r="AC33" s="19"/>
      <c r="AD33" t="s" s="22">
        <v>265</v>
      </c>
      <c r="AE33" t="s" s="23">
        <v>266</v>
      </c>
      <c r="AF33" s="19"/>
    </row>
    <row r="34" ht="18.9" customHeight="1">
      <c r="B34" t="str" s="15" cm="1">
        <f t="array" ref="B34">E34&amp;"_"&amp;G34</f>
        <v>CON_M5-1x6-0.100</v>
      </c>
      <c r="C34" t="str" s="16" cm="1">
        <f t="array" ref="C34">$G34&amp;IF($E34="LED"," LED","")&amp;IF($N34="",""," ")&amp;$N34&amp;IF($H34="",""," ")&amp;$H34&amp;IF($O34="",""," ")&amp;$O34&amp;IF($P34="",""," ")&amp;$P34&amp;IF($Q34="",""," ")&amp;$Q34&amp;IF($T34="",""," ")&amp;$T34&amp;IF($T34="","","mcd")</f>
        <v>M5-1x6-0.100 Female Header</v>
      </c>
      <c r="D34" t="str" s="16" cm="1">
        <f t="array" ref="D34">$G34&amp;" "&amp;E34&amp;IF($N34="",""," ")&amp;$N34&amp;IF($H34="",""," ")&amp;$H34&amp;IF($O34="",""," ")&amp;$O34&amp;IF($P34="",""," ")&amp;$P34&amp;IF($Q34="",""," ")&amp;$Q34&amp;IF($T34="",""," ")&amp;$T34&amp;IF($T34="","","mcd")</f>
        <v>M5-1x6-0.100 CON Female Header</v>
      </c>
      <c r="E34" t="s" s="17">
        <v>135</v>
      </c>
      <c r="F34" t="s" s="18">
        <v>178</v>
      </c>
      <c r="G34" t="s" s="17">
        <v>270</v>
      </c>
      <c r="H34" t="s" s="17">
        <v>271</v>
      </c>
      <c r="I34" t="s" s="18">
        <v>272</v>
      </c>
      <c r="J34" s="17"/>
      <c r="K34" s="17"/>
      <c r="L34" t="s" s="17">
        <v>257</v>
      </c>
      <c r="M34" t="s" s="17">
        <v>233</v>
      </c>
      <c r="N34" s="17"/>
      <c r="O34" s="17"/>
      <c r="P34" s="17"/>
      <c r="Q34" s="17"/>
      <c r="R34" s="17"/>
      <c r="S34" s="17"/>
      <c r="T34" s="17"/>
      <c r="U34" s="17"/>
      <c r="V34" s="19"/>
      <c r="W34" s="19"/>
      <c r="X34" s="19"/>
      <c r="Y34" t="str" s="20" cm="1">
        <f t="array" ref="Y34">IF(ISBLANK(X34),"",HYPERLINK("https://jlcpcb.com/partdetail/"&amp;$X34,$X34))</f>
      </c>
      <c r="Z34" s="21">
        <v>10</v>
      </c>
      <c r="AA34" t="s" s="17">
        <v>187</v>
      </c>
      <c r="AB34" s="15"/>
      <c r="AC34" s="19"/>
      <c r="AD34" t="s" s="22">
        <v>273</v>
      </c>
      <c r="AE34" t="s" s="23">
        <v>274</v>
      </c>
      <c r="AF34" s="19"/>
    </row>
    <row r="35" ht="18.9" customHeight="1">
      <c r="B35" t="str" s="15" cm="1">
        <f t="array" ref="B35">E35&amp;"_"&amp;G35</f>
        <v>CON_SSD1306-1x4-0.100</v>
      </c>
      <c r="C35" t="str" s="16" cm="1">
        <f t="array" ref="C35">$G35&amp;IF($E35="LED"," LED","")&amp;IF($N35="",""," ")&amp;$N35&amp;IF($H35="",""," ")&amp;$H35&amp;IF($O35="",""," ")&amp;$O35&amp;IF($P35="",""," ")&amp;$P35&amp;IF($Q35="",""," ")&amp;$Q35&amp;IF($T35="",""," ")&amp;$T35&amp;IF($T35="","","mcd")</f>
        <v>SSD1306-1x4-0.100 Male Header</v>
      </c>
      <c r="D35" t="str" s="16" cm="1">
        <f t="array" ref="D35">$G35&amp;" "&amp;E35&amp;IF($N35="",""," ")&amp;$N35&amp;IF($H35="",""," ")&amp;$H35&amp;IF($O35="",""," ")&amp;$O35&amp;IF($P35="",""," ")&amp;$P35&amp;IF($Q35="",""," ")&amp;$Q35&amp;IF($T35="",""," ")&amp;$T35&amp;IF($T35="","","mcd")</f>
        <v>SSD1306-1x4-0.100 CON Male Header</v>
      </c>
      <c r="E35" t="s" s="17">
        <v>135</v>
      </c>
      <c r="F35" t="s" s="18">
        <v>178</v>
      </c>
      <c r="G35" t="s" s="17">
        <v>278</v>
      </c>
      <c r="H35" t="s" s="17">
        <v>230</v>
      </c>
      <c r="I35" t="s" s="18">
        <v>279</v>
      </c>
      <c r="J35" s="17"/>
      <c r="K35" s="17"/>
      <c r="L35" t="s" s="17">
        <v>249</v>
      </c>
      <c r="M35" t="s" s="17">
        <v>233</v>
      </c>
      <c r="N35" s="17"/>
      <c r="O35" s="17"/>
      <c r="P35" s="17"/>
      <c r="Q35" s="17"/>
      <c r="R35" s="17"/>
      <c r="S35" s="17"/>
      <c r="T35" s="17"/>
      <c r="U35" s="17"/>
      <c r="V35" s="19"/>
      <c r="W35" s="19"/>
      <c r="X35" s="19"/>
      <c r="Y35" t="str" s="20" cm="1">
        <f t="array" ref="Y35">IF(ISBLANK(X35),"",HYPERLINK("https://jlcpcb.com/partdetail/"&amp;$X35,$X35))</f>
      </c>
      <c r="Z35" s="21">
        <v>10</v>
      </c>
      <c r="AA35" t="s" s="17">
        <v>187</v>
      </c>
      <c r="AB35" s="15"/>
      <c r="AC35" s="19"/>
      <c r="AD35" t="s" s="22">
        <v>280</v>
      </c>
      <c r="AE35" t="s" s="23">
        <v>281</v>
      </c>
      <c r="AF35" s="19"/>
    </row>
    <row r="36" ht="18.9" customHeight="1">
      <c r="B36" t="str" s="15" cm="1">
        <f t="array" ref="B36">E36&amp;"_"&amp;G36</f>
        <v>MCU_WT32-ETH01</v>
      </c>
      <c r="C36" t="str" s="16" cm="1">
        <f t="array" ref="C36">$G36&amp;IF($E36="LED"," LED","")&amp;IF($N36="",""," ")&amp;$N36&amp;IF($H36="",""," ")&amp;$H36&amp;IF($O36="",""," ")&amp;$O36&amp;IF($P36="",""," ")&amp;$P36&amp;IF($Q36="",""," ")&amp;$Q36&amp;IF($T36="",""," ")&amp;$T36&amp;IF($T36="","","mcd")</f>
        <v>WT32-ETH01 ESP32</v>
      </c>
      <c r="D36" t="str" s="16" cm="1">
        <f t="array" ref="D36">$G36&amp;" "&amp;E36&amp;IF($N36="",""," ")&amp;$N36&amp;IF($H36="",""," ")&amp;$H36&amp;IF($O36="",""," ")&amp;$O36&amp;IF($P36="",""," ")&amp;$P36&amp;IF($Q36="",""," ")&amp;$Q36&amp;IF($T36="",""," ")&amp;$T36&amp;IF($T36="","","mcd")</f>
        <v>WT32-ETH01 MCU ESP32</v>
      </c>
      <c r="E36" t="s" s="17">
        <v>285</v>
      </c>
      <c r="F36" t="s" s="18">
        <v>178</v>
      </c>
      <c r="G36" t="s" s="17">
        <v>286</v>
      </c>
      <c r="H36" t="s" s="17">
        <v>287</v>
      </c>
      <c r="I36" t="s" s="18">
        <v>286</v>
      </c>
      <c r="J36" s="17"/>
      <c r="K36" s="17"/>
      <c r="L36" t="s" s="17">
        <v>288</v>
      </c>
      <c r="M36" t="s" s="17">
        <v>289</v>
      </c>
      <c r="N36" s="17"/>
      <c r="O36" s="17"/>
      <c r="P36" s="17"/>
      <c r="Q36" s="17"/>
      <c r="R36" s="17"/>
      <c r="S36" s="17"/>
      <c r="T36" s="17"/>
      <c r="U36" s="17"/>
      <c r="V36" s="19"/>
      <c r="W36" s="19"/>
      <c r="X36" s="19"/>
      <c r="Y36" t="str" s="20" cm="1">
        <f t="array" ref="Y36">IF(ISBLANK(X36),"",HYPERLINK("https://jlcpcb.com/partdetail/"&amp;$X36,$X36))</f>
      </c>
      <c r="Z36" s="21">
        <v>10</v>
      </c>
      <c r="AA36" t="s" s="17">
        <v>187</v>
      </c>
      <c r="AB36" t="s" s="25">
        <v>290</v>
      </c>
      <c r="AC36" t="s" s="17">
        <v>286</v>
      </c>
      <c r="AD36" t="s" s="22">
        <v>291</v>
      </c>
      <c r="AE36" t="s" s="23">
        <v>291</v>
      </c>
      <c r="AF36" t="s" s="17">
        <v>292</v>
      </c>
    </row>
    <row r="37" ht="18.9" customHeight="1">
      <c r="B37" t="str" s="15" cm="1">
        <f t="array" ref="B37">E37&amp;"_"&amp;G37</f>
        <v>MCU_ESP32-DevKit_V1</v>
      </c>
      <c r="C37" t="str" s="16" cm="1">
        <f t="array" ref="C37">$G37&amp;IF($E37="LED"," LED","")&amp;IF($N37="",""," ")&amp;$N37&amp;IF($H37="",""," ")&amp;$H37&amp;IF($O37="",""," ")&amp;$O37&amp;IF($P37="",""," ")&amp;$P37&amp;IF($Q37="",""," ")&amp;$Q37&amp;IF($T37="",""," ")&amp;$T37&amp;IF($T37="","","mcd")</f>
        <v>ESP32-DevKit_V1 ESP32</v>
      </c>
      <c r="D37" t="str" s="16" cm="1">
        <f t="array" ref="D37">$G37&amp;" "&amp;E37&amp;IF($N37="",""," ")&amp;$N37&amp;IF($H37="",""," ")&amp;$H37&amp;IF($O37="",""," ")&amp;$O37&amp;IF($P37="",""," ")&amp;$P37&amp;IF($Q37="",""," ")&amp;$Q37&amp;IF($T37="",""," ")&amp;$T37&amp;IF($T37="","","mcd")</f>
        <v>ESP32-DevKit_V1 MCU ESP32</v>
      </c>
      <c r="E37" t="s" s="17">
        <v>285</v>
      </c>
      <c r="F37" t="s" s="18">
        <v>178</v>
      </c>
      <c r="G37" t="s" s="17">
        <v>296</v>
      </c>
      <c r="H37" t="s" s="17">
        <v>287</v>
      </c>
      <c r="I37" t="s" s="18">
        <v>297</v>
      </c>
      <c r="J37" s="17"/>
      <c r="K37" s="17"/>
      <c r="L37" t="s" s="17">
        <v>298</v>
      </c>
      <c r="M37" t="s" s="17">
        <v>289</v>
      </c>
      <c r="N37" s="17"/>
      <c r="O37" s="17"/>
      <c r="P37" s="17"/>
      <c r="Q37" s="17"/>
      <c r="R37" s="17"/>
      <c r="S37" s="17"/>
      <c r="T37" s="17"/>
      <c r="U37" s="17"/>
      <c r="V37" s="19"/>
      <c r="W37" s="19"/>
      <c r="X37" s="19"/>
      <c r="Y37" t="str" s="20" cm="1">
        <f t="array" ref="Y37">IF(ISBLANK(X37),"",HYPERLINK("https://jlcpcb.com/partdetail/"&amp;$X37,$X37))</f>
      </c>
      <c r="Z37" s="21">
        <v>10</v>
      </c>
      <c r="AA37" t="s" s="17">
        <v>187</v>
      </c>
      <c r="AB37" t="s" s="25">
        <v>299</v>
      </c>
      <c r="AC37" t="s" s="17">
        <v>296</v>
      </c>
      <c r="AD37" t="s" s="22">
        <v>300</v>
      </c>
      <c r="AE37" t="s" s="23">
        <v>300</v>
      </c>
      <c r="AF37" t="s" s="17">
        <v>301</v>
      </c>
    </row>
    <row r="38" ht="18.9" customHeight="1">
      <c r="B38" t="str" s="15" cm="1">
        <f t="array" ref="B38">E38&amp;"_"&amp;G38&amp;"_"&amp;H38&amp;"_"&amp;J38&amp;"_"&amp;O38</f>
        <v>CAP_0.01uF_X7R_0603_25V</v>
      </c>
      <c r="C38" t="str" s="16" cm="1">
        <f t="array" ref="C38">$G38&amp;IF($E38="LED"," LED","")&amp;IF($N38="",""," ")&amp;$N38&amp;IF($H38="",""," ")&amp;$H38&amp;IF($O38="",""," ")&amp;$O38&amp;IF($P38="",""," ")&amp;$P38&amp;IF($Q38="",""," ")&amp;$Q38&amp;IF($T38="",""," ")&amp;$T38&amp;IF($T38="","","mcd")</f>
        <v>0.01uF 10% X7R 25V</v>
      </c>
      <c r="D38" t="str" s="16" cm="1">
        <f t="array" ref="D38">$G38&amp;" "&amp;E38&amp;IF($N38="",""," ")&amp;$N38&amp;IF($H38="",""," ")&amp;$H38&amp;IF($O38="",""," ")&amp;$O38&amp;IF($P38="",""," ")&amp;$P38&amp;IF($Q38="",""," ")&amp;$Q38&amp;IF($T38="",""," ")&amp;$T38&amp;IF($T38="","","mcd")</f>
        <v>0.01uF CAP 10% X7R 25V</v>
      </c>
      <c r="E38" t="s" s="17">
        <v>305</v>
      </c>
      <c r="F38" t="s" s="17">
        <v>5</v>
      </c>
      <c r="G38" t="s" s="17">
        <v>306</v>
      </c>
      <c r="H38" t="s" s="17">
        <v>307</v>
      </c>
      <c r="I38" t="s" s="18">
        <v>308</v>
      </c>
      <c r="J38" t="s" s="17">
        <v>309</v>
      </c>
      <c r="K38" s="17"/>
      <c r="L38" s="17"/>
      <c r="M38" s="17"/>
      <c r="N38" t="s" s="17">
        <v>310</v>
      </c>
      <c r="O38" t="s" s="17">
        <v>311</v>
      </c>
      <c r="P38" s="17"/>
      <c r="Q38" s="17"/>
      <c r="R38" s="17"/>
      <c r="S38" s="17"/>
      <c r="T38" s="17"/>
      <c r="U38" s="17"/>
      <c r="V38" s="19"/>
      <c r="W38" s="19"/>
      <c r="X38" t="s" s="17">
        <v>312</v>
      </c>
      <c r="Y38" t="str" s="20" cm="1">
        <f t="array" ref="Y38">IF(ISBLANK(X38),"",HYPERLINK("https://jlcpcb.com/partdetail/"&amp;$X38,$X38))</f>
        <v>C1852832</v>
      </c>
      <c r="Z38" s="27">
        <v>1</v>
      </c>
      <c r="AA38" t="s" s="17">
        <v>314</v>
      </c>
      <c r="AB38" t="s" s="25">
        <v>315</v>
      </c>
      <c r="AC38" t="s" s="17">
        <v>316</v>
      </c>
      <c r="AD38" t="s" s="22">
        <v>317</v>
      </c>
      <c r="AE38" t="s" s="23">
        <v>318</v>
      </c>
      <c r="AF38" t="s" s="17">
        <v>319</v>
      </c>
    </row>
    <row r="39" ht="18.9" customHeight="1">
      <c r="B39" t="str" s="15" cm="1">
        <f t="array" ref="B39">E39&amp;"_"&amp;G39&amp;"_"&amp;H39&amp;"_"&amp;J39&amp;"_"&amp;O39</f>
        <v>CAP_0.01uF_X5R_0603_50V</v>
      </c>
      <c r="C39" t="str" s="16" cm="1">
        <f t="array" ref="C39">$G39&amp;IF($E39="LED"," LED","")&amp;IF($N39="",""," ")&amp;$N39&amp;IF($H39="",""," ")&amp;$H39&amp;IF($O39="",""," ")&amp;$O39&amp;IF($P39="",""," ")&amp;$P39&amp;IF($Q39="",""," ")&amp;$Q39&amp;IF($T39="",""," ")&amp;$T39&amp;IF($T39="","","mcd")</f>
        <v>0.01uF 10% X5R 50V</v>
      </c>
      <c r="D39" t="str" s="16" cm="1">
        <f t="array" ref="D39">$G39&amp;" "&amp;E39&amp;IF($N39="",""," ")&amp;$N39&amp;IF($H39="",""," ")&amp;$H39&amp;IF($O39="",""," ")&amp;$O39&amp;IF($P39="",""," ")&amp;$P39&amp;IF($Q39="",""," ")&amp;$Q39&amp;IF($T39="",""," ")&amp;$T39&amp;IF($T39="","","mcd")</f>
        <v>0.01uF CAP 10% X5R 50V</v>
      </c>
      <c r="E39" t="s" s="17">
        <v>305</v>
      </c>
      <c r="F39" t="s" s="17">
        <v>5</v>
      </c>
      <c r="G39" t="s" s="17">
        <v>306</v>
      </c>
      <c r="H39" t="s" s="17">
        <v>323</v>
      </c>
      <c r="I39" t="s" s="18">
        <v>324</v>
      </c>
      <c r="J39" t="s" s="17">
        <v>309</v>
      </c>
      <c r="K39" s="17"/>
      <c r="L39" s="17"/>
      <c r="M39" s="17"/>
      <c r="N39" t="s" s="17">
        <v>310</v>
      </c>
      <c r="O39" t="s" s="17">
        <v>325</v>
      </c>
      <c r="P39" s="17"/>
      <c r="Q39" s="17"/>
      <c r="R39" s="17"/>
      <c r="S39" s="17"/>
      <c r="T39" s="17"/>
      <c r="U39" s="17"/>
      <c r="V39" s="19"/>
      <c r="W39" s="19"/>
      <c r="X39" t="s" s="17">
        <v>326</v>
      </c>
      <c r="Y39" t="str" s="20" cm="1">
        <f t="array" ref="Y39">IF(ISBLANK(X39),"",HYPERLINK("https://jlcpcb.com/partdetail/"&amp;$X39,$X39))</f>
        <v>C3910010</v>
      </c>
      <c r="Z39" s="27">
        <v>2</v>
      </c>
      <c r="AA39" t="s" s="17">
        <v>314</v>
      </c>
      <c r="AB39" t="s" s="25">
        <v>328</v>
      </c>
      <c r="AC39" t="s" s="17">
        <v>329</v>
      </c>
      <c r="AD39" t="s" s="22">
        <v>317</v>
      </c>
      <c r="AE39" t="s" s="23">
        <v>318</v>
      </c>
      <c r="AF39" t="s" s="17">
        <v>330</v>
      </c>
    </row>
    <row r="40" ht="20.8" customHeight="1">
      <c r="B40" t="str" s="15" cm="1">
        <f t="array" ref="B40">E40&amp;"_"&amp;G40&amp;"_"&amp;H40&amp;"_"&amp;J40&amp;"_"&amp;O40</f>
        <v>CAP_0.01uF_X7R_0603_50V</v>
      </c>
      <c r="C40" t="str" s="16" cm="1">
        <f t="array" ref="C40">$G40&amp;IF($E40="LED"," LED","")&amp;IF($N40="",""," ")&amp;$N40&amp;IF($H40="",""," ")&amp;$H40&amp;IF($O40="",""," ")&amp;$O40&amp;IF($P40="",""," ")&amp;$P40&amp;IF($Q40="",""," ")&amp;$Q40&amp;IF($T40="",""," ")&amp;$T40&amp;IF($T40="","","mcd")</f>
        <v>0.01uF 10% X7R 50V</v>
      </c>
      <c r="D40" t="str" s="16" cm="1">
        <f t="array" ref="D40">$G40&amp;" "&amp;E40&amp;IF($N40="",""," ")&amp;$N40&amp;IF($H40="",""," ")&amp;$H40&amp;IF($O40="",""," ")&amp;$O40&amp;IF($P40="",""," ")&amp;$P40&amp;IF($Q40="",""," ")&amp;$Q40&amp;IF($T40="",""," ")&amp;$T40&amp;IF($T40="","","mcd")</f>
        <v>0.01uF CAP 10% X7R 50V</v>
      </c>
      <c r="E40" t="s" s="17">
        <v>305</v>
      </c>
      <c r="F40" t="s" s="17">
        <v>5</v>
      </c>
      <c r="G40" t="s" s="17">
        <v>306</v>
      </c>
      <c r="H40" t="s" s="17">
        <v>307</v>
      </c>
      <c r="I40" t="s" s="18">
        <v>334</v>
      </c>
      <c r="J40" t="s" s="17">
        <v>309</v>
      </c>
      <c r="K40" s="17"/>
      <c r="L40" s="17"/>
      <c r="M40" s="17"/>
      <c r="N40" t="s" s="17">
        <v>310</v>
      </c>
      <c r="O40" t="s" s="17">
        <v>325</v>
      </c>
      <c r="P40" s="17"/>
      <c r="Q40" s="17"/>
      <c r="R40" s="17"/>
      <c r="S40" s="17"/>
      <c r="T40" s="17"/>
      <c r="U40" s="17"/>
      <c r="V40" s="19"/>
      <c r="W40" s="19"/>
      <c r="X40" t="s" s="17">
        <v>335</v>
      </c>
      <c r="Y40" t="str" s="20" cm="1">
        <f t="array" ref="Y40">IF(ISBLANK(X40),"",HYPERLINK("https://jlcpcb.com/partdetail/"&amp;$X40,$X40))</f>
        <v>C100042</v>
      </c>
      <c r="Z40" s="27">
        <v>3</v>
      </c>
      <c r="AA40" t="s" s="17">
        <v>187</v>
      </c>
      <c r="AB40" t="s" s="25">
        <v>315</v>
      </c>
      <c r="AC40" t="s" s="17">
        <v>337</v>
      </c>
      <c r="AD40" t="s" s="22">
        <v>317</v>
      </c>
      <c r="AE40" t="s" s="23">
        <v>318</v>
      </c>
      <c r="AF40" t="s" s="17">
        <v>338</v>
      </c>
    </row>
    <row r="41" ht="18.9" customHeight="1">
      <c r="B41" t="str" s="15" cm="1">
        <f t="array" ref="B41">E41&amp;"_"&amp;G41&amp;"_"&amp;H41&amp;"_"&amp;J41&amp;"_"&amp;O41</f>
        <v>CAP_0.1uF_X5R_0603_25V</v>
      </c>
      <c r="C41" t="str" s="16" cm="1">
        <f t="array" ref="C41">$G41&amp;IF($E41="LED"," LED","")&amp;IF($N41="",""," ")&amp;$N41&amp;IF($H41="",""," ")&amp;$H41&amp;IF($O41="",""," ")&amp;$O41&amp;IF($P41="",""," ")&amp;$P41&amp;IF($Q41="",""," ")&amp;$Q41&amp;IF($T41="",""," ")&amp;$T41&amp;IF($T41="","","mcd")</f>
        <v>0.1uF 10% X5R 25V</v>
      </c>
      <c r="D41" t="str" s="16" cm="1">
        <f t="array" ref="D41">$G41&amp;" "&amp;E41&amp;IF($N41="",""," ")&amp;$N41&amp;IF($H41="",""," ")&amp;$H41&amp;IF($O41="",""," ")&amp;$O41&amp;IF($P41="",""," ")&amp;$P41&amp;IF($Q41="",""," ")&amp;$Q41&amp;IF($T41="",""," ")&amp;$T41&amp;IF($T41="","","mcd")</f>
        <v>0.1uF CAP 10% X5R 25V</v>
      </c>
      <c r="E41" t="s" s="17">
        <v>305</v>
      </c>
      <c r="F41" t="s" s="17">
        <v>5</v>
      </c>
      <c r="G41" t="s" s="17">
        <v>342</v>
      </c>
      <c r="H41" t="s" s="17">
        <v>323</v>
      </c>
      <c r="I41" t="s" s="18">
        <v>343</v>
      </c>
      <c r="J41" t="s" s="17">
        <v>309</v>
      </c>
      <c r="K41" s="17"/>
      <c r="L41" s="17"/>
      <c r="M41" s="17"/>
      <c r="N41" t="s" s="17">
        <v>310</v>
      </c>
      <c r="O41" t="s" s="17">
        <v>311</v>
      </c>
      <c r="P41" s="17"/>
      <c r="Q41" s="17"/>
      <c r="R41" s="17"/>
      <c r="S41" s="17"/>
      <c r="T41" s="17"/>
      <c r="U41" s="17"/>
      <c r="V41" s="19"/>
      <c r="W41" s="19"/>
      <c r="X41" t="s" s="17">
        <v>344</v>
      </c>
      <c r="Y41" t="str" s="20" cm="1">
        <f t="array" ref="Y41">IF(ISBLANK(X41),"",HYPERLINK("https://jlcpcb.com/partdetail/"&amp;$X41,$X41))</f>
        <v>C3853265</v>
      </c>
      <c r="Z41" s="27">
        <v>1</v>
      </c>
      <c r="AA41" t="s" s="17">
        <v>314</v>
      </c>
      <c r="AB41" t="s" s="25">
        <v>328</v>
      </c>
      <c r="AC41" t="s" s="17">
        <v>346</v>
      </c>
      <c r="AD41" t="s" s="22">
        <v>317</v>
      </c>
      <c r="AE41" t="s" s="23">
        <v>318</v>
      </c>
      <c r="AF41" t="s" s="17">
        <v>330</v>
      </c>
    </row>
    <row r="42" ht="17.35" customHeight="1">
      <c r="B42" t="str" s="15" cm="1">
        <f t="array" ref="B42">E42&amp;"_"&amp;G42&amp;"_"&amp;H42&amp;"_"&amp;J42&amp;"_"&amp;O42</f>
        <v>CAP_0.1uF_X7R_0603_50V</v>
      </c>
      <c r="C42" t="str" s="16" cm="1">
        <f t="array" ref="C42">$G42&amp;IF($E42="LED"," LED","")&amp;IF($N42="",""," ")&amp;$N42&amp;IF($H42="",""," ")&amp;$H42&amp;IF($O42="",""," ")&amp;$O42&amp;IF($P42="",""," ")&amp;$P42&amp;IF($Q42="",""," ")&amp;$Q42&amp;IF($T42="",""," ")&amp;$T42&amp;IF($T42="","","mcd")</f>
        <v>0.1uF 10% X7R 50V</v>
      </c>
      <c r="D42" t="str" s="16" cm="1">
        <f t="array" ref="D42">$G42&amp;" "&amp;E42&amp;IF($N42="",""," ")&amp;$N42&amp;IF($H42="",""," ")&amp;$H42&amp;IF($O42="",""," ")&amp;$O42&amp;IF($P42="",""," ")&amp;$P42&amp;IF($Q42="",""," ")&amp;$Q42&amp;IF($T42="",""," ")&amp;$T42&amp;IF($T42="","","mcd")</f>
        <v>0.1uF CAP 10% X7R 50V</v>
      </c>
      <c r="E42" t="s" s="17">
        <v>305</v>
      </c>
      <c r="F42" t="s" s="17">
        <v>5</v>
      </c>
      <c r="G42" t="s" s="17">
        <v>342</v>
      </c>
      <c r="H42" t="s" s="17">
        <v>307</v>
      </c>
      <c r="I42" t="s" s="18">
        <v>350</v>
      </c>
      <c r="J42" t="s" s="17">
        <v>309</v>
      </c>
      <c r="K42" s="17"/>
      <c r="L42" s="17"/>
      <c r="M42" s="17"/>
      <c r="N42" t="s" s="17">
        <v>310</v>
      </c>
      <c r="O42" t="s" s="17">
        <v>325</v>
      </c>
      <c r="P42" s="17"/>
      <c r="Q42" s="17"/>
      <c r="R42" s="17"/>
      <c r="S42" s="17"/>
      <c r="T42" s="17"/>
      <c r="U42" s="17"/>
      <c r="V42" s="19"/>
      <c r="W42" s="19"/>
      <c r="X42" t="s" s="17">
        <v>351</v>
      </c>
      <c r="Y42" t="str" s="20" cm="1">
        <f t="array" ref="Y42">IF(ISBLANK(X42),"",HYPERLINK("https://jlcpcb.com/partdetail/"&amp;$X42,$X42))</f>
        <v>C14663</v>
      </c>
      <c r="Z42" s="27">
        <v>2</v>
      </c>
      <c r="AA42" t="s" s="17">
        <v>187</v>
      </c>
      <c r="AB42" t="s" s="25">
        <v>315</v>
      </c>
      <c r="AC42" t="s" s="17">
        <v>353</v>
      </c>
      <c r="AD42" t="s" s="22">
        <v>317</v>
      </c>
      <c r="AE42" t="s" s="23">
        <v>318</v>
      </c>
      <c r="AF42" t="s" s="17">
        <v>354</v>
      </c>
    </row>
    <row r="43" ht="18.9" customHeight="1">
      <c r="B43" t="str" s="15" cm="1">
        <f t="array" ref="B43">E43&amp;"_"&amp;G43&amp;"_"&amp;H43&amp;"_"&amp;J43&amp;"_"&amp;O43</f>
        <v>CAP_1uF_X5R_0603_25V</v>
      </c>
      <c r="C43" t="str" s="16" cm="1">
        <f t="array" ref="C43">$G43&amp;IF($E43="LED"," LED","")&amp;IF($N43="",""," ")&amp;$N43&amp;IF($H43="",""," ")&amp;$H43&amp;IF($O43="",""," ")&amp;$O43&amp;IF($P43="",""," ")&amp;$P43&amp;IF($Q43="",""," ")&amp;$Q43&amp;IF($T43="",""," ")&amp;$T43&amp;IF($T43="","","mcd")</f>
        <v>1uF 10% X5R 25V</v>
      </c>
      <c r="D43" t="str" s="16" cm="1">
        <f t="array" ref="D43">$G43&amp;" "&amp;E43&amp;IF($N43="",""," ")&amp;$N43&amp;IF($H43="",""," ")&amp;$H43&amp;IF($O43="",""," ")&amp;$O43&amp;IF($P43="",""," ")&amp;$P43&amp;IF($Q43="",""," ")&amp;$Q43&amp;IF($T43="",""," ")&amp;$T43&amp;IF($T43="","","mcd")</f>
        <v>1uF CAP 10% X5R 25V</v>
      </c>
      <c r="E43" t="s" s="17">
        <v>305</v>
      </c>
      <c r="F43" t="s" s="17">
        <v>5</v>
      </c>
      <c r="G43" t="s" s="17">
        <v>358</v>
      </c>
      <c r="H43" t="s" s="17">
        <v>323</v>
      </c>
      <c r="I43" t="s" s="18">
        <v>359</v>
      </c>
      <c r="J43" t="s" s="17">
        <v>309</v>
      </c>
      <c r="K43" s="17"/>
      <c r="L43" s="17"/>
      <c r="M43" s="17"/>
      <c r="N43" t="s" s="17">
        <v>310</v>
      </c>
      <c r="O43" t="s" s="17">
        <v>311</v>
      </c>
      <c r="P43" s="17"/>
      <c r="Q43" s="17"/>
      <c r="R43" s="17"/>
      <c r="S43" s="17"/>
      <c r="T43" s="17"/>
      <c r="U43" s="17"/>
      <c r="V43" s="19"/>
      <c r="W43" s="19"/>
      <c r="X43" t="s" s="17">
        <v>360</v>
      </c>
      <c r="Y43" t="str" s="20" cm="1">
        <f t="array" ref="Y43">IF(ISBLANK(X43),"",HYPERLINK("https://jlcpcb.com/partdetail/"&amp;$X43,$X43))</f>
        <v>C2169859</v>
      </c>
      <c r="Z43" s="27">
        <v>1</v>
      </c>
      <c r="AA43" t="s" s="17">
        <v>314</v>
      </c>
      <c r="AB43" t="s" s="25">
        <v>362</v>
      </c>
      <c r="AC43" t="s" s="17">
        <v>363</v>
      </c>
      <c r="AD43" t="s" s="22">
        <v>317</v>
      </c>
      <c r="AE43" t="s" s="23">
        <v>318</v>
      </c>
      <c r="AF43" t="s" s="17">
        <v>364</v>
      </c>
    </row>
    <row r="44" ht="19.5" customHeight="1">
      <c r="B44" t="str" s="15" cm="1">
        <f t="array" ref="B44">E44&amp;"_"&amp;G44&amp;"_"&amp;H44&amp;"_"&amp;J44&amp;"_"&amp;O44</f>
        <v>CAP_1uF_X5R_0603_50V</v>
      </c>
      <c r="C44" t="str" s="16" cm="1">
        <f t="array" ref="C44">$G44&amp;IF($E44="LED"," LED","")&amp;IF($N44="",""," ")&amp;$N44&amp;IF($H44="",""," ")&amp;$H44&amp;IF($O44="",""," ")&amp;$O44&amp;IF($P44="",""," ")&amp;$P44&amp;IF($Q44="",""," ")&amp;$Q44&amp;IF($T44="",""," ")&amp;$T44&amp;IF($T44="","","mcd")</f>
        <v>1uF 10% X5R 50V</v>
      </c>
      <c r="D44" t="str" s="16" cm="1">
        <f t="array" ref="D44">$G44&amp;" "&amp;E44&amp;IF($N44="",""," ")&amp;$N44&amp;IF($H44="",""," ")&amp;$H44&amp;IF($O44="",""," ")&amp;$O44&amp;IF($P44="",""," ")&amp;$P44&amp;IF($Q44="",""," ")&amp;$Q44&amp;IF($T44="",""," ")&amp;$T44&amp;IF($T44="","","mcd")</f>
        <v>1uF CAP 10% X5R 50V</v>
      </c>
      <c r="E44" t="s" s="17">
        <v>305</v>
      </c>
      <c r="F44" t="s" s="17">
        <v>5</v>
      </c>
      <c r="G44" t="s" s="17">
        <v>358</v>
      </c>
      <c r="H44" t="s" s="17">
        <v>323</v>
      </c>
      <c r="I44" t="s" s="18">
        <v>368</v>
      </c>
      <c r="J44" t="s" s="17">
        <v>309</v>
      </c>
      <c r="K44" s="17"/>
      <c r="L44" s="17"/>
      <c r="M44" s="17"/>
      <c r="N44" t="s" s="17">
        <v>310</v>
      </c>
      <c r="O44" t="s" s="17">
        <v>325</v>
      </c>
      <c r="P44" s="17"/>
      <c r="Q44" s="17"/>
      <c r="R44" s="17"/>
      <c r="S44" s="17"/>
      <c r="T44" s="17"/>
      <c r="U44" s="17"/>
      <c r="V44" s="19"/>
      <c r="W44" s="19"/>
      <c r="X44" t="s" s="17">
        <v>369</v>
      </c>
      <c r="Y44" t="str" s="20" cm="1">
        <f t="array" ref="Y44">IF(ISBLANK(X44),"",HYPERLINK("https://jlcpcb.com/partdetail/"&amp;$X44,$X44))</f>
        <v>C15849</v>
      </c>
      <c r="Z44" s="27">
        <v>2</v>
      </c>
      <c r="AA44" t="s" s="17">
        <v>187</v>
      </c>
      <c r="AB44" t="s" s="25">
        <v>371</v>
      </c>
      <c r="AC44" t="s" s="17">
        <v>372</v>
      </c>
      <c r="AD44" t="s" s="22">
        <v>317</v>
      </c>
      <c r="AE44" t="s" s="23">
        <v>318</v>
      </c>
      <c r="AF44" t="s" s="17">
        <v>373</v>
      </c>
    </row>
    <row r="45" ht="19.5" customHeight="1">
      <c r="B45" t="str" s="15" cm="1">
        <f t="array" ref="B45">E45&amp;"_"&amp;G45&amp;"_"&amp;H45&amp;"_"&amp;J45&amp;"_"&amp;O45</f>
        <v>CAP_10uF_X5R_1206_50V</v>
      </c>
      <c r="C45" t="str" s="16" cm="1">
        <f t="array" ref="C45">$G45&amp;IF($E45="LED"," LED","")&amp;IF($N45="",""," ")&amp;$N45&amp;IF($H45="",""," ")&amp;$H45&amp;IF($O45="",""," ")&amp;$O45&amp;IF($P45="",""," ")&amp;$P45&amp;IF($Q45="",""," ")&amp;$Q45&amp;IF($T45="",""," ")&amp;$T45&amp;IF($T45="","","mcd")</f>
        <v>10uF 10% X5R 50V</v>
      </c>
      <c r="D45" t="str" s="16" cm="1">
        <f t="array" ref="D45">$G45&amp;" "&amp;E45&amp;IF($N45="",""," ")&amp;$N45&amp;IF($H45="",""," ")&amp;$H45&amp;IF($O45="",""," ")&amp;$O45&amp;IF($P45="",""," ")&amp;$P45&amp;IF($Q45="",""," ")&amp;$Q45&amp;IF($T45="",""," ")&amp;$T45&amp;IF($T45="","","mcd")</f>
        <v>10uF CAP 10% X5R 50V</v>
      </c>
      <c r="E45" t="s" s="17">
        <v>305</v>
      </c>
      <c r="F45" t="s" s="17">
        <v>5</v>
      </c>
      <c r="G45" t="s" s="17">
        <v>377</v>
      </c>
      <c r="H45" t="s" s="17">
        <v>323</v>
      </c>
      <c r="I45" t="s" s="18">
        <v>378</v>
      </c>
      <c r="J45" t="s" s="17">
        <v>379</v>
      </c>
      <c r="K45" s="17"/>
      <c r="L45" s="17"/>
      <c r="M45" s="17"/>
      <c r="N45" t="s" s="17">
        <v>310</v>
      </c>
      <c r="O45" t="s" s="17">
        <v>325</v>
      </c>
      <c r="P45" s="17"/>
      <c r="Q45" s="17"/>
      <c r="R45" s="17"/>
      <c r="S45" s="17"/>
      <c r="T45" s="17"/>
      <c r="U45" s="17"/>
      <c r="V45" s="19"/>
      <c r="W45" s="19"/>
      <c r="X45" t="s" s="17">
        <v>380</v>
      </c>
      <c r="Y45" t="str" s="20" cm="1">
        <f t="array" ref="Y45">IF(ISBLANK(X45),"",HYPERLINK("https://jlcpcb.com/partdetail/"&amp;$X45,$X45))</f>
        <v>C13585</v>
      </c>
      <c r="Z45" s="27">
        <v>1</v>
      </c>
      <c r="AA45" t="s" s="17">
        <v>187</v>
      </c>
      <c r="AB45" t="s" s="25">
        <v>371</v>
      </c>
      <c r="AC45" t="s" s="17">
        <v>382</v>
      </c>
      <c r="AD45" t="s" s="22">
        <v>317</v>
      </c>
      <c r="AE45" t="s" s="23">
        <v>383</v>
      </c>
      <c r="AF45" t="s" s="17">
        <v>384</v>
      </c>
    </row>
    <row r="46" ht="19.5" customHeight="1">
      <c r="B46" t="str" s="15" cm="1">
        <f t="array" ref="B46">E46&amp;"_"&amp;G46&amp;"_"&amp;H46&amp;"_"&amp;J46</f>
        <v>CAP_220uF_Electrolytic_8x10</v>
      </c>
      <c r="C46" t="str" s="16" cm="1">
        <f t="array" ref="C46">$G46&amp;IF($E46="LED"," LED","")&amp;IF($N46="",""," ")&amp;$N46&amp;IF($H46="",""," ")&amp;$H46&amp;IF($O46="",""," ")&amp;$O46&amp;IF($P46="",""," ")&amp;$P46&amp;IF($Q46="",""," ")&amp;$Q46&amp;IF($T46="",""," ")&amp;$T46&amp;IF($T46="","","mcd")</f>
        <v>220uF 20% Electrolytic 35V</v>
      </c>
      <c r="D46" t="str" s="16" cm="1">
        <f t="array" ref="D46">$G46&amp;" "&amp;E46&amp;IF($N46="",""," ")&amp;$N46&amp;IF($H46="",""," ")&amp;$H46&amp;IF($O46="",""," ")&amp;$O46&amp;IF($P46="",""," ")&amp;$P46&amp;IF($Q46="",""," ")&amp;$Q46&amp;IF($T46="",""," ")&amp;$T46&amp;IF($T46="","","mcd")</f>
        <v>220uF CAP 20% Electrolytic 35V</v>
      </c>
      <c r="E46" t="s" s="17">
        <v>305</v>
      </c>
      <c r="F46" t="s" s="17">
        <v>5</v>
      </c>
      <c r="G46" t="s" s="17">
        <v>388</v>
      </c>
      <c r="H46" t="s" s="17">
        <v>389</v>
      </c>
      <c r="I46" t="s" s="18">
        <v>390</v>
      </c>
      <c r="J46" t="s" s="17">
        <v>391</v>
      </c>
      <c r="K46" s="17"/>
      <c r="L46" s="17"/>
      <c r="M46" s="17"/>
      <c r="N46" t="s" s="17">
        <v>392</v>
      </c>
      <c r="O46" t="s" s="17">
        <v>393</v>
      </c>
      <c r="P46" s="17"/>
      <c r="Q46" s="17"/>
      <c r="R46" s="17"/>
      <c r="S46" s="17"/>
      <c r="T46" s="17"/>
      <c r="U46" s="17"/>
      <c r="V46" s="19"/>
      <c r="W46" s="19"/>
      <c r="X46" t="s" s="17">
        <v>394</v>
      </c>
      <c r="Y46" t="str" s="20" cm="1">
        <f t="array" ref="Y46">IF(ISBLANK(X46),"",HYPERLINK("https://jlcpcb.com/partdetail/"&amp;$X46,$X46))</f>
        <v>C136294</v>
      </c>
      <c r="Z46" s="27">
        <v>1</v>
      </c>
      <c r="AA46" t="s" s="17">
        <v>187</v>
      </c>
      <c r="AB46" t="s" s="25">
        <v>396</v>
      </c>
      <c r="AC46" t="s" s="17">
        <v>397</v>
      </c>
      <c r="AD46" t="s" s="22">
        <v>398</v>
      </c>
      <c r="AE46" t="s" s="23">
        <v>399</v>
      </c>
      <c r="AF46" t="s" s="17">
        <v>400</v>
      </c>
    </row>
    <row r="47" ht="19.5" customHeight="1">
      <c r="B47" t="str" s="15" cm="1">
        <f t="array" ref="B47">E47&amp;"_"&amp;G47&amp;"_"&amp;H47&amp;"_"&amp;J47</f>
        <v>CAP_1000uF_Electrolytic_8x11.5</v>
      </c>
      <c r="C47" t="str" s="16" cm="1">
        <f t="array" ref="C47">$G47&amp;IF($E47="LED"," LED","")&amp;IF($N47="",""," ")&amp;$N47&amp;IF($H47="",""," ")&amp;$H47&amp;IF($O47="",""," ")&amp;$O47&amp;IF($P47="",""," ")&amp;$P47&amp;IF($Q47="",""," ")&amp;$Q47&amp;IF($T47="",""," ")&amp;$T47&amp;IF($T47="","","mcd")</f>
        <v>1000uF 20% Electrolytic 6.3V</v>
      </c>
      <c r="D47" t="str" s="16" cm="1">
        <f t="array" ref="D47">$G47&amp;" "&amp;E47&amp;IF($N47="",""," ")&amp;$N47&amp;IF($H47="",""," ")&amp;$H47&amp;IF($O47="",""," ")&amp;$O47&amp;IF($P47="",""," ")&amp;$P47&amp;IF($Q47="",""," ")&amp;$Q47&amp;IF($T47="",""," ")&amp;$T47&amp;IF($T47="","","mcd")</f>
        <v>1000uF CAP 20% Electrolytic 6.3V</v>
      </c>
      <c r="E47" t="s" s="17">
        <v>305</v>
      </c>
      <c r="F47" t="s" s="17">
        <v>178</v>
      </c>
      <c r="G47" t="s" s="17">
        <v>404</v>
      </c>
      <c r="H47" t="s" s="17">
        <v>389</v>
      </c>
      <c r="I47" t="s" s="18">
        <v>405</v>
      </c>
      <c r="J47" t="s" s="17">
        <v>406</v>
      </c>
      <c r="K47" s="17"/>
      <c r="L47" s="17"/>
      <c r="M47" s="17"/>
      <c r="N47" t="s" s="17">
        <v>392</v>
      </c>
      <c r="O47" t="s" s="17">
        <v>407</v>
      </c>
      <c r="P47" s="17"/>
      <c r="Q47" s="17"/>
      <c r="R47" s="17"/>
      <c r="S47" s="17"/>
      <c r="T47" s="17"/>
      <c r="U47" s="17"/>
      <c r="V47" t="s" s="17">
        <v>408</v>
      </c>
      <c r="W47" t="s" s="17">
        <v>409</v>
      </c>
      <c r="X47" s="19"/>
      <c r="Y47" t="str" s="20" cm="1">
        <f t="array" ref="Y47">IF(ISBLANK(X47),"",HYPERLINK("https://jlcpcb.com/partdetail/"&amp;$X47,$X47))</f>
      </c>
      <c r="Z47" s="27">
        <v>2</v>
      </c>
      <c r="AA47" s="19"/>
      <c r="AB47" s="15"/>
      <c r="AC47" s="19"/>
      <c r="AD47" t="s" s="22">
        <v>398</v>
      </c>
      <c r="AE47" s="28"/>
      <c r="AF47" s="19"/>
    </row>
    <row r="48" ht="19.5" customHeight="1">
      <c r="B48" t="str" s="15" cm="1">
        <f t="array" ref="B48">E48&amp;"_"&amp;G48&amp;"_"&amp;H48&amp;"_"&amp;J48</f>
        <v>CAP_1000uF_Electrolytic_10x10.2</v>
      </c>
      <c r="C48" t="str" s="16" cm="1">
        <f t="array" ref="C48">$G48&amp;IF($E48="LED"," LED","")&amp;IF($N48="",""," ")&amp;$N48&amp;IF($H48="",""," ")&amp;$H48&amp;IF($O48="",""," ")&amp;$O48&amp;IF($P48="",""," ")&amp;$P48&amp;IF($Q48="",""," ")&amp;$Q48&amp;IF($T48="",""," ")&amp;$T48&amp;IF($T48="","","mcd")</f>
        <v>1000uF 20% Electrolytic 16V</v>
      </c>
      <c r="D48" t="str" s="16" cm="1">
        <f t="array" ref="D48">$G48&amp;" "&amp;E48&amp;IF($N48="",""," ")&amp;$N48&amp;IF($H48="",""," ")&amp;$H48&amp;IF($O48="",""," ")&amp;$O48&amp;IF($P48="",""," ")&amp;$P48&amp;IF($Q48="",""," ")&amp;$Q48&amp;IF($T48="",""," ")&amp;$T48&amp;IF($T48="","","mcd")</f>
        <v>1000uF CAP 20% Electrolytic 16V</v>
      </c>
      <c r="E48" t="s" s="17">
        <v>305</v>
      </c>
      <c r="F48" t="s" s="17">
        <v>5</v>
      </c>
      <c r="G48" t="s" s="17">
        <v>404</v>
      </c>
      <c r="H48" t="s" s="17">
        <v>389</v>
      </c>
      <c r="I48" t="s" s="18">
        <v>413</v>
      </c>
      <c r="J48" t="s" s="17">
        <v>414</v>
      </c>
      <c r="K48" s="17"/>
      <c r="L48" s="17"/>
      <c r="M48" s="17"/>
      <c r="N48" t="s" s="17">
        <v>392</v>
      </c>
      <c r="O48" t="s" s="17">
        <v>415</v>
      </c>
      <c r="P48" s="17"/>
      <c r="Q48" s="17"/>
      <c r="R48" s="17"/>
      <c r="S48" s="17"/>
      <c r="T48" s="17"/>
      <c r="U48" s="17"/>
      <c r="V48" s="29"/>
      <c r="W48" s="29"/>
      <c r="X48" t="s" s="30">
        <v>416</v>
      </c>
      <c r="Y48" t="str" s="20" cm="1">
        <f t="array" ref="Y48">IF(ISBLANK(X48),"",HYPERLINK("https://jlcpcb.com/partdetail/"&amp;$X48,$X48))</f>
        <v>C970714</v>
      </c>
      <c r="Z48" s="27">
        <v>1</v>
      </c>
      <c r="AA48" t="s" s="17">
        <v>187</v>
      </c>
      <c r="AB48" t="s" s="25">
        <v>418</v>
      </c>
      <c r="AC48" t="s" s="30">
        <v>419</v>
      </c>
      <c r="AD48" t="s" s="22">
        <v>398</v>
      </c>
      <c r="AE48" t="s" s="23">
        <v>420</v>
      </c>
      <c r="AF48" t="s" s="17">
        <v>421</v>
      </c>
    </row>
    <row r="49" ht="17.9" customHeight="1">
      <c r="B49" t="str" s="15" cm="1">
        <f t="array" ref="B49">E49&amp;"_"&amp;G49&amp;"_"&amp;J49</f>
        <v>DIO_4.7V_SOD-323</v>
      </c>
      <c r="C49" t="str" s="16" cm="1">
        <f t="array" ref="C49">$G49&amp;IF($E49="LED"," LED","")&amp;IF($N49="",""," ")&amp;$N49&amp;IF($H49="",""," ")&amp;$H49&amp;IF($O49="",""," ")&amp;$O49&amp;IF($P49="",""," ")&amp;$P49&amp;IF($Q49="",""," ")&amp;$Q49&amp;IF($T49="",""," ")&amp;$T49&amp;IF($T49="","","mcd")</f>
        <v>4.7V zener 43V 5mA 200mW</v>
      </c>
      <c r="D49" t="str" s="16" cm="1">
        <f t="array" ref="D49">$G49&amp;" "&amp;E49&amp;IF($N49="",""," ")&amp;$N49&amp;IF($H49="",""," ")&amp;$H49&amp;IF($O49="",""," ")&amp;$O49&amp;IF($P49="",""," ")&amp;$P49&amp;IF($Q49="",""," ")&amp;$Q49&amp;IF($T49="",""," ")&amp;$T49&amp;IF($T49="","","mcd")</f>
        <v>4.7V DIO zener 43V 5mA 200mW</v>
      </c>
      <c r="E49" t="s" s="17">
        <v>425</v>
      </c>
      <c r="F49" t="s" s="17">
        <v>5</v>
      </c>
      <c r="G49" t="s" s="17">
        <v>426</v>
      </c>
      <c r="H49" t="s" s="17">
        <v>427</v>
      </c>
      <c r="I49" t="s" s="31">
        <v>428</v>
      </c>
      <c r="J49" t="s" s="32">
        <v>429</v>
      </c>
      <c r="K49" s="17"/>
      <c r="L49" s="17"/>
      <c r="M49" s="17"/>
      <c r="N49" s="17"/>
      <c r="O49" t="s" s="17">
        <v>430</v>
      </c>
      <c r="P49" t="s" s="17">
        <v>431</v>
      </c>
      <c r="Q49" t="s" s="17">
        <v>432</v>
      </c>
      <c r="R49" s="17"/>
      <c r="S49" s="17"/>
      <c r="T49" s="17"/>
      <c r="U49" s="17"/>
      <c r="V49" s="33"/>
      <c r="W49" s="33"/>
      <c r="X49" t="s" s="32">
        <v>433</v>
      </c>
      <c r="Y49" t="str" s="20" cm="1">
        <f t="array" ref="Y49">IF(ISBLANK(X49),"",HYPERLINK("https://jlcpcb.com/partdetail/"&amp;$X49,$X49))</f>
        <v>C353517</v>
      </c>
      <c r="Z49" s="27">
        <v>5</v>
      </c>
      <c r="AA49" t="s" s="17">
        <v>187</v>
      </c>
      <c r="AB49" t="s" s="34">
        <v>435</v>
      </c>
      <c r="AC49" t="s" s="32">
        <v>436</v>
      </c>
      <c r="AD49" t="s" s="25">
        <v>437</v>
      </c>
      <c r="AE49" t="s" s="26">
        <v>438</v>
      </c>
      <c r="AF49" t="s" s="17">
        <v>439</v>
      </c>
    </row>
    <row r="50" ht="17.9" customHeight="1">
      <c r="B50" t="str" s="15" cm="1">
        <f t="array" ref="B50">E50&amp;"_"&amp;G50&amp;"_"&amp;J50</f>
        <v>DIO_BAT54_SOT-23</v>
      </c>
      <c r="C50" t="str" s="16" cm="1">
        <f t="array" ref="C50">$G50&amp;IF($E50="LED"," LED","")&amp;IF($N50="",""," ")&amp;$N50&amp;IF($H50="",""," ")&amp;$H50&amp;IF($O50="",""," ")&amp;$O50&amp;IF($P50="",""," ")&amp;$P50&amp;IF($Q50="",""," ")&amp;$Q50&amp;IF($T50="",""," ")&amp;$T50&amp;IF($T50="","","mcd")</f>
        <v>BAT54 single Schottkey 30V</v>
      </c>
      <c r="D50" t="str" s="16" cm="1">
        <f t="array" ref="D50">$G50&amp;" "&amp;E50&amp;IF($N50="",""," ")&amp;$N50&amp;IF($H50="",""," ")&amp;$H50&amp;IF($O50="",""," ")&amp;$O50&amp;IF($P50="",""," ")&amp;$P50&amp;IF($Q50="",""," ")&amp;$Q50&amp;IF($T50="",""," ")&amp;$T50&amp;IF($T50="","","mcd")</f>
        <v>BAT54 DIO single Schottkey 30V</v>
      </c>
      <c r="E50" t="s" s="17">
        <v>425</v>
      </c>
      <c r="F50" t="s" s="17">
        <v>5</v>
      </c>
      <c r="G50" t="s" s="17">
        <v>443</v>
      </c>
      <c r="H50" t="s" s="17">
        <v>444</v>
      </c>
      <c r="I50" t="s" s="35">
        <v>445</v>
      </c>
      <c r="J50" t="s" s="17">
        <v>446</v>
      </c>
      <c r="K50" s="17"/>
      <c r="L50" s="17"/>
      <c r="M50" s="17"/>
      <c r="N50" s="17"/>
      <c r="O50" t="s" s="17">
        <v>447</v>
      </c>
      <c r="P50" s="17"/>
      <c r="Q50" s="17"/>
      <c r="R50" s="17"/>
      <c r="S50" s="17"/>
      <c r="T50" s="17"/>
      <c r="U50" s="17"/>
      <c r="V50" s="33"/>
      <c r="W50" s="33"/>
      <c r="X50" t="s" s="32">
        <v>448</v>
      </c>
      <c r="Y50" t="str" s="20" cm="1">
        <f t="array" ref="Y50">IF(ISBLANK(X50),"",HYPERLINK("https://jlcpcb.com/partdetail/"&amp;$X50,$X50))</f>
        <v>C5261070</v>
      </c>
      <c r="Z50" s="27">
        <v>5</v>
      </c>
      <c r="AA50" t="s" s="17">
        <v>187</v>
      </c>
      <c r="AB50" t="s" s="25">
        <v>450</v>
      </c>
      <c r="AC50" t="s" s="17">
        <v>443</v>
      </c>
      <c r="AD50" t="s" s="36">
        <v>451</v>
      </c>
      <c r="AE50" t="s" s="37">
        <v>452</v>
      </c>
      <c r="AF50" t="s" s="17">
        <v>453</v>
      </c>
    </row>
    <row r="51" ht="17.9" customHeight="1">
      <c r="B51" t="str" s="15" cm="1">
        <f t="array" ref="B51">E51&amp;"_"&amp;G51&amp;"_"&amp;J51</f>
        <v>DIO_BAT54A_SOT-23</v>
      </c>
      <c r="C51" t="str" s="16" cm="1">
        <f t="array" ref="C51">$G51&amp;IF($E51="LED"," LED","")&amp;IF($N51="",""," ")&amp;$N51&amp;IF($H51="",""," ")&amp;$H51&amp;IF($O51="",""," ")&amp;$O51&amp;IF($P51="",""," ")&amp;$P51&amp;IF($Q51="",""," ")&amp;$Q51&amp;IF($T51="",""," ")&amp;$T51&amp;IF($T51="","","mcd")</f>
        <v>BAT54A dual Schottkey common anode 30V</v>
      </c>
      <c r="D51" t="str" s="16" cm="1">
        <f t="array" ref="D51">$G51&amp;" "&amp;E51&amp;IF($N51="",""," ")&amp;$N51&amp;IF($H51="",""," ")&amp;$H51&amp;IF($O51="",""," ")&amp;$O51&amp;IF($P51="",""," ")&amp;$P51&amp;IF($Q51="",""," ")&amp;$Q51&amp;IF($T51="",""," ")&amp;$T51&amp;IF($T51="","","mcd")</f>
        <v>BAT54A DIO dual Schottkey common anode 30V</v>
      </c>
      <c r="E51" t="s" s="17">
        <v>425</v>
      </c>
      <c r="F51" t="s" s="17">
        <v>5</v>
      </c>
      <c r="G51" t="s" s="17">
        <v>457</v>
      </c>
      <c r="H51" t="s" s="17">
        <v>458</v>
      </c>
      <c r="I51" t="s" s="35">
        <v>459</v>
      </c>
      <c r="J51" t="s" s="17">
        <v>446</v>
      </c>
      <c r="K51" s="17"/>
      <c r="L51" s="17"/>
      <c r="M51" s="17"/>
      <c r="N51" s="17"/>
      <c r="O51" t="s" s="17">
        <v>447</v>
      </c>
      <c r="P51" s="17"/>
      <c r="Q51" s="17"/>
      <c r="R51" s="17"/>
      <c r="S51" s="17"/>
      <c r="T51" s="17"/>
      <c r="U51" s="17"/>
      <c r="V51" s="33"/>
      <c r="W51" s="33"/>
      <c r="X51" t="s" s="32">
        <v>460</v>
      </c>
      <c r="Y51" t="str" s="20" cm="1">
        <f t="array" ref="Y51">IF(ISBLANK(X51),"",HYPERLINK("https://jlcpcb.com/partdetail/"&amp;$X51,$X51))</f>
        <v>C2926172</v>
      </c>
      <c r="Z51" s="27">
        <v>5</v>
      </c>
      <c r="AA51" t="s" s="17">
        <v>187</v>
      </c>
      <c r="AB51" t="s" s="25">
        <v>462</v>
      </c>
      <c r="AC51" t="s" s="17">
        <v>457</v>
      </c>
      <c r="AD51" t="s" s="36">
        <v>463</v>
      </c>
      <c r="AE51" t="s" s="37">
        <v>452</v>
      </c>
      <c r="AF51" t="s" s="17">
        <v>464</v>
      </c>
    </row>
    <row r="52" ht="17.9" customHeight="1">
      <c r="B52" t="str" s="15" cm="1">
        <f t="array" ref="B52">E52&amp;"_"&amp;G52&amp;"_"&amp;J52</f>
        <v>DIO_BAT54S_SOT-23</v>
      </c>
      <c r="C52" t="str" s="16" cm="1">
        <f t="array" ref="C52">$G52&amp;IF($E52="LED"," LED","")&amp;IF($N52="",""," ")&amp;$N52&amp;IF($H52="",""," ")&amp;$H52&amp;IF($O52="",""," ")&amp;$O52&amp;IF($P52="",""," ")&amp;$P52&amp;IF($Q52="",""," ")&amp;$Q52&amp;IF($T52="",""," ")&amp;$T52&amp;IF($T52="","","mcd")</f>
        <v>BAT54S dual Schottkey series 30V</v>
      </c>
      <c r="D52" t="str" s="16" cm="1">
        <f t="array" ref="D52">$G52&amp;" "&amp;E52&amp;IF($N52="",""," ")&amp;$N52&amp;IF($H52="",""," ")&amp;$H52&amp;IF($O52="",""," ")&amp;$O52&amp;IF($P52="",""," ")&amp;$P52&amp;IF($Q52="",""," ")&amp;$Q52&amp;IF($T52="",""," ")&amp;$T52&amp;IF($T52="","","mcd")</f>
        <v>BAT54S DIO dual Schottkey series 30V</v>
      </c>
      <c r="E52" t="s" s="17">
        <v>425</v>
      </c>
      <c r="F52" t="s" s="17">
        <v>5</v>
      </c>
      <c r="G52" t="s" s="17">
        <v>468</v>
      </c>
      <c r="H52" t="s" s="17">
        <v>469</v>
      </c>
      <c r="I52" t="s" s="35">
        <v>470</v>
      </c>
      <c r="J52" t="s" s="17">
        <v>446</v>
      </c>
      <c r="K52" s="17"/>
      <c r="L52" s="17"/>
      <c r="M52" s="17"/>
      <c r="N52" s="17"/>
      <c r="O52" t="s" s="17">
        <v>447</v>
      </c>
      <c r="P52" s="17"/>
      <c r="Q52" s="17"/>
      <c r="R52" s="17"/>
      <c r="S52" s="17"/>
      <c r="T52" s="17"/>
      <c r="U52" s="17"/>
      <c r="V52" s="33"/>
      <c r="W52" s="33"/>
      <c r="X52" t="s" s="32">
        <v>471</v>
      </c>
      <c r="Y52" t="str" s="20" cm="1">
        <f t="array" ref="Y52">IF(ISBLANK(X52),"",HYPERLINK("https://jlcpcb.com/partdetail/"&amp;$X52,$X52))</f>
        <v>C2926174</v>
      </c>
      <c r="Z52" s="27">
        <v>5</v>
      </c>
      <c r="AA52" t="s" s="17">
        <v>187</v>
      </c>
      <c r="AB52" t="s" s="25">
        <v>462</v>
      </c>
      <c r="AC52" t="s" s="17">
        <v>468</v>
      </c>
      <c r="AD52" t="s" s="36">
        <v>473</v>
      </c>
      <c r="AE52" t="s" s="37">
        <v>452</v>
      </c>
      <c r="AF52" t="s" s="17">
        <v>474</v>
      </c>
    </row>
    <row r="53" ht="17.9" customHeight="1">
      <c r="B53" t="str" s="15" cm="1">
        <f t="array" ref="B53">E53&amp;"_"&amp;G53&amp;"_"&amp;J53</f>
        <v>DIO_BAT54C_SOT-23</v>
      </c>
      <c r="C53" t="str" s="16" cm="1">
        <f t="array" ref="C53">$G53&amp;IF($E53="LED"," LED","")&amp;IF($N53="",""," ")&amp;$N53&amp;IF($H53="",""," ")&amp;$H53&amp;IF($O53="",""," ")&amp;$O53&amp;IF($P53="",""," ")&amp;$P53&amp;IF($Q53="",""," ")&amp;$Q53&amp;IF($T53="",""," ")&amp;$T53&amp;IF($T53="","","mcd")</f>
        <v>BAT54C dual Schottkey common cathode 30V</v>
      </c>
      <c r="D53" t="str" s="16" cm="1">
        <f t="array" ref="D53">$G53&amp;" "&amp;E53&amp;IF($N53="",""," ")&amp;$N53&amp;IF($H53="",""," ")&amp;$H53&amp;IF($O53="",""," ")&amp;$O53&amp;IF($P53="",""," ")&amp;$P53&amp;IF($Q53="",""," ")&amp;$Q53&amp;IF($T53="",""," ")&amp;$T53&amp;IF($T53="","","mcd")</f>
        <v>BAT54C DIO dual Schottkey common cathode 30V</v>
      </c>
      <c r="E53" t="s" s="17">
        <v>425</v>
      </c>
      <c r="F53" t="s" s="17">
        <v>5</v>
      </c>
      <c r="G53" t="s" s="17">
        <v>478</v>
      </c>
      <c r="H53" t="s" s="17">
        <v>479</v>
      </c>
      <c r="I53" t="s" s="18">
        <v>480</v>
      </c>
      <c r="J53" t="s" s="17">
        <v>446</v>
      </c>
      <c r="K53" s="17"/>
      <c r="L53" s="17"/>
      <c r="M53" s="17"/>
      <c r="N53" s="17"/>
      <c r="O53" t="s" s="17">
        <v>447</v>
      </c>
      <c r="P53" s="17"/>
      <c r="Q53" s="17"/>
      <c r="R53" s="17"/>
      <c r="S53" s="17"/>
      <c r="T53" s="17"/>
      <c r="U53" s="17"/>
      <c r="V53" s="24"/>
      <c r="W53" s="24"/>
      <c r="X53" t="s" s="18">
        <v>481</v>
      </c>
      <c r="Y53" t="str" s="20" cm="1">
        <f t="array" ref="Y53">IF(ISBLANK(X53),"",HYPERLINK("https://jlcpcb.com/partdetail/"&amp;$X53,$X53))</f>
        <v>C408388</v>
      </c>
      <c r="Z53" s="27">
        <v>1</v>
      </c>
      <c r="AA53" t="s" s="17">
        <v>187</v>
      </c>
      <c r="AB53" t="s" s="25">
        <v>483</v>
      </c>
      <c r="AC53" t="s" s="17">
        <v>478</v>
      </c>
      <c r="AD53" t="s" s="25">
        <v>484</v>
      </c>
      <c r="AE53" t="s" s="37">
        <v>452</v>
      </c>
      <c r="AF53" t="s" s="17">
        <v>485</v>
      </c>
    </row>
    <row r="54" ht="20.15" customHeight="1">
      <c r="B54" t="str" s="15" cm="1">
        <f t="array" ref="B54">E54&amp;"_"&amp;G54&amp;"_"&amp;J54</f>
        <v>IC_LM358D_SOP-8</v>
      </c>
      <c r="C54" t="str" s="16" cm="1">
        <f t="array" ref="C54">$G54&amp;IF($E54="LED"," LED","")&amp;IF($N54="",""," ")&amp;$N54&amp;IF($H54="",""," ")&amp;$H54&amp;IF($O54="",""," ")&amp;$O54&amp;IF($P54="",""," ")&amp;$P54&amp;IF($Q54="",""," ")&amp;$Q54&amp;IF($T54="",""," ")&amp;$T54&amp;IF($T54="","","mcd")</f>
        <v>LM358D dual OpAmp ±15V or +30V</v>
      </c>
      <c r="D54" t="str" s="16" cm="1">
        <f t="array" ref="D54">$G54&amp;" "&amp;E54&amp;IF($N54="",""," ")&amp;$N54&amp;IF($H54="",""," ")&amp;$H54&amp;IF($O54="",""," ")&amp;$O54&amp;IF($P54="",""," ")&amp;$P54&amp;IF($Q54="",""," ")&amp;$Q54&amp;IF($T54="",""," ")&amp;$T54&amp;IF($T54="","","mcd")</f>
        <v>LM358D IC dual OpAmp ±15V or +30V</v>
      </c>
      <c r="E54" t="s" s="17">
        <v>489</v>
      </c>
      <c r="F54" t="s" s="17">
        <v>5</v>
      </c>
      <c r="G54" t="s" s="17">
        <v>490</v>
      </c>
      <c r="H54" t="s" s="17">
        <v>491</v>
      </c>
      <c r="I54" t="s" s="18">
        <v>492</v>
      </c>
      <c r="J54" t="s" s="17">
        <v>493</v>
      </c>
      <c r="K54" s="17"/>
      <c r="L54" s="17"/>
      <c r="M54" s="17"/>
      <c r="N54" s="17"/>
      <c r="O54" t="s" s="17">
        <v>494</v>
      </c>
      <c r="P54" s="17"/>
      <c r="Q54" s="17"/>
      <c r="R54" s="17"/>
      <c r="S54" s="17"/>
      <c r="T54" s="17"/>
      <c r="U54" s="17"/>
      <c r="V54" s="24"/>
      <c r="W54" s="24"/>
      <c r="X54" t="s" s="18">
        <v>495</v>
      </c>
      <c r="Y54" t="str" s="20" cm="1">
        <f t="array" ref="Y54">IF(ISBLANK(X54),"",HYPERLINK("https://jlcpcb.com/partdetail/"&amp;$X54,$X54))</f>
        <v>C2683482</v>
      </c>
      <c r="Z54" s="27">
        <v>1</v>
      </c>
      <c r="AA54" t="s" s="17">
        <v>187</v>
      </c>
      <c r="AB54" t="s" s="25">
        <v>497</v>
      </c>
      <c r="AC54" t="s" s="17">
        <v>490</v>
      </c>
      <c r="AD54" t="s" s="22">
        <v>498</v>
      </c>
      <c r="AE54" t="s" s="23">
        <v>499</v>
      </c>
      <c r="AF54" t="s" s="17">
        <v>500</v>
      </c>
    </row>
    <row r="55" ht="20.15" customHeight="1">
      <c r="B55" t="str" s="15" cm="1">
        <f t="array" ref="B55">E55&amp;"_"&amp;G55&amp;"_"&amp;J55</f>
        <v>IC_NE556_SOP-14</v>
      </c>
      <c r="C55" t="str" s="16" cm="1">
        <f t="array" ref="C55">$G55&amp;IF($E55="LED"," LED","")&amp;IF($N55="",""," ")&amp;$N55&amp;IF($H55="",""," ")&amp;$H55&amp;IF($O55="",""," ")&amp;$O55&amp;IF($P55="",""," ")&amp;$P55&amp;IF($Q55="",""," ")&amp;$Q55&amp;IF($T55="",""," ")&amp;$T55&amp;IF($T55="","","mcd")</f>
        <v>NE556 Dual Timer 16V 600mW</v>
      </c>
      <c r="D55" t="str" s="16" cm="1">
        <f t="array" ref="D55">$G55&amp;" "&amp;E55&amp;IF($N55="",""," ")&amp;$N55&amp;IF($H55="",""," ")&amp;$H55&amp;IF($O55="",""," ")&amp;$O55&amp;IF($P55="",""," ")&amp;$P55&amp;IF($Q55="",""," ")&amp;$Q55&amp;IF($T55="",""," ")&amp;$T55&amp;IF($T55="","","mcd")</f>
        <v>NE556 IC Dual Timer 16V 600mW</v>
      </c>
      <c r="E55" t="s" s="17">
        <v>489</v>
      </c>
      <c r="F55" t="s" s="17">
        <v>5</v>
      </c>
      <c r="G55" t="s" s="17">
        <v>504</v>
      </c>
      <c r="H55" t="s" s="17">
        <v>505</v>
      </c>
      <c r="I55" t="s" s="18">
        <v>506</v>
      </c>
      <c r="J55" t="s" s="32">
        <v>507</v>
      </c>
      <c r="K55" s="17"/>
      <c r="L55" s="17"/>
      <c r="M55" s="17"/>
      <c r="N55" s="17"/>
      <c r="O55" t="s" s="17">
        <v>415</v>
      </c>
      <c r="P55" s="17"/>
      <c r="Q55" t="s" s="17">
        <v>508</v>
      </c>
      <c r="R55" s="17"/>
      <c r="S55" s="17"/>
      <c r="T55" s="17"/>
      <c r="U55" s="17"/>
      <c r="V55" s="24"/>
      <c r="W55" s="24"/>
      <c r="X55" t="s" s="18">
        <v>509</v>
      </c>
      <c r="Y55" t="str" s="20" cm="1">
        <f t="array" ref="Y55">IF(ISBLANK(X55),"",HYPERLINK("https://jlcpcb.com/partdetail/"&amp;$X55,$X55))</f>
        <v>C5145392</v>
      </c>
      <c r="Z55" s="27">
        <v>5</v>
      </c>
      <c r="AA55" t="s" s="17">
        <v>187</v>
      </c>
      <c r="AB55" t="s" s="34">
        <v>511</v>
      </c>
      <c r="AC55" t="s" s="32">
        <v>512</v>
      </c>
      <c r="AD55" t="s" s="25">
        <v>513</v>
      </c>
      <c r="AE55" t="s" s="26">
        <v>514</v>
      </c>
      <c r="AF55" t="s" s="17">
        <v>515</v>
      </c>
    </row>
    <row r="56" ht="20.15" customHeight="1">
      <c r="B56" t="str" s="15" cm="1">
        <f t="array" ref="B56">E56&amp;"_"&amp;G56&amp;"_"&amp;J56</f>
        <v>IC_MCP23017_SOIC-28-300mil</v>
      </c>
      <c r="C56" t="str" s="16" cm="1">
        <f t="array" ref="C56">$G56&amp;IF($E56="LED"," LED","")&amp;IF($N56="",""," ")&amp;$N56&amp;IF($H56="",""," ")&amp;$H56&amp;IF($O56="",""," ")&amp;$O56&amp;IF($P56="",""," ")&amp;$P56&amp;IF($Q56="",""," ")&amp;$Q56&amp;IF($T56="",""," ")&amp;$T56&amp;IF($T56="","","mcd")</f>
        <v>MCP23017 I2C 16-bit I/O Expander</v>
      </c>
      <c r="D56" t="str" s="16" cm="1">
        <f t="array" ref="D56">$G56&amp;" "&amp;E56&amp;IF($N56="",""," ")&amp;$N56&amp;IF($H56="",""," ")&amp;$H56&amp;IF($O56="",""," ")&amp;$O56&amp;IF($P56="",""," ")&amp;$P56&amp;IF($Q56="",""," ")&amp;$Q56&amp;IF($T56="",""," ")&amp;$T56&amp;IF($T56="","","mcd")</f>
        <v>MCP23017 IC I2C 16-bit I/O Expander</v>
      </c>
      <c r="E56" t="s" s="17">
        <v>489</v>
      </c>
      <c r="F56" t="s" s="17">
        <v>5</v>
      </c>
      <c r="G56" t="s" s="17">
        <v>519</v>
      </c>
      <c r="H56" t="s" s="17">
        <v>520</v>
      </c>
      <c r="I56" t="s" s="18">
        <v>521</v>
      </c>
      <c r="J56" t="s" s="32">
        <v>522</v>
      </c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24"/>
      <c r="W56" s="24"/>
      <c r="X56" t="s" s="18">
        <v>523</v>
      </c>
      <c r="Y56" t="str" s="20" cm="1">
        <f t="array" ref="Y56">IF(ISBLANK(X56),"",HYPERLINK("https://jlcpcb.com/partdetail/"&amp;$X56,$X56))</f>
        <v>C629440</v>
      </c>
      <c r="Z56" s="27">
        <v>1</v>
      </c>
      <c r="AA56" t="s" s="17">
        <v>187</v>
      </c>
      <c r="AB56" t="s" s="34">
        <v>525</v>
      </c>
      <c r="AC56" t="s" s="32">
        <v>526</v>
      </c>
      <c r="AD56" t="s" s="25">
        <v>527</v>
      </c>
      <c r="AE56" t="s" s="26">
        <v>528</v>
      </c>
      <c r="AF56" t="s" s="17">
        <v>529</v>
      </c>
    </row>
    <row r="57" ht="20.15" customHeight="1">
      <c r="B57" t="str" s="15" cm="1">
        <f t="array" ref="B57">E57&amp;"_"&amp;G57&amp;"_"&amp;J57</f>
        <v>IC_PCA9685_TSSOP-28</v>
      </c>
      <c r="C57" t="str" s="16" cm="1">
        <f t="array" ref="C57">$G57&amp;IF($E57="LED"," LED","")&amp;IF($N57="",""," ")&amp;$N57&amp;IF($H57="",""," ")&amp;$H57&amp;IF($O57="",""," ")&amp;$O57&amp;IF($P57="",""," ")&amp;$P57&amp;IF($Q57="",""," ")&amp;$Q57&amp;IF($T57="",""," ")&amp;$T57&amp;IF($T57="","","mcd")</f>
        <v>PCA9685 I2C 16-bit PWM LED Driver</v>
      </c>
      <c r="D57" t="str" s="16" cm="1">
        <f t="array" ref="D57">$G57&amp;" "&amp;E57&amp;IF($N57="",""," ")&amp;$N57&amp;IF($H57="",""," ")&amp;$H57&amp;IF($O57="",""," ")&amp;$O57&amp;IF($P57="",""," ")&amp;$P57&amp;IF($Q57="",""," ")&amp;$Q57&amp;IF($T57="",""," ")&amp;$T57&amp;IF($T57="","","mcd")</f>
        <v>PCA9685 IC I2C 16-bit PWM LED Driver</v>
      </c>
      <c r="E57" t="s" s="17">
        <v>489</v>
      </c>
      <c r="F57" t="s" s="17">
        <v>5</v>
      </c>
      <c r="G57" t="s" s="17">
        <v>533</v>
      </c>
      <c r="H57" t="s" s="17">
        <v>534</v>
      </c>
      <c r="I57" t="s" s="18">
        <v>535</v>
      </c>
      <c r="J57" t="s" s="32">
        <v>536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24"/>
      <c r="W57" s="24"/>
      <c r="X57" t="s" s="18">
        <v>537</v>
      </c>
      <c r="Y57" t="str" s="20" cm="1">
        <f t="array" ref="Y57">IF(ISBLANK(X57),"",HYPERLINK("https://jlcpcb.com/partdetail/"&amp;$X57,$X57))</f>
        <v>C2678753</v>
      </c>
      <c r="Z57" s="27">
        <v>1</v>
      </c>
      <c r="AA57" t="s" s="17">
        <v>187</v>
      </c>
      <c r="AB57" t="s" s="34">
        <v>539</v>
      </c>
      <c r="AC57" t="s" s="32">
        <v>540</v>
      </c>
      <c r="AD57" t="s" s="25">
        <v>541</v>
      </c>
      <c r="AE57" t="s" s="26">
        <v>542</v>
      </c>
      <c r="AF57" t="s" s="17">
        <v>543</v>
      </c>
    </row>
    <row r="58" ht="19.3" customHeight="1">
      <c r="B58" t="str" s="15" cm="1">
        <f t="array" ref="B58">E58&amp;"_"&amp;G58&amp;"_"&amp;J58&amp;"_"&amp;P58</f>
        <v>LED_Blue_0603_20mA</v>
      </c>
      <c r="C58" t="str" s="16" cm="1">
        <f t="array" ref="C58">$G58&amp;IF($E58="LED"," LED","")&amp;IF($N58="",""," ")&amp;$N58&amp;IF($H58="",""," ")&amp;$H58&amp;IF($O58="",""," ")&amp;$O58&amp;IF($P58="",""," ")&amp;$P58&amp;IF($Q58="",""," ")&amp;$Q58&amp;IF($T58="",""," ")&amp;$T58&amp;IF($T58="","","mcd")</f>
        <v>Blue LED clear 3.3V 20mA 240mcd</v>
      </c>
      <c r="D58" t="str" s="16" cm="1">
        <f t="array" ref="D58">$G58&amp;" "&amp;E58&amp;IF($N58="",""," ")&amp;$N58&amp;IF($H58="",""," ")&amp;$H58&amp;IF($O58="",""," ")&amp;$O58&amp;IF($P58="",""," ")&amp;$P58&amp;IF($Q58="",""," ")&amp;$Q58&amp;IF($T58="",""," ")&amp;$T58&amp;IF($T58="","","mcd")</f>
        <v>Blue LED clear 3.3V 20mA 240mcd</v>
      </c>
      <c r="E58" t="s" s="17">
        <v>546</v>
      </c>
      <c r="F58" t="s" s="17">
        <v>5</v>
      </c>
      <c r="G58" t="s" s="17">
        <v>547</v>
      </c>
      <c r="H58" t="s" s="17">
        <v>548</v>
      </c>
      <c r="I58" t="s" s="18">
        <v>549</v>
      </c>
      <c r="J58" t="s" s="17">
        <v>309</v>
      </c>
      <c r="K58" s="17"/>
      <c r="L58" s="17"/>
      <c r="M58" s="17"/>
      <c r="N58" s="17"/>
      <c r="O58" t="s" s="17">
        <v>550</v>
      </c>
      <c r="P58" t="s" s="17">
        <v>551</v>
      </c>
      <c r="Q58" s="17"/>
      <c r="R58" t="s" s="17">
        <v>552</v>
      </c>
      <c r="S58" t="s" s="17">
        <v>553</v>
      </c>
      <c r="T58" t="s" s="17">
        <v>554</v>
      </c>
      <c r="U58" s="17"/>
      <c r="V58" s="24"/>
      <c r="W58" s="24"/>
      <c r="X58" t="s" s="18">
        <v>555</v>
      </c>
      <c r="Y58" t="str" s="20" cm="1">
        <f t="array" ref="Y58">IF(ISBLANK(X58),"",HYPERLINK("https://jlcpcb.com/partdetail/"&amp;$X58,$X58))</f>
        <v>C965807</v>
      </c>
      <c r="Z58" s="27">
        <v>1</v>
      </c>
      <c r="AA58" t="s" s="17">
        <v>187</v>
      </c>
      <c r="AB58" t="s" s="25">
        <v>557</v>
      </c>
      <c r="AC58" t="s" s="17">
        <v>558</v>
      </c>
      <c r="AD58" t="s" s="22">
        <v>559</v>
      </c>
      <c r="AE58" t="s" s="23">
        <v>560</v>
      </c>
      <c r="AF58" t="s" s="17">
        <v>561</v>
      </c>
    </row>
    <row r="59" ht="20.95" customHeight="1">
      <c r="B59" t="str" s="15" cm="1">
        <f t="array" ref="B59">E59&amp;"_"&amp;G59&amp;"_"&amp;J59&amp;"_"&amp;P59</f>
        <v>LED_White_0603_20mA</v>
      </c>
      <c r="C59" t="str" s="16" cm="1">
        <f t="array" ref="C59">$G59&amp;IF($E59="LED"," LED","")&amp;IF($N59="",""," ")&amp;$N59&amp;IF($H59="",""," ")&amp;$H59&amp;IF($O59="",""," ")&amp;$O59&amp;IF($P59="",""," ")&amp;$P59&amp;IF($Q59="",""," ")&amp;$Q59&amp;IF($T59="",""," ")&amp;$T59&amp;IF($T59="","","mcd")</f>
        <v>White LED warm 2.7V 20mA 130mcd</v>
      </c>
      <c r="D59" t="str" s="16" cm="1">
        <f t="array" ref="D59">$G59&amp;" "&amp;E59&amp;IF($N59="",""," ")&amp;$N59&amp;IF($H59="",""," ")&amp;$H59&amp;IF($O59="",""," ")&amp;$O59&amp;IF($P59="",""," ")&amp;$P59&amp;IF($Q59="",""," ")&amp;$Q59&amp;IF($T59="",""," ")&amp;$T59&amp;IF($T59="","","mcd")</f>
        <v>White LED warm 2.7V 20mA 130mcd</v>
      </c>
      <c r="E59" t="s" s="17">
        <v>546</v>
      </c>
      <c r="F59" t="s" s="17">
        <v>5</v>
      </c>
      <c r="G59" t="s" s="17">
        <v>564</v>
      </c>
      <c r="H59" t="s" s="17">
        <v>565</v>
      </c>
      <c r="I59" t="s" s="18">
        <v>566</v>
      </c>
      <c r="J59" t="s" s="17">
        <v>309</v>
      </c>
      <c r="K59" s="17"/>
      <c r="L59" s="17"/>
      <c r="M59" s="17"/>
      <c r="N59" s="17"/>
      <c r="O59" t="s" s="17">
        <v>567</v>
      </c>
      <c r="P59" t="s" s="17">
        <v>551</v>
      </c>
      <c r="Q59" s="17"/>
      <c r="R59" t="s" s="17">
        <v>552</v>
      </c>
      <c r="S59" t="s" s="17">
        <v>568</v>
      </c>
      <c r="T59" t="s" s="17">
        <v>569</v>
      </c>
      <c r="U59" s="17"/>
      <c r="V59" s="24"/>
      <c r="W59" s="24"/>
      <c r="X59" t="s" s="18">
        <v>570</v>
      </c>
      <c r="Y59" t="str" s="20" cm="1">
        <f t="array" ref="Y59">IF(ISBLANK(X59),"",HYPERLINK("https://jlcpcb.com/partdetail/"&amp;$X59,$X59))</f>
        <v>C965808</v>
      </c>
      <c r="Z59" s="27">
        <v>1</v>
      </c>
      <c r="AA59" t="s" s="17">
        <v>187</v>
      </c>
      <c r="AB59" t="s" s="25">
        <v>557</v>
      </c>
      <c r="AC59" t="s" s="17">
        <v>572</v>
      </c>
      <c r="AD59" t="s" s="22">
        <v>559</v>
      </c>
      <c r="AE59" t="s" s="23">
        <v>560</v>
      </c>
      <c r="AF59" t="s" s="17">
        <v>573</v>
      </c>
    </row>
    <row r="60" ht="18.4" customHeight="1">
      <c r="B60" t="str" s="15" cm="1">
        <f t="array" ref="B60">E60&amp;"_"&amp;G60&amp;"_"&amp;J60&amp;"_"&amp;P60</f>
        <v>LED_Green Emerald_0603_20mA</v>
      </c>
      <c r="C60" t="str" s="16" cm="1">
        <f t="array" ref="C60">$G60&amp;IF($E60="LED"," LED","")&amp;IF($N60="",""," ")&amp;$N60&amp;IF($H60="",""," ")&amp;$H60&amp;IF($O60="",""," ")&amp;$O60&amp;IF($P60="",""," ")&amp;$P60&amp;IF($Q60="",""," ")&amp;$Q60&amp;IF($T60="",""," ")&amp;$T60&amp;IF($T60="","","mcd")</f>
        <v>Green Emerald LED clear 3.3V 20mA 810mcd</v>
      </c>
      <c r="D60" t="str" s="16" cm="1">
        <f t="array" ref="D60">$G60&amp;" "&amp;E60&amp;IF($N60="",""," ")&amp;$N60&amp;IF($H60="",""," ")&amp;$H60&amp;IF($O60="",""," ")&amp;$O60&amp;IF($P60="",""," ")&amp;$P60&amp;IF($Q60="",""," ")&amp;$Q60&amp;IF($T60="",""," ")&amp;$T60&amp;IF($T60="","","mcd")</f>
        <v>Green Emerald LED clear 3.3V 20mA 810mcd</v>
      </c>
      <c r="E60" t="s" s="17">
        <v>546</v>
      </c>
      <c r="F60" t="s" s="17">
        <v>5</v>
      </c>
      <c r="G60" t="s" s="17">
        <v>576</v>
      </c>
      <c r="H60" t="s" s="17">
        <v>548</v>
      </c>
      <c r="I60" t="s" s="18">
        <v>577</v>
      </c>
      <c r="J60" t="s" s="17">
        <v>309</v>
      </c>
      <c r="K60" s="17"/>
      <c r="L60" s="17"/>
      <c r="M60" s="17"/>
      <c r="N60" s="17"/>
      <c r="O60" t="s" s="17">
        <v>550</v>
      </c>
      <c r="P60" t="s" s="17">
        <v>551</v>
      </c>
      <c r="Q60" s="17"/>
      <c r="R60" t="s" s="17">
        <v>552</v>
      </c>
      <c r="S60" t="s" s="17">
        <v>578</v>
      </c>
      <c r="T60" t="s" s="17">
        <v>579</v>
      </c>
      <c r="U60" s="17"/>
      <c r="V60" s="24"/>
      <c r="W60" s="24"/>
      <c r="X60" t="s" s="18">
        <v>580</v>
      </c>
      <c r="Y60" t="str" s="20" cm="1">
        <f t="array" ref="Y60">IF(ISBLANK(X60),"",HYPERLINK("https://jlcpcb.com/partdetail/"&amp;$X60,$X60))</f>
        <v>C965804</v>
      </c>
      <c r="Z60" s="27">
        <v>1</v>
      </c>
      <c r="AA60" t="s" s="17">
        <v>187</v>
      </c>
      <c r="AB60" t="s" s="25">
        <v>557</v>
      </c>
      <c r="AC60" t="s" s="17">
        <v>582</v>
      </c>
      <c r="AD60" t="s" s="22">
        <v>559</v>
      </c>
      <c r="AE60" t="s" s="23">
        <v>560</v>
      </c>
      <c r="AF60" t="s" s="17">
        <v>583</v>
      </c>
    </row>
    <row r="61" ht="18.9" customHeight="1">
      <c r="B61" t="str" s="15" cm="1">
        <f t="array" ref="B61">E61&amp;"_"&amp;G61&amp;"_"&amp;J61&amp;"_"&amp;P61</f>
        <v>LED_Yellow Green_0603_20mA</v>
      </c>
      <c r="C61" t="str" s="16" cm="1">
        <f t="array" ref="C61">$G61&amp;IF($E61="LED"," LED","")&amp;IF($N61="",""," ")&amp;$N61&amp;IF($H61="",""," ")&amp;$H61&amp;IF($O61="",""," ")&amp;$O61&amp;IF($P61="",""," ")&amp;$P61&amp;IF($Q61="",""," ")&amp;$Q61&amp;IF($T61="",""," ")&amp;$T61&amp;IF($T61="","","mcd")</f>
        <v>Yellow Green LED clear 2.4V 20mA 240mcd</v>
      </c>
      <c r="D61" t="str" s="16" cm="1">
        <f t="array" ref="D61">$G61&amp;" "&amp;E61&amp;IF($N61="",""," ")&amp;$N61&amp;IF($H61="",""," ")&amp;$H61&amp;IF($O61="",""," ")&amp;$O61&amp;IF($P61="",""," ")&amp;$P61&amp;IF($Q61="",""," ")&amp;$Q61&amp;IF($T61="",""," ")&amp;$T61&amp;IF($T61="","","mcd")</f>
        <v>Yellow Green LED clear 2.4V 20mA 240mcd</v>
      </c>
      <c r="E61" t="s" s="17">
        <v>546</v>
      </c>
      <c r="F61" t="s" s="17">
        <v>5</v>
      </c>
      <c r="G61" t="s" s="17">
        <v>586</v>
      </c>
      <c r="H61" t="s" s="17">
        <v>548</v>
      </c>
      <c r="I61" t="s" s="18">
        <v>587</v>
      </c>
      <c r="J61" t="s" s="17">
        <v>309</v>
      </c>
      <c r="K61" s="17"/>
      <c r="L61" s="17"/>
      <c r="M61" s="17"/>
      <c r="N61" s="17"/>
      <c r="O61" t="s" s="17">
        <v>588</v>
      </c>
      <c r="P61" t="s" s="17">
        <v>551</v>
      </c>
      <c r="Q61" s="17"/>
      <c r="R61" s="17"/>
      <c r="S61" t="s" s="17">
        <v>589</v>
      </c>
      <c r="T61" t="s" s="17">
        <v>554</v>
      </c>
      <c r="U61" s="17"/>
      <c r="V61" s="24"/>
      <c r="W61" s="24"/>
      <c r="X61" t="s" s="18">
        <v>590</v>
      </c>
      <c r="Y61" t="str" s="20" cm="1">
        <f t="array" ref="Y61">IF(ISBLANK(X61),"",HYPERLINK("https://jlcpcb.com/partdetail/"&amp;$X61,$X61))</f>
        <v>C965806</v>
      </c>
      <c r="Z61" s="27">
        <v>1</v>
      </c>
      <c r="AA61" t="s" s="17">
        <v>314</v>
      </c>
      <c r="AB61" t="s" s="25">
        <v>557</v>
      </c>
      <c r="AC61" t="s" s="17">
        <v>592</v>
      </c>
      <c r="AD61" t="s" s="22">
        <v>559</v>
      </c>
      <c r="AE61" t="s" s="23">
        <v>560</v>
      </c>
      <c r="AF61" t="s" s="17">
        <v>593</v>
      </c>
    </row>
    <row r="62" ht="18.9" customHeight="1">
      <c r="B62" t="str" s="15" cm="1">
        <f t="array" ref="B62">E62&amp;"_"&amp;G62&amp;"_"&amp;J62&amp;"_"&amp;P62</f>
        <v>LED_Orange_0603_10mA</v>
      </c>
      <c r="C62" t="str" s="16" cm="1">
        <f t="array" ref="C62">$G62&amp;IF($E62="LED"," LED","")&amp;IF($N62="",""," ")&amp;$N62&amp;IF($H62="",""," ")&amp;$H62&amp;IF($O62="",""," ")&amp;$O62&amp;IF($P62="",""," ")&amp;$P62&amp;IF($Q62="",""," ")&amp;$Q62&amp;IF($T62="",""," ")&amp;$T62&amp;IF($T62="","","mcd")</f>
        <v>Orange LED clear 2.2V 10mA 70mcd</v>
      </c>
      <c r="D62" t="str" s="16" cm="1">
        <f t="array" ref="D62">$G62&amp;" "&amp;E62&amp;IF($N62="",""," ")&amp;$N62&amp;IF($H62="",""," ")&amp;$H62&amp;IF($O62="",""," ")&amp;$O62&amp;IF($P62="",""," ")&amp;$P62&amp;IF($Q62="",""," ")&amp;$Q62&amp;IF($T62="",""," ")&amp;$T62&amp;IF($T62="","","mcd")</f>
        <v>Orange LED clear 2.2V 10mA 70mcd</v>
      </c>
      <c r="E62" t="s" s="17">
        <v>546</v>
      </c>
      <c r="F62" t="s" s="17">
        <v>5</v>
      </c>
      <c r="G62" t="s" s="17">
        <v>596</v>
      </c>
      <c r="H62" t="s" s="17">
        <v>548</v>
      </c>
      <c r="I62" t="s" s="18">
        <v>597</v>
      </c>
      <c r="J62" t="s" s="17">
        <v>309</v>
      </c>
      <c r="K62" s="17"/>
      <c r="L62" s="17"/>
      <c r="M62" s="17"/>
      <c r="N62" s="17"/>
      <c r="O62" t="s" s="17">
        <v>598</v>
      </c>
      <c r="P62" t="s" s="17">
        <v>599</v>
      </c>
      <c r="Q62" s="17"/>
      <c r="R62" s="17"/>
      <c r="S62" t="s" s="17">
        <v>600</v>
      </c>
      <c r="T62" t="s" s="17">
        <v>601</v>
      </c>
      <c r="U62" s="17"/>
      <c r="V62" s="24"/>
      <c r="W62" s="24"/>
      <c r="X62" t="s" s="18">
        <v>602</v>
      </c>
      <c r="Y62" t="str" s="20" cm="1">
        <f t="array" ref="Y62">IF(ISBLANK(X62),"",HYPERLINK("https://jlcpcb.com/partdetail/"&amp;$X62,$X62))</f>
        <v>C22371303</v>
      </c>
      <c r="Z62" s="27">
        <v>1</v>
      </c>
      <c r="AA62" t="s" s="17">
        <v>314</v>
      </c>
      <c r="AB62" t="s" s="25">
        <v>604</v>
      </c>
      <c r="AC62" t="s" s="17">
        <v>605</v>
      </c>
      <c r="AD62" t="s" s="22">
        <v>559</v>
      </c>
      <c r="AE62" t="s" s="23">
        <v>560</v>
      </c>
      <c r="AF62" t="s" s="17">
        <v>606</v>
      </c>
    </row>
    <row r="63" ht="18.9" customHeight="1">
      <c r="B63" t="str" s="15" cm="1">
        <f t="array" ref="B63">E63&amp;"_"&amp;G63&amp;"_"&amp;J63&amp;"_"&amp;P63</f>
        <v>LED_Orange_0603_20mA</v>
      </c>
      <c r="C63" t="str" s="16" cm="1">
        <f t="array" ref="C63">$G63&amp;IF($E63="LED"," LED","")&amp;IF($N63="",""," ")&amp;$N63&amp;IF($H63="",""," ")&amp;$H63&amp;IF($O63="",""," ")&amp;$O63&amp;IF($P63="",""," ")&amp;$P63&amp;IF($Q63="",""," ")&amp;$Q63&amp;IF($T63="",""," ")&amp;$T63&amp;IF($T63="","","mcd")</f>
        <v>Orange LED clear 2.3V 20mA 315mcd</v>
      </c>
      <c r="D63" t="str" s="16" cm="1">
        <f t="array" ref="D63">$G63&amp;" "&amp;E63&amp;IF($N63="",""," ")&amp;$N63&amp;IF($H63="",""," ")&amp;$H63&amp;IF($O63="",""," ")&amp;$O63&amp;IF($P63="",""," ")&amp;$P63&amp;IF($Q63="",""," ")&amp;$Q63&amp;IF($T63="",""," ")&amp;$T63&amp;IF($T63="","","mcd")</f>
        <v>Orange LED clear 2.3V 20mA 315mcd</v>
      </c>
      <c r="E63" t="s" s="17">
        <v>546</v>
      </c>
      <c r="F63" t="s" s="17">
        <v>5</v>
      </c>
      <c r="G63" t="s" s="17">
        <v>596</v>
      </c>
      <c r="H63" t="s" s="17">
        <v>548</v>
      </c>
      <c r="I63" t="s" s="18">
        <v>609</v>
      </c>
      <c r="J63" t="s" s="17">
        <v>309</v>
      </c>
      <c r="K63" s="17"/>
      <c r="L63" s="17"/>
      <c r="M63" s="17"/>
      <c r="N63" s="17"/>
      <c r="O63" t="s" s="17">
        <v>610</v>
      </c>
      <c r="P63" t="s" s="17">
        <v>551</v>
      </c>
      <c r="Q63" s="17"/>
      <c r="R63" s="17"/>
      <c r="S63" s="17"/>
      <c r="T63" t="s" s="17">
        <v>611</v>
      </c>
      <c r="U63" s="17"/>
      <c r="V63" s="24"/>
      <c r="W63" s="24"/>
      <c r="X63" t="s" s="18">
        <v>612</v>
      </c>
      <c r="Y63" t="str" s="20" cm="1">
        <f t="array" ref="Y63">IF(ISBLANK(X63),"",HYPERLINK("https://jlcpcb.com/partdetail/"&amp;$X63,$X63))</f>
        <v>C965800</v>
      </c>
      <c r="Z63" s="27">
        <v>2</v>
      </c>
      <c r="AA63" t="s" s="17">
        <v>314</v>
      </c>
      <c r="AB63" t="s" s="25">
        <v>557</v>
      </c>
      <c r="AC63" t="s" s="17">
        <v>614</v>
      </c>
      <c r="AD63" t="s" s="22">
        <v>559</v>
      </c>
      <c r="AE63" t="s" s="23">
        <v>560</v>
      </c>
      <c r="AF63" t="s" s="17">
        <v>615</v>
      </c>
    </row>
    <row r="64" ht="16.4" customHeight="1">
      <c r="B64" t="str" s="15" cm="1">
        <f t="array" ref="B64">E64&amp;"_"&amp;G64&amp;"_"&amp;J64&amp;"_"&amp;P64</f>
        <v>LED_Orange_0603_20mA</v>
      </c>
      <c r="C64" t="str" s="16" cm="1">
        <f t="array" ref="C64">$G64&amp;IF($E64="LED"," LED","")&amp;IF($N64="",""," ")&amp;$N64&amp;IF($H64="",""," ")&amp;$H64&amp;IF($O64="",""," ")&amp;$O64&amp;IF($P64="",""," ")&amp;$P64&amp;IF($Q64="",""," ")&amp;$Q64&amp;IF($T64="",""," ")&amp;$T64&amp;IF($T64="","","mcd")</f>
        <v>Orange LED clear 2.3V 20mA 315mcd</v>
      </c>
      <c r="D64" t="str" s="16" cm="1">
        <f t="array" ref="D64">$G64&amp;" "&amp;E64&amp;IF($N64="",""," ")&amp;$N64&amp;IF($H64="",""," ")&amp;$H64&amp;IF($O64="",""," ")&amp;$O64&amp;IF($P64="",""," ")&amp;$P64&amp;IF($Q64="",""," ")&amp;$Q64&amp;IF($T64="",""," ")&amp;$T64&amp;IF($T64="","","mcd")</f>
        <v>Orange LED clear 2.3V 20mA 315mcd</v>
      </c>
      <c r="E64" t="s" s="17">
        <v>546</v>
      </c>
      <c r="F64" t="s" s="17">
        <v>5</v>
      </c>
      <c r="G64" t="s" s="17">
        <v>596</v>
      </c>
      <c r="H64" t="s" s="17">
        <v>548</v>
      </c>
      <c r="I64" t="s" s="18">
        <v>609</v>
      </c>
      <c r="J64" t="s" s="17">
        <v>309</v>
      </c>
      <c r="K64" s="17"/>
      <c r="L64" s="17"/>
      <c r="M64" s="17"/>
      <c r="N64" s="17"/>
      <c r="O64" t="s" s="17">
        <v>610</v>
      </c>
      <c r="P64" t="s" s="17">
        <v>551</v>
      </c>
      <c r="Q64" s="17"/>
      <c r="R64" t="s" s="17">
        <v>552</v>
      </c>
      <c r="S64" t="s" s="17">
        <v>616</v>
      </c>
      <c r="T64" t="s" s="17">
        <v>611</v>
      </c>
      <c r="U64" s="17"/>
      <c r="V64" s="24"/>
      <c r="W64" s="24"/>
      <c r="X64" t="s" s="18">
        <v>617</v>
      </c>
      <c r="Y64" t="str" s="20" cm="1">
        <f t="array" ref="Y64">IF(ISBLANK(X64),"",HYPERLINK("https://jlcpcb.com/partdetail/"&amp;$X64,$X64))</f>
        <v>C965801</v>
      </c>
      <c r="Z64" s="27">
        <v>3</v>
      </c>
      <c r="AA64" t="s" s="17">
        <v>187</v>
      </c>
      <c r="AB64" t="s" s="25">
        <v>557</v>
      </c>
      <c r="AC64" t="s" s="17">
        <v>619</v>
      </c>
      <c r="AD64" t="s" s="36">
        <v>559</v>
      </c>
      <c r="AE64" t="s" s="23">
        <v>560</v>
      </c>
      <c r="AF64" t="s" s="17">
        <v>615</v>
      </c>
    </row>
    <row r="65" ht="18.05" customHeight="1">
      <c r="B65" t="str" s="15" cm="1">
        <f t="array" ref="B65">E65&amp;"_"&amp;G65&amp;"_"&amp;J65&amp;"_"&amp;P65</f>
        <v>LED_Yellow_0603_20mA</v>
      </c>
      <c r="C65" t="str" s="16" cm="1">
        <f t="array" ref="C65">$G65&amp;IF($E65="LED"," LED","")&amp;IF($N65="",""," ")&amp;$N65&amp;IF($H65="",""," ")&amp;$H65&amp;IF($O65="",""," ")&amp;$O65&amp;IF($P65="",""," ")&amp;$P65&amp;IF($Q65="",""," ")&amp;$Q65&amp;IF($T65="",""," ")&amp;$T65&amp;IF($T65="","","mcd")</f>
        <v>Yellow LED clear 2.3V 20mA 450mcd</v>
      </c>
      <c r="D65" t="str" s="16" cm="1">
        <f t="array" ref="D65">$G65&amp;" "&amp;E65&amp;IF($N65="",""," ")&amp;$N65&amp;IF($H65="",""," ")&amp;$H65&amp;IF($O65="",""," ")&amp;$O65&amp;IF($P65="",""," ")&amp;$P65&amp;IF($Q65="",""," ")&amp;$Q65&amp;IF($T65="",""," ")&amp;$T65&amp;IF($T65="","","mcd")</f>
        <v>Yellow LED clear 2.3V 20mA 450mcd</v>
      </c>
      <c r="E65" t="s" s="17">
        <v>546</v>
      </c>
      <c r="F65" t="s" s="17">
        <v>5</v>
      </c>
      <c r="G65" t="s" s="17">
        <v>622</v>
      </c>
      <c r="H65" t="s" s="17">
        <v>548</v>
      </c>
      <c r="I65" t="s" s="18">
        <v>623</v>
      </c>
      <c r="J65" t="s" s="17">
        <v>309</v>
      </c>
      <c r="K65" s="17"/>
      <c r="L65" s="17"/>
      <c r="M65" s="17"/>
      <c r="N65" s="17"/>
      <c r="O65" t="s" s="17">
        <v>610</v>
      </c>
      <c r="P65" t="s" s="17">
        <v>551</v>
      </c>
      <c r="Q65" s="17"/>
      <c r="R65" t="s" s="17">
        <v>552</v>
      </c>
      <c r="S65" t="s" s="17">
        <v>624</v>
      </c>
      <c r="T65" t="s" s="17">
        <v>625</v>
      </c>
      <c r="U65" s="17"/>
      <c r="V65" s="24"/>
      <c r="W65" s="24"/>
      <c r="X65" t="s" s="18">
        <v>626</v>
      </c>
      <c r="Y65" t="str" s="20" cm="1">
        <f t="array" ref="Y65">IF(ISBLANK(X65),"",HYPERLINK("https://jlcpcb.com/partdetail/"&amp;$X65,$X65))</f>
        <v>C965803</v>
      </c>
      <c r="Z65" s="27">
        <v>10</v>
      </c>
      <c r="AA65" t="s" s="17">
        <v>187</v>
      </c>
      <c r="AB65" t="s" s="25">
        <v>557</v>
      </c>
      <c r="AC65" t="s" s="17">
        <v>628</v>
      </c>
      <c r="AD65" t="s" s="36">
        <v>559</v>
      </c>
      <c r="AE65" t="s" s="23">
        <v>560</v>
      </c>
      <c r="AF65" t="s" s="17">
        <v>629</v>
      </c>
    </row>
    <row r="66" ht="18.9" customHeight="1">
      <c r="B66" t="str" s="15" cm="1">
        <f t="array" ref="B66">E66&amp;"_"&amp;G66&amp;"_"&amp;J66&amp;"_"&amp;P66</f>
        <v>LED_Red_0603_20mA</v>
      </c>
      <c r="C66" t="str" s="16" cm="1">
        <f t="array" ref="C66">$G66&amp;IF($E66="LED"," LED","")&amp;IF($N66="",""," ")&amp;$N66&amp;IF($H66="",""," ")&amp;$H66&amp;IF($O66="",""," ")&amp;$O66&amp;IF($P66="",""," ")&amp;$P66&amp;IF($Q66="",""," ")&amp;$Q66&amp;IF($T66="",""," ")&amp;$T66&amp;IF($T66="","","mcd")</f>
        <v>Red LED clear 2.2V 20mA 150mcd</v>
      </c>
      <c r="D66" t="str" s="16" cm="1">
        <f t="array" ref="D66">$G66&amp;" "&amp;E66&amp;IF($N66="",""," ")&amp;$N66&amp;IF($H66="",""," ")&amp;$H66&amp;IF($O66="",""," ")&amp;$O66&amp;IF($P66="",""," ")&amp;$P66&amp;IF($Q66="",""," ")&amp;$Q66&amp;IF($T66="",""," ")&amp;$T66&amp;IF($T66="","","mcd")</f>
        <v>Red LED clear 2.2V 20mA 150mcd</v>
      </c>
      <c r="E66" t="s" s="17">
        <v>546</v>
      </c>
      <c r="F66" t="s" s="17">
        <v>5</v>
      </c>
      <c r="G66" t="s" s="17">
        <v>632</v>
      </c>
      <c r="H66" t="s" s="17">
        <v>548</v>
      </c>
      <c r="I66" t="s" s="18">
        <v>633</v>
      </c>
      <c r="J66" t="s" s="17">
        <v>309</v>
      </c>
      <c r="K66" s="17"/>
      <c r="L66" s="17"/>
      <c r="M66" s="17"/>
      <c r="N66" s="17"/>
      <c r="O66" t="s" s="17">
        <v>598</v>
      </c>
      <c r="P66" t="s" s="17">
        <v>551</v>
      </c>
      <c r="Q66" s="17"/>
      <c r="R66" s="17"/>
      <c r="S66" s="17"/>
      <c r="T66" t="s" s="17">
        <v>634</v>
      </c>
      <c r="U66" s="17"/>
      <c r="V66" s="24"/>
      <c r="W66" s="24"/>
      <c r="X66" t="s" s="18">
        <v>635</v>
      </c>
      <c r="Y66" t="str" s="20" cm="1">
        <f t="array" ref="Y66">IF(ISBLANK(X66),"",HYPERLINK("https://jlcpcb.com/partdetail/"&amp;$X66,$X66))</f>
        <v>C7288939</v>
      </c>
      <c r="Z66" s="27">
        <v>2</v>
      </c>
      <c r="AA66" t="s" s="17">
        <v>314</v>
      </c>
      <c r="AB66" t="s" s="25">
        <v>637</v>
      </c>
      <c r="AC66" t="s" s="17">
        <v>638</v>
      </c>
      <c r="AD66" t="s" s="22">
        <v>559</v>
      </c>
      <c r="AE66" t="s" s="23">
        <v>560</v>
      </c>
      <c r="AF66" t="s" s="17">
        <v>639</v>
      </c>
    </row>
    <row r="67" ht="18.9" customHeight="1">
      <c r="B67" t="str" s="15" cm="1">
        <f t="array" ref="B67">E67&amp;"_"&amp;G67&amp;"_"&amp;J67&amp;"_"&amp;P67</f>
        <v>LED_Red_0603_20mA</v>
      </c>
      <c r="C67" t="str" s="16" cm="1">
        <f t="array" ref="C67">$G67&amp;IF($E67="LED"," LED","")&amp;IF($N67="",""," ")&amp;$N67&amp;IF($H67="",""," ")&amp;$H67&amp;IF($O67="",""," ")&amp;$O67&amp;IF($P67="",""," ")&amp;$P67&amp;IF($Q67="",""," ")&amp;$Q67&amp;IF($T67="",""," ")&amp;$T67&amp;IF($T67="","","mcd")</f>
        <v>Red LED clear 2.3V 20mA 330mcd</v>
      </c>
      <c r="D67" t="str" s="16" cm="1">
        <f t="array" ref="D67">$G67&amp;" "&amp;E67&amp;IF($N67="",""," ")&amp;$N67&amp;IF($H67="",""," ")&amp;$H67&amp;IF($O67="",""," ")&amp;$O67&amp;IF($P67="",""," ")&amp;$P67&amp;IF($Q67="",""," ")&amp;$Q67&amp;IF($T67="",""," ")&amp;$T67&amp;IF($T67="","","mcd")</f>
        <v>Red LED clear 2.3V 20mA 330mcd</v>
      </c>
      <c r="E67" t="s" s="17">
        <v>546</v>
      </c>
      <c r="F67" t="s" s="17">
        <v>5</v>
      </c>
      <c r="G67" t="s" s="17">
        <v>632</v>
      </c>
      <c r="H67" t="s" s="17">
        <v>548</v>
      </c>
      <c r="I67" t="s" s="18">
        <v>641</v>
      </c>
      <c r="J67" t="s" s="17">
        <v>309</v>
      </c>
      <c r="K67" s="17"/>
      <c r="L67" s="17"/>
      <c r="M67" s="17"/>
      <c r="N67" s="17"/>
      <c r="O67" t="s" s="17">
        <v>610</v>
      </c>
      <c r="P67" t="s" s="17">
        <v>551</v>
      </c>
      <c r="Q67" s="17"/>
      <c r="R67" s="17"/>
      <c r="S67" s="17"/>
      <c r="T67" t="s" s="17">
        <v>642</v>
      </c>
      <c r="U67" s="17"/>
      <c r="V67" s="24"/>
      <c r="W67" s="24"/>
      <c r="X67" t="s" s="18">
        <v>643</v>
      </c>
      <c r="Y67" t="str" s="20" cm="1">
        <f t="array" ref="Y67">IF(ISBLANK(X67),"",HYPERLINK("https://jlcpcb.com/partdetail/"&amp;$X67,$X67))</f>
        <v>C965799</v>
      </c>
      <c r="Z67" s="27">
        <v>1</v>
      </c>
      <c r="AA67" t="s" s="17">
        <v>314</v>
      </c>
      <c r="AB67" t="s" s="25">
        <v>557</v>
      </c>
      <c r="AC67" t="s" s="17">
        <v>645</v>
      </c>
      <c r="AD67" t="s" s="22">
        <v>559</v>
      </c>
      <c r="AE67" t="s" s="23">
        <v>560</v>
      </c>
      <c r="AF67" t="s" s="17">
        <v>646</v>
      </c>
    </row>
    <row r="68" ht="18.05" customHeight="1">
      <c r="B68" t="str" s="15" cm="1">
        <f t="array" ref="B68">E68&amp;"_"&amp;G68&amp;"_"&amp;J68&amp;"_"&amp;P68</f>
        <v>LED_Red_0603_20mA</v>
      </c>
      <c r="C68" t="str" s="16" cm="1">
        <f t="array" ref="C68">$G68&amp;IF($E68="LED"," LED","")&amp;IF($N68="",""," ")&amp;$N68&amp;IF($H68="",""," ")&amp;$H68&amp;IF($O68="",""," ")&amp;$O68&amp;IF($P68="",""," ")&amp;$P68&amp;IF($Q68="",""," ")&amp;$Q68&amp;IF($T68="",""," ")&amp;$T68&amp;IF($T68="","","mcd")</f>
        <v>Red LED clear 2.4V 20mA 360mcd</v>
      </c>
      <c r="D68" t="str" s="16" cm="1">
        <f t="array" ref="D68">$G68&amp;" "&amp;E68&amp;IF($N68="",""," ")&amp;$N68&amp;IF($H68="",""," ")&amp;$H68&amp;IF($O68="",""," ")&amp;$O68&amp;IF($P68="",""," ")&amp;$P68&amp;IF($Q68="",""," ")&amp;$Q68&amp;IF($T68="",""," ")&amp;$T68&amp;IF($T68="","","mcd")</f>
        <v>Red LED clear 2.4V 20mA 360mcd</v>
      </c>
      <c r="E68" t="s" s="17">
        <v>546</v>
      </c>
      <c r="F68" t="s" s="17">
        <v>5</v>
      </c>
      <c r="G68" t="s" s="17">
        <v>632</v>
      </c>
      <c r="H68" t="s" s="17">
        <v>548</v>
      </c>
      <c r="I68" t="s" s="18">
        <v>648</v>
      </c>
      <c r="J68" t="s" s="17">
        <v>309</v>
      </c>
      <c r="K68" s="17"/>
      <c r="L68" s="17"/>
      <c r="M68" s="17"/>
      <c r="N68" s="17"/>
      <c r="O68" t="s" s="17">
        <v>588</v>
      </c>
      <c r="P68" t="s" s="17">
        <v>551</v>
      </c>
      <c r="Q68" s="17"/>
      <c r="R68" t="s" s="17">
        <v>552</v>
      </c>
      <c r="S68" t="s" s="17">
        <v>649</v>
      </c>
      <c r="T68" t="s" s="17">
        <v>650</v>
      </c>
      <c r="U68" s="17"/>
      <c r="V68" s="24"/>
      <c r="W68" s="24"/>
      <c r="X68" t="s" s="18">
        <v>651</v>
      </c>
      <c r="Y68" t="str" s="20" cm="1">
        <f t="array" ref="Y68">IF(ISBLANK(X68),"",HYPERLINK("https://jlcpcb.com/partdetail/"&amp;$X68,$X68))</f>
        <v>C965798</v>
      </c>
      <c r="Z68" s="27">
        <v>3</v>
      </c>
      <c r="AA68" t="s" s="17">
        <v>187</v>
      </c>
      <c r="AB68" t="s" s="25">
        <v>557</v>
      </c>
      <c r="AC68" t="s" s="38">
        <v>653</v>
      </c>
      <c r="AD68" t="s" s="36">
        <v>559</v>
      </c>
      <c r="AE68" t="s" s="23">
        <v>560</v>
      </c>
      <c r="AF68" t="s" s="17">
        <v>654</v>
      </c>
    </row>
    <row r="69" ht="18.05" customHeight="1">
      <c r="B69" t="str" s="15" cm="1">
        <f t="array" ref="B69">E69&amp;"_"&amp;G69&amp;"_"&amp;J69</f>
        <v>LED_WS2812B_SMD5050</v>
      </c>
      <c r="C69" t="str" s="16" cm="1">
        <f t="array" ref="C69">$G69&amp;IF($E69="LED"," LED","")&amp;IF($N69="",""," ")&amp;$N69&amp;IF($H69="",""," ")&amp;$H69&amp;IF($O69="",""," ")&amp;$O69&amp;IF($P69="",""," ")&amp;$P69&amp;IF($Q69="",""," ")&amp;$Q69&amp;IF($T69="",""," ")&amp;$T69&amp;IF($T69="","","mcd")</f>
        <v>WS2812B LED WS2812B-WS2812B5050 5v 12mA</v>
      </c>
      <c r="D69" t="str" s="16" cm="1">
        <f t="array" ref="D69">$G69&amp;" "&amp;E69&amp;IF($N69="",""," ")&amp;$N69&amp;IF($H69="",""," ")&amp;$H69&amp;IF($O69="",""," ")&amp;$O69&amp;IF($P69="",""," ")&amp;$P69&amp;IF($Q69="",""," ")&amp;$Q69&amp;IF($T69="",""," ")&amp;$T69&amp;IF($T69="","","mcd")</f>
        <v>WS2812B LED WS2812B-WS2812B5050 5v 12mA</v>
      </c>
      <c r="E69" t="s" s="17">
        <v>546</v>
      </c>
      <c r="F69" t="s" s="17">
        <v>5</v>
      </c>
      <c r="G69" t="s" s="17">
        <v>657</v>
      </c>
      <c r="H69" t="s" s="17">
        <v>658</v>
      </c>
      <c r="I69" t="s" s="31">
        <v>659</v>
      </c>
      <c r="J69" t="s" s="17">
        <v>660</v>
      </c>
      <c r="K69" s="17"/>
      <c r="L69" s="17"/>
      <c r="M69" s="17"/>
      <c r="N69" s="17"/>
      <c r="O69" t="s" s="17">
        <v>661</v>
      </c>
      <c r="P69" t="s" s="17">
        <v>662</v>
      </c>
      <c r="Q69" s="17"/>
      <c r="R69" s="17"/>
      <c r="S69" s="17"/>
      <c r="T69" s="17"/>
      <c r="U69" s="17"/>
      <c r="V69" s="24"/>
      <c r="W69" s="24"/>
      <c r="X69" t="s" s="18">
        <v>663</v>
      </c>
      <c r="Y69" t="str" s="20" cm="1">
        <f t="array" ref="Y69">IF(ISBLANK(X69),"",HYPERLINK("https://jlcpcb.com/partdetail/"&amp;$X69,$X69))</f>
        <v>C2843785</v>
      </c>
      <c r="Z69" s="27">
        <v>1</v>
      </c>
      <c r="AA69" t="s" s="17">
        <v>187</v>
      </c>
      <c r="AB69" t="s" s="25">
        <v>557</v>
      </c>
      <c r="AC69" t="s" s="32">
        <v>665</v>
      </c>
      <c r="AD69" t="s" s="22">
        <v>666</v>
      </c>
      <c r="AE69" t="s" s="23">
        <v>666</v>
      </c>
      <c r="AF69" t="s" s="17">
        <v>667</v>
      </c>
    </row>
    <row r="70" ht="19" customHeight="1">
      <c r="B70" t="str" s="15" cm="1">
        <f t="array" ref="B70">E70&amp;"_"&amp;G70&amp;"_"&amp;J70</f>
        <v>REG_AMS1117-ADJ_SOT-223-3</v>
      </c>
      <c r="C70" t="str" s="16" cm="1">
        <f t="array" ref="C70">$G70&amp;IF($E70="LED"," LED","")&amp;IF($N70="",""," ")&amp;$N70&amp;IF($H70="",""," ")&amp;$H70&amp;IF($O70="",""," ")&amp;$O70&amp;IF($P70="",""," ")&amp;$P70&amp;IF($Q70="",""," ")&amp;$Q70&amp;IF($T70="",""," ")&amp;$T70&amp;IF($T70="","","mcd")</f>
        <v>AMS1117-ADJ ADJ 1.25-10.5v 1A</v>
      </c>
      <c r="D70" t="str" s="16" cm="1">
        <f t="array" ref="D70">$G70&amp;" "&amp;E70&amp;IF($N70="",""," ")&amp;$N70&amp;IF($H70="",""," ")&amp;$H70&amp;IF($O70="",""," ")&amp;$O70&amp;IF($P70="",""," ")&amp;$P70&amp;IF($Q70="",""," ")&amp;$Q70&amp;IF($T70="",""," ")&amp;$T70&amp;IF($T70="","","mcd")</f>
        <v>AMS1117-ADJ REG ADJ 1.25-10.5v 1A</v>
      </c>
      <c r="E70" t="s" s="17">
        <v>671</v>
      </c>
      <c r="F70" t="s" s="17">
        <v>5</v>
      </c>
      <c r="G70" t="s" s="17">
        <v>672</v>
      </c>
      <c r="H70" t="s" s="17">
        <v>673</v>
      </c>
      <c r="I70" t="s" s="31">
        <v>674</v>
      </c>
      <c r="J70" t="s" s="18">
        <v>675</v>
      </c>
      <c r="K70" s="17"/>
      <c r="L70" s="17"/>
      <c r="M70" s="18"/>
      <c r="N70" s="17"/>
      <c r="O70" t="s" s="17">
        <v>676</v>
      </c>
      <c r="P70" t="s" s="32">
        <v>677</v>
      </c>
      <c r="Q70" s="32"/>
      <c r="R70" s="32"/>
      <c r="S70" s="32"/>
      <c r="T70" s="17"/>
      <c r="U70" s="17"/>
      <c r="V70" s="24"/>
      <c r="W70" s="24"/>
      <c r="X70" t="s" s="18">
        <v>678</v>
      </c>
      <c r="Y70" t="str" s="20" cm="1">
        <f t="array" ref="Y70">IF(ISBLANK(X70),"",HYPERLINK("https://jlcpcb.com/partdetail/"&amp;$X70,$X70))</f>
        <v>C5345985</v>
      </c>
      <c r="Z70" s="27">
        <v>10</v>
      </c>
      <c r="AA70" t="s" s="17">
        <v>187</v>
      </c>
      <c r="AB70" t="s" s="26">
        <v>680</v>
      </c>
      <c r="AC70" t="s" s="18">
        <v>672</v>
      </c>
      <c r="AD70" t="s" s="25">
        <v>681</v>
      </c>
      <c r="AE70" t="s" s="23">
        <v>682</v>
      </c>
      <c r="AF70" t="s" s="17">
        <v>683</v>
      </c>
    </row>
    <row r="71" ht="19" customHeight="1">
      <c r="B71" t="str" s="15" cm="1">
        <f t="array" ref="B71">E71&amp;"_"&amp;G71&amp;"_"&amp;J71</f>
        <v>REG_AMS1117-3.3_SOT-223-3</v>
      </c>
      <c r="C71" t="str" s="16" cm="1">
        <f t="array" ref="C71">$G71&amp;IF($E71="LED"," LED","")&amp;IF($N71="",""," ")&amp;$N71&amp;IF($H71="",""," ")&amp;$H71&amp;IF($O71="",""," ")&amp;$O71&amp;IF($P71="",""," ")&amp;$P71&amp;IF($Q71="",""," ")&amp;$Q71&amp;IF($T71="",""," ")&amp;$T71&amp;IF($T71="","","mcd")</f>
        <v>AMS1117-3.3 3v3 3v3 1A</v>
      </c>
      <c r="D71" t="str" s="16" cm="1">
        <f t="array" ref="D71">$G71&amp;" "&amp;E71&amp;IF($N71="",""," ")&amp;$N71&amp;IF($H71="",""," ")&amp;$H71&amp;IF($O71="",""," ")&amp;$O71&amp;IF($P71="",""," ")&amp;$P71&amp;IF($Q71="",""," ")&amp;$Q71&amp;IF($T71="",""," ")&amp;$T71&amp;IF($T71="","","mcd")</f>
        <v>AMS1117-3.3 REG 3v3 3v3 1A</v>
      </c>
      <c r="E71" t="s" s="17">
        <v>671</v>
      </c>
      <c r="F71" t="s" s="17">
        <v>5</v>
      </c>
      <c r="G71" t="s" s="17">
        <v>687</v>
      </c>
      <c r="H71" t="s" s="17">
        <v>688</v>
      </c>
      <c r="I71" t="s" s="31">
        <v>689</v>
      </c>
      <c r="J71" t="s" s="18">
        <v>675</v>
      </c>
      <c r="K71" s="17"/>
      <c r="L71" s="17"/>
      <c r="M71" s="18"/>
      <c r="N71" s="17"/>
      <c r="O71" t="s" s="17">
        <v>688</v>
      </c>
      <c r="P71" t="s" s="32">
        <v>677</v>
      </c>
      <c r="Q71" s="32"/>
      <c r="R71" s="32"/>
      <c r="S71" s="32"/>
      <c r="T71" s="17"/>
      <c r="U71" s="17"/>
      <c r="V71" s="24"/>
      <c r="W71" s="24"/>
      <c r="X71" t="s" s="18">
        <v>690</v>
      </c>
      <c r="Y71" t="str" s="20" cm="1">
        <f t="array" ref="Y71">IF(ISBLANK(X71),"",HYPERLINK("https://jlcpcb.com/partdetail/"&amp;$X71,$X71))</f>
        <v>C5345982</v>
      </c>
      <c r="Z71" s="27">
        <v>10</v>
      </c>
      <c r="AA71" t="s" s="17">
        <v>187</v>
      </c>
      <c r="AB71" t="s" s="26">
        <v>680</v>
      </c>
      <c r="AC71" t="s" s="18">
        <v>687</v>
      </c>
      <c r="AD71" t="s" s="25">
        <v>681</v>
      </c>
      <c r="AE71" t="s" s="23">
        <v>682</v>
      </c>
      <c r="AF71" t="s" s="17">
        <v>692</v>
      </c>
    </row>
    <row r="72" ht="19" customHeight="1">
      <c r="B72" t="str" s="15" cm="1">
        <f t="array" ref="B72">E72&amp;"_"&amp;G72&amp;"_"&amp;J72</f>
        <v>REG_AMS1117-5.0_SOT-223-3</v>
      </c>
      <c r="C72" t="str" s="16" cm="1">
        <f t="array" ref="C72">$G72&amp;IF($E72="LED"," LED","")&amp;IF($N72="",""," ")&amp;$N72&amp;IF($H72="",""," ")&amp;$H72&amp;IF($O72="",""," ")&amp;$O72&amp;IF($P72="",""," ")&amp;$P72&amp;IF($Q72="",""," ")&amp;$Q72&amp;IF($T72="",""," ")&amp;$T72&amp;IF($T72="","","mcd")</f>
        <v>AMS1117-5.0 5v 5v0 1A</v>
      </c>
      <c r="D72" t="str" s="16" cm="1">
        <f t="array" ref="D72">$G72&amp;" "&amp;E72&amp;IF($N72="",""," ")&amp;$N72&amp;IF($H72="",""," ")&amp;$H72&amp;IF($O72="",""," ")&amp;$O72&amp;IF($P72="",""," ")&amp;$P72&amp;IF($Q72="",""," ")&amp;$Q72&amp;IF($T72="",""," ")&amp;$T72&amp;IF($T72="","","mcd")</f>
        <v>AMS1117-5.0 REG 5v 5v0 1A</v>
      </c>
      <c r="E72" t="s" s="17">
        <v>671</v>
      </c>
      <c r="F72" t="s" s="17">
        <v>5</v>
      </c>
      <c r="G72" t="s" s="17">
        <v>696</v>
      </c>
      <c r="H72" t="s" s="17">
        <v>661</v>
      </c>
      <c r="I72" t="s" s="31">
        <v>697</v>
      </c>
      <c r="J72" t="s" s="18">
        <v>675</v>
      </c>
      <c r="K72" s="17"/>
      <c r="L72" s="17"/>
      <c r="M72" s="18"/>
      <c r="N72" s="17"/>
      <c r="O72" t="s" s="17">
        <v>698</v>
      </c>
      <c r="P72" t="s" s="32">
        <v>677</v>
      </c>
      <c r="Q72" s="32"/>
      <c r="R72" s="32"/>
      <c r="S72" s="32"/>
      <c r="T72" s="17"/>
      <c r="U72" s="17"/>
      <c r="V72" s="24"/>
      <c r="W72" s="24"/>
      <c r="X72" t="s" s="18">
        <v>699</v>
      </c>
      <c r="Y72" t="str" s="20" cm="1">
        <f t="array" ref="Y72">IF(ISBLANK(X72),"",HYPERLINK("https://jlcpcb.com/partdetail/"&amp;$X72,$X72))</f>
        <v>C5345984</v>
      </c>
      <c r="Z72" s="27">
        <v>1</v>
      </c>
      <c r="AA72" t="s" s="17">
        <v>187</v>
      </c>
      <c r="AB72" t="s" s="26">
        <v>680</v>
      </c>
      <c r="AC72" t="s" s="18">
        <v>696</v>
      </c>
      <c r="AD72" t="s" s="25">
        <v>681</v>
      </c>
      <c r="AE72" t="s" s="23">
        <v>682</v>
      </c>
      <c r="AF72" t="s" s="17">
        <v>701</v>
      </c>
    </row>
    <row r="73" ht="19" customHeight="1">
      <c r="B73" t="str" s="15" cm="1">
        <f t="array" ref="B73">E73&amp;"_"&amp;G73&amp;"_"&amp;J73</f>
        <v>REG_78L05_TO-220</v>
      </c>
      <c r="C73" t="str" s="16" cm="1">
        <f t="array" ref="C73">$G73&amp;IF($E73="LED"," LED","")&amp;IF($N73="",""," ")&amp;$N73&amp;IF($H73="",""," ")&amp;$H73&amp;IF($O73="",""," ")&amp;$O73&amp;IF($P73="",""," ")&amp;$P73&amp;IF($Q73="",""," ")&amp;$Q73&amp;IF($T73="",""," ")&amp;$T73&amp;IF($T73="","","mcd")</f>
        <v>78L05 5v</v>
      </c>
      <c r="D73" t="str" s="16" cm="1">
        <f t="array" ref="D73">$G73&amp;" "&amp;E73&amp;IF($N73="",""," ")&amp;$N73&amp;IF($H73="",""," ")&amp;$H73&amp;IF($O73="",""," ")&amp;$O73&amp;IF($P73="",""," ")&amp;$P73&amp;IF($Q73="",""," ")&amp;$Q73&amp;IF($T73="",""," ")&amp;$T73&amp;IF($T73="","","mcd")</f>
        <v>78L05 REG 5v</v>
      </c>
      <c r="E73" t="s" s="17">
        <v>671</v>
      </c>
      <c r="F73" t="s" s="17">
        <v>178</v>
      </c>
      <c r="G73" t="s" s="32">
        <v>705</v>
      </c>
      <c r="H73" t="s" s="17">
        <v>661</v>
      </c>
      <c r="I73" t="s" s="31">
        <v>706</v>
      </c>
      <c r="J73" t="s" s="18">
        <v>707</v>
      </c>
      <c r="K73" s="17"/>
      <c r="L73" s="17"/>
      <c r="M73" s="18"/>
      <c r="N73" s="17"/>
      <c r="O73" s="17"/>
      <c r="P73" s="32"/>
      <c r="Q73" s="32"/>
      <c r="R73" s="32"/>
      <c r="S73" s="32"/>
      <c r="T73" s="17"/>
      <c r="U73" s="17"/>
      <c r="V73" s="24"/>
      <c r="W73" s="24"/>
      <c r="X73" s="24"/>
      <c r="Y73" t="str" s="20" cm="1">
        <f t="array" ref="Y73">IF(ISBLANK(X73),"",HYPERLINK("https://jlcpcb.com/partdetail/"&amp;$X73,$X73))</f>
      </c>
      <c r="Z73" s="27">
        <v>10</v>
      </c>
      <c r="AA73" t="s" s="17">
        <v>187</v>
      </c>
      <c r="AB73" s="39"/>
      <c r="AC73" s="24"/>
      <c r="AD73" s="15"/>
      <c r="AE73" s="28"/>
      <c r="AF73" s="19"/>
    </row>
    <row r="74" ht="19" customHeight="1">
      <c r="B74" t="str" s="15" cm="1">
        <f t="array" ref="B74">E74&amp;"_"&amp;G74&amp;"_"&amp;J74</f>
        <v>RLY_G2RL-2_29x12.7x15.7mm</v>
      </c>
      <c r="C74" t="str" s="16" cm="1">
        <f t="array" ref="C74">$G74&amp;IF($E74="LED"," LED","")&amp;IF($N74="",""," ")&amp;$N74&amp;IF($H74="",""," ")&amp;$H74&amp;IF($O74="",""," ")&amp;$O74&amp;IF($P74="",""," ")&amp;$P74&amp;IF($Q74="",""," ")&amp;$Q74&amp;IF($T74="",""," ")&amp;$T74&amp;IF($T74="","","mcd")</f>
        <v>G2RL-2 24v DPDT 24v 8A</v>
      </c>
      <c r="D74" t="str" s="16" cm="1">
        <f t="array" ref="D74">$G74&amp;" "&amp;E74&amp;IF($N74="",""," ")&amp;$N74&amp;IF($H74="",""," ")&amp;$H74&amp;IF($O74="",""," ")&amp;$O74&amp;IF($P74="",""," ")&amp;$P74&amp;IF($Q74="",""," ")&amp;$Q74&amp;IF($T74="",""," ")&amp;$T74&amp;IF($T74="","","mcd")</f>
        <v>G2RL-2 RLY 24v DPDT 24v 8A</v>
      </c>
      <c r="E74" t="s" s="17">
        <v>711</v>
      </c>
      <c r="F74" t="s" s="17">
        <v>178</v>
      </c>
      <c r="G74" t="s" s="17">
        <v>712</v>
      </c>
      <c r="H74" t="s" s="17">
        <v>713</v>
      </c>
      <c r="I74" t="s" s="31">
        <v>714</v>
      </c>
      <c r="J74" t="s" s="18">
        <v>715</v>
      </c>
      <c r="K74" s="17"/>
      <c r="L74" s="17"/>
      <c r="M74" s="18"/>
      <c r="N74" s="17"/>
      <c r="O74" t="s" s="17">
        <v>716</v>
      </c>
      <c r="P74" t="s" s="32">
        <v>717</v>
      </c>
      <c r="Q74" s="32"/>
      <c r="R74" s="32"/>
      <c r="S74" s="32"/>
      <c r="T74" s="17"/>
      <c r="U74" s="17"/>
      <c r="V74" s="24"/>
      <c r="W74" s="24"/>
      <c r="X74" s="24"/>
      <c r="Y74" t="str" s="20" cm="1">
        <f t="array" ref="Y74">IF(ISBLANK(X74),"",HYPERLINK("https://jlcpcb.com/partdetail/"&amp;$X74,$X74))</f>
      </c>
      <c r="Z74" s="27">
        <v>10</v>
      </c>
      <c r="AA74" t="s" s="17">
        <v>187</v>
      </c>
      <c r="AB74" t="s" s="26">
        <v>718</v>
      </c>
      <c r="AC74" t="s" s="18">
        <v>719</v>
      </c>
      <c r="AD74" t="s" s="25">
        <v>720</v>
      </c>
      <c r="AE74" t="s" s="23">
        <v>721</v>
      </c>
      <c r="AF74" t="s" s="17">
        <v>722</v>
      </c>
    </row>
    <row r="75" ht="19" customHeight="1">
      <c r="B75" t="str" s="15" cm="1">
        <f t="array" ref="B75">E75&amp;"_"&amp;H75&amp;"_"&amp;P75&amp;"_"&amp;J76&amp;"_"&amp;G75</f>
        <v>Q_NPN_600mA_SOT-23_MMBT2222LT1G</v>
      </c>
      <c r="C75" t="str" s="16" cm="1">
        <f t="array" ref="C75">$G75&amp;IF($E75="LED"," LED","")&amp;IF($N75="",""," ")&amp;$N75&amp;IF($H75="",""," ")&amp;$H75&amp;IF($O75="",""," ")&amp;$O75&amp;IF($P75="",""," ")&amp;$P75&amp;IF($Q75="",""," ")&amp;$Q75&amp;IF($T75="",""," ")&amp;$T75&amp;IF($T75="","","mcd")</f>
        <v>MMBT2222LT1G NPN 30V 600mA 300mW</v>
      </c>
      <c r="D75" t="str" s="16" cm="1">
        <f t="array" ref="D75">$G75&amp;" "&amp;E75&amp;IF($N75="",""," ")&amp;$N75&amp;IF($H75="",""," ")&amp;$H75&amp;IF($O75="",""," ")&amp;$O75&amp;IF($P75="",""," ")&amp;$P75&amp;IF($Q75="",""," ")&amp;$Q75&amp;IF($T75="",""," ")&amp;$T75&amp;IF($T75="","","mcd")</f>
        <v>MMBT2222LT1G Q NPN 30V 600mA 300mW</v>
      </c>
      <c r="E75" t="s" s="17">
        <v>726</v>
      </c>
      <c r="F75" t="s" s="17">
        <v>5</v>
      </c>
      <c r="G75" t="s" s="32">
        <v>727</v>
      </c>
      <c r="H75" t="s" s="17">
        <v>728</v>
      </c>
      <c r="I75" t="s" s="31">
        <v>729</v>
      </c>
      <c r="J75" t="s" s="17">
        <v>446</v>
      </c>
      <c r="K75" s="17"/>
      <c r="L75" s="17"/>
      <c r="M75" s="17"/>
      <c r="N75" s="17"/>
      <c r="O75" t="s" s="17">
        <v>447</v>
      </c>
      <c r="P75" t="s" s="32">
        <v>730</v>
      </c>
      <c r="Q75" t="s" s="32">
        <v>731</v>
      </c>
      <c r="R75" s="32"/>
      <c r="S75" s="32"/>
      <c r="T75" s="17"/>
      <c r="U75" s="17"/>
      <c r="V75" s="24"/>
      <c r="W75" s="24"/>
      <c r="X75" s="24"/>
      <c r="Y75" t="str" s="20" cm="1">
        <f t="array" ref="Y75">IF(ISBLANK(X75),"",HYPERLINK("https://jlcpcb.com/partdetail/"&amp;$X75,$X75))</f>
      </c>
      <c r="Z75" s="27">
        <v>10</v>
      </c>
      <c r="AA75" t="s" s="17">
        <v>187</v>
      </c>
      <c r="AB75" t="s" s="25">
        <v>732</v>
      </c>
      <c r="AC75" t="s" s="32">
        <v>727</v>
      </c>
      <c r="AD75" t="s" s="25">
        <v>733</v>
      </c>
      <c r="AE75" t="s" s="23">
        <v>452</v>
      </c>
      <c r="AF75" s="19"/>
    </row>
    <row r="76" ht="19" customHeight="1">
      <c r="B76" t="str" s="15" cm="1">
        <f t="array" ref="B76">E76&amp;"_"&amp;H76&amp;"_"&amp;P76&amp;"_"&amp;J77&amp;"_"&amp;G76</f>
        <v>Q_NPN_200mA_SOT-23_MMBT3904</v>
      </c>
      <c r="C76" t="str" s="16" cm="1">
        <f t="array" ref="C76">$G76&amp;IF($E76="LED"," LED","")&amp;IF($N76="",""," ")&amp;$N76&amp;IF($H76="",""," ")&amp;$H76&amp;IF($O76="",""," ")&amp;$O76&amp;IF($P76="",""," ")&amp;$P76&amp;IF($Q76="",""," ")&amp;$Q76&amp;IF($T76="",""," ")&amp;$T76&amp;IF($T76="","","mcd")</f>
        <v>MMBT3904 NPN 40V 200mA 200mW</v>
      </c>
      <c r="D76" t="str" s="16" cm="1">
        <f t="array" ref="D76">$G76&amp;" "&amp;E76&amp;IF($N76="",""," ")&amp;$N76&amp;IF($H76="",""," ")&amp;$H76&amp;IF($O76="",""," ")&amp;$O76&amp;IF($P76="",""," ")&amp;$P76&amp;IF($Q76="",""," ")&amp;$Q76&amp;IF($T76="",""," ")&amp;$T76&amp;IF($T76="","","mcd")</f>
        <v>MMBT3904 Q NPN 40V 200mA 200mW</v>
      </c>
      <c r="E76" t="s" s="17">
        <v>726</v>
      </c>
      <c r="F76" t="s" s="17">
        <v>5</v>
      </c>
      <c r="G76" t="s" s="32">
        <v>737</v>
      </c>
      <c r="H76" t="s" s="17">
        <v>728</v>
      </c>
      <c r="I76" t="s" s="31">
        <v>738</v>
      </c>
      <c r="J76" t="s" s="17">
        <v>446</v>
      </c>
      <c r="K76" s="17"/>
      <c r="L76" s="17"/>
      <c r="M76" s="17"/>
      <c r="N76" s="17"/>
      <c r="O76" t="s" s="17">
        <v>739</v>
      </c>
      <c r="P76" t="s" s="32">
        <v>740</v>
      </c>
      <c r="Q76" t="s" s="32">
        <v>432</v>
      </c>
      <c r="R76" s="32"/>
      <c r="S76" s="32"/>
      <c r="T76" s="17"/>
      <c r="U76" s="17"/>
      <c r="V76" s="24"/>
      <c r="W76" s="24"/>
      <c r="X76" t="s" s="18">
        <v>741</v>
      </c>
      <c r="Y76" t="str" s="20" cm="1">
        <f t="array" ref="Y76">IF(ISBLANK(X76),"",HYPERLINK("https://jlcpcb.com/partdetail/"&amp;$X76,$X76))</f>
        <v>C5184404</v>
      </c>
      <c r="Z76" s="27">
        <v>1</v>
      </c>
      <c r="AA76" t="s" s="17">
        <v>187</v>
      </c>
      <c r="AB76" t="s" s="25">
        <v>450</v>
      </c>
      <c r="AC76" t="s" s="32">
        <v>737</v>
      </c>
      <c r="AD76" t="s" s="25">
        <v>733</v>
      </c>
      <c r="AE76" t="s" s="23">
        <v>452</v>
      </c>
      <c r="AF76" t="s" s="17">
        <v>743</v>
      </c>
    </row>
    <row r="77" ht="19" customHeight="1">
      <c r="B77" t="str" s="15" cm="1">
        <f t="array" ref="B77">E77&amp;"_"&amp;H77&amp;"_"&amp;P77&amp;"_"&amp;J78&amp;"_"&amp;G77</f>
        <v>Q_PNP_500mA_SOT-23_BC807</v>
      </c>
      <c r="C77" t="str" s="16" cm="1">
        <f t="array" ref="C77">$G77&amp;IF($E77="LED"," LED","")&amp;IF($N77="",""," ")&amp;$N77&amp;IF($H77="",""," ")&amp;$H77&amp;IF($O77="",""," ")&amp;$O77&amp;IF($P77="",""," ")&amp;$P77&amp;IF($Q77="",""," ")&amp;$Q77&amp;IF($T77="",""," ")&amp;$T77&amp;IF($T77="","","mcd")</f>
        <v>BC807 PNP 45V 500mA 300mW</v>
      </c>
      <c r="D77" t="str" s="16" cm="1">
        <f t="array" ref="D77">$G77&amp;" "&amp;E77&amp;IF($N77="",""," ")&amp;$N77&amp;IF($H77="",""," ")&amp;$H77&amp;IF($O77="",""," ")&amp;$O77&amp;IF($P77="",""," ")&amp;$P77&amp;IF($Q77="",""," ")&amp;$Q77&amp;IF($T77="",""," ")&amp;$T77&amp;IF($T77="","","mcd")</f>
        <v>BC807 Q PNP 45V 500mA 300mW</v>
      </c>
      <c r="E77" t="s" s="17">
        <v>726</v>
      </c>
      <c r="F77" t="s" s="17">
        <v>5</v>
      </c>
      <c r="G77" t="s" s="32">
        <v>747</v>
      </c>
      <c r="H77" t="s" s="17">
        <v>748</v>
      </c>
      <c r="I77" t="s" s="31">
        <v>749</v>
      </c>
      <c r="J77" t="s" s="32">
        <v>446</v>
      </c>
      <c r="K77" s="17"/>
      <c r="L77" s="17"/>
      <c r="M77" s="17"/>
      <c r="N77" s="17"/>
      <c r="O77" t="s" s="17">
        <v>750</v>
      </c>
      <c r="P77" t="s" s="17">
        <v>751</v>
      </c>
      <c r="Q77" t="s" s="17">
        <v>731</v>
      </c>
      <c r="R77" s="17"/>
      <c r="S77" s="17"/>
      <c r="T77" s="17"/>
      <c r="U77" s="17"/>
      <c r="V77" s="24"/>
      <c r="W77" s="24"/>
      <c r="X77" t="s" s="18">
        <v>752</v>
      </c>
      <c r="Y77" t="str" s="20" cm="1">
        <f t="array" ref="Y77">IF(ISBLANK(X77),"",HYPERLINK("https://jlcpcb.com/partdetail/"&amp;$X77,$X77))</f>
        <v>C5184433</v>
      </c>
      <c r="Z77" s="27">
        <v>1</v>
      </c>
      <c r="AA77" t="s" s="17">
        <v>187</v>
      </c>
      <c r="AB77" t="s" s="25">
        <v>450</v>
      </c>
      <c r="AC77" t="s" s="32">
        <v>754</v>
      </c>
      <c r="AD77" t="s" s="25">
        <v>755</v>
      </c>
      <c r="AE77" t="s" s="23">
        <v>452</v>
      </c>
      <c r="AF77" t="s" s="17">
        <v>756</v>
      </c>
    </row>
    <row r="78" ht="19" customHeight="1">
      <c r="B78" t="str" s="15" cm="1">
        <f t="array" ref="B78">E78&amp;"_"&amp;H78&amp;"_"&amp;P78&amp;"_"&amp;J79&amp;"_"&amp;G78</f>
        <v>Q_N-FET_300mA_SO-8_2N7002</v>
      </c>
      <c r="C78" t="str" s="16" cm="1">
        <f t="array" ref="C78">$G78&amp;IF($E78="LED"," LED","")&amp;IF($N78="",""," ")&amp;$N78&amp;IF($H78="",""," ")&amp;$H78&amp;IF($O78="",""," ")&amp;$O78&amp;IF($P78="",""," ")&amp;$P78&amp;IF($Q78="",""," ")&amp;$Q78&amp;IF($T78="",""," ")&amp;$T78&amp;IF($T78="","","mcd")</f>
        <v>2N7002 N-FET 60v 300mA</v>
      </c>
      <c r="D78" t="str" s="16" cm="1">
        <f t="array" ref="D78">$G78&amp;" "&amp;E78&amp;IF($N78="",""," ")&amp;$N78&amp;IF($H78="",""," ")&amp;$H78&amp;IF($O78="",""," ")&amp;$O78&amp;IF($P78="",""," ")&amp;$P78&amp;IF($Q78="",""," ")&amp;$Q78&amp;IF($T78="",""," ")&amp;$T78&amp;IF($T78="","","mcd")</f>
        <v>2N7002 Q N-FET 60v 300mA</v>
      </c>
      <c r="E78" t="s" s="17">
        <v>726</v>
      </c>
      <c r="F78" t="s" s="17">
        <v>5</v>
      </c>
      <c r="G78" t="s" s="17">
        <v>760</v>
      </c>
      <c r="H78" t="s" s="17">
        <v>761</v>
      </c>
      <c r="I78" t="s" s="18">
        <v>762</v>
      </c>
      <c r="J78" t="s" s="17">
        <v>446</v>
      </c>
      <c r="K78" s="17"/>
      <c r="L78" s="17"/>
      <c r="M78" s="17"/>
      <c r="N78" s="17"/>
      <c r="O78" t="s" s="17">
        <v>763</v>
      </c>
      <c r="P78" t="s" s="17">
        <v>764</v>
      </c>
      <c r="Q78" s="17"/>
      <c r="R78" s="17"/>
      <c r="S78" s="17"/>
      <c r="T78" s="17"/>
      <c r="U78" s="17"/>
      <c r="V78" s="24"/>
      <c r="W78" s="24"/>
      <c r="X78" t="s" s="18">
        <v>765</v>
      </c>
      <c r="Y78" t="str" s="20" cm="1">
        <f t="array" ref="Y78">IF(ISBLANK(X78),"",HYPERLINK("https://jlcpcb.com/partdetail/"&amp;$X78,$X78))</f>
        <v>C5224215</v>
      </c>
      <c r="Z78" s="27">
        <v>1</v>
      </c>
      <c r="AA78" t="s" s="17">
        <v>187</v>
      </c>
      <c r="AB78" t="s" s="25">
        <v>767</v>
      </c>
      <c r="AC78" t="s" s="17">
        <v>760</v>
      </c>
      <c r="AD78" t="s" s="22">
        <v>768</v>
      </c>
      <c r="AE78" t="s" s="23">
        <v>452</v>
      </c>
      <c r="AF78" t="s" s="17">
        <v>769</v>
      </c>
    </row>
    <row r="79" ht="19" customHeight="1">
      <c r="B79" t="str" s="15" cm="1">
        <f t="array" ref="B79">E79&amp;"_"&amp;H79&amp;"_"&amp;P79&amp;"_"&amp;J80&amp;"_"&amp;G79</f>
        <v>Q_N-FET_10A_SOT-23_DMN4468</v>
      </c>
      <c r="C79" t="str" s="16" cm="1">
        <f t="array" ref="C79">$G79&amp;IF($E79="LED"," LED","")&amp;IF($N79="",""," ")&amp;$N79&amp;IF($H79="",""," ")&amp;$H79&amp;IF($O79="",""," ")&amp;$O79&amp;IF($P79="",""," ")&amp;$P79&amp;IF($Q79="",""," ")&amp;$Q79&amp;IF($T79="",""," ")&amp;$T79&amp;IF($T79="","","mcd")</f>
        <v>DMN4468 N-FET 30v 10A</v>
      </c>
      <c r="D79" t="str" s="16" cm="1">
        <f t="array" ref="D79">$G79&amp;" "&amp;E79&amp;IF($N79="",""," ")&amp;$N79&amp;IF($H79="",""," ")&amp;$H79&amp;IF($O79="",""," ")&amp;$O79&amp;IF($P79="",""," ")&amp;$P79&amp;IF($Q79="",""," ")&amp;$Q79&amp;IF($T79="",""," ")&amp;$T79&amp;IF($T79="","","mcd")</f>
        <v>DMN4468 Q N-FET 30v 10A</v>
      </c>
      <c r="E79" t="s" s="17">
        <v>726</v>
      </c>
      <c r="F79" t="s" s="17">
        <v>5</v>
      </c>
      <c r="G79" t="s" s="17">
        <v>773</v>
      </c>
      <c r="H79" t="s" s="17">
        <v>761</v>
      </c>
      <c r="I79" t="s" s="18">
        <v>774</v>
      </c>
      <c r="J79" t="s" s="17">
        <v>775</v>
      </c>
      <c r="K79" s="17"/>
      <c r="L79" s="17"/>
      <c r="M79" s="17"/>
      <c r="N79" s="17"/>
      <c r="O79" t="s" s="17">
        <v>776</v>
      </c>
      <c r="P79" t="s" s="17">
        <v>777</v>
      </c>
      <c r="Q79" s="17"/>
      <c r="R79" s="17"/>
      <c r="S79" s="17"/>
      <c r="T79" s="17"/>
      <c r="U79" s="17"/>
      <c r="V79" s="24"/>
      <c r="W79" s="24"/>
      <c r="X79" t="s" s="18">
        <v>778</v>
      </c>
      <c r="Y79" t="str" s="20" cm="1">
        <f t="array" ref="Y79">IF(ISBLANK(X79),"",HYPERLINK("https://jlcpcb.com/partdetail/"&amp;$X79,$X79))</f>
        <v>C878901</v>
      </c>
      <c r="Z79" s="27">
        <v>1</v>
      </c>
      <c r="AA79" t="s" s="17">
        <v>187</v>
      </c>
      <c r="AB79" t="s" s="25">
        <v>780</v>
      </c>
      <c r="AC79" t="s" s="17">
        <v>781</v>
      </c>
      <c r="AD79" t="s" s="22">
        <v>782</v>
      </c>
      <c r="AE79" t="s" s="23">
        <v>783</v>
      </c>
      <c r="AF79" t="s" s="17">
        <v>784</v>
      </c>
    </row>
    <row r="80" ht="19" customHeight="1">
      <c r="B80" t="str" s="15" cm="1">
        <f t="array" ref="B80">E80&amp;"_"&amp;H80&amp;"_"&amp;P80&amp;"_"&amp;J81&amp;"_"&amp;G80</f>
        <v>Q_P-FET_2.3A_0603_2301V</v>
      </c>
      <c r="C80" t="str" s="16" cm="1">
        <f t="array" ref="C80">$G80&amp;IF($E80="LED"," LED","")&amp;IF($N80="",""," ")&amp;$N80&amp;IF($H80="",""," ")&amp;$H80&amp;IF($O80="",""," ")&amp;$O80&amp;IF($P80="",""," ")&amp;$P80&amp;IF($Q80="",""," ")&amp;$Q80&amp;IF($T80="",""," ")&amp;$T80&amp;IF($T80="","","mcd")</f>
        <v>2301V P-FET 20V 2.3A</v>
      </c>
      <c r="D80" t="str" s="16" cm="1">
        <f t="array" ref="D80">$G80&amp;" "&amp;E80&amp;IF($N80="",""," ")&amp;$N80&amp;IF($H80="",""," ")&amp;$H80&amp;IF($O80="",""," ")&amp;$O80&amp;IF($P80="",""," ")&amp;$P80&amp;IF($Q80="",""," ")&amp;$Q80&amp;IF($T80="",""," ")&amp;$T80&amp;IF($T80="","","mcd")</f>
        <v>2301V Q P-FET 20V 2.3A</v>
      </c>
      <c r="E80" t="s" s="17">
        <v>726</v>
      </c>
      <c r="F80" t="s" s="17">
        <v>5</v>
      </c>
      <c r="G80" t="s" s="32">
        <v>788</v>
      </c>
      <c r="H80" t="s" s="17">
        <v>789</v>
      </c>
      <c r="I80" t="s" s="31">
        <v>790</v>
      </c>
      <c r="J80" t="s" s="17">
        <v>446</v>
      </c>
      <c r="K80" s="17"/>
      <c r="L80" s="17"/>
      <c r="M80" s="17"/>
      <c r="N80" s="17"/>
      <c r="O80" t="s" s="17">
        <v>791</v>
      </c>
      <c r="P80" t="s" s="17">
        <v>792</v>
      </c>
      <c r="Q80" s="17"/>
      <c r="R80" s="17"/>
      <c r="S80" s="17"/>
      <c r="T80" s="17"/>
      <c r="U80" s="17"/>
      <c r="V80" s="24"/>
      <c r="W80" s="24"/>
      <c r="X80" t="s" s="18">
        <v>793</v>
      </c>
      <c r="Y80" t="str" s="20" cm="1">
        <f t="array" ref="Y80">IF(ISBLANK(X80),"",HYPERLINK("https://jlcpcb.com/partdetail/"&amp;$X80,$X80))</f>
        <v>C7499856</v>
      </c>
      <c r="Z80" s="27">
        <v>1</v>
      </c>
      <c r="AA80" t="s" s="17">
        <v>187</v>
      </c>
      <c r="AB80" t="s" s="34">
        <v>795</v>
      </c>
      <c r="AC80" t="s" s="32">
        <v>788</v>
      </c>
      <c r="AD80" t="s" s="25">
        <v>796</v>
      </c>
      <c r="AE80" t="s" s="23">
        <v>452</v>
      </c>
      <c r="AF80" t="s" s="17">
        <v>797</v>
      </c>
    </row>
    <row r="81" ht="18.9" customHeight="1">
      <c r="B81" t="str" s="15" cm="1">
        <f t="array" ref="B81">E81&amp;"_"&amp;N81&amp;"_"&amp;Q81&amp;"_"&amp;J81&amp;"_"&amp;G81</f>
        <v>RES_5%_100mW_0603_200</v>
      </c>
      <c r="C81" t="str" s="16" cm="1">
        <f t="array" ref="C81">$G81&amp;IF($E81="LED"," LED","")&amp;IF($N81="",""," ")&amp;$N81&amp;IF($H81="",""," ")&amp;$H81&amp;IF($O81="",""," ")&amp;$O81&amp;IF($P81="",""," ")&amp;$P81&amp;IF($Q81="",""," ")&amp;$Q81&amp;IF($T81="",""," ")&amp;$T81&amp;IF($T81="","","mcd")</f>
        <v>200 5% thick film 75V 100mW</v>
      </c>
      <c r="D81" t="str" s="16" cm="1">
        <f t="array" ref="D81">$G81&amp;" "&amp;E81&amp;IF($N81="",""," ")&amp;$N81&amp;IF($H81="",""," ")&amp;$H81&amp;IF($O81="",""," ")&amp;$O81&amp;IF($P81="",""," ")&amp;$P81&amp;IF($Q81="",""," ")&amp;$Q81&amp;IF($T81="",""," ")&amp;$T81&amp;IF($T81="","","mcd")</f>
        <v>200 RES 5% thick film 75V 100mW</v>
      </c>
      <c r="E81" t="s" s="17">
        <v>801</v>
      </c>
      <c r="F81" t="s" s="17">
        <v>5</v>
      </c>
      <c r="G81" t="s" s="17">
        <v>802</v>
      </c>
      <c r="H81" t="s" s="17">
        <v>803</v>
      </c>
      <c r="I81" t="s" s="18">
        <v>804</v>
      </c>
      <c r="J81" t="s" s="17">
        <v>309</v>
      </c>
      <c r="K81" s="17"/>
      <c r="L81" s="17"/>
      <c r="M81" s="17"/>
      <c r="N81" t="s" s="17">
        <v>805</v>
      </c>
      <c r="O81" t="s" s="17">
        <v>806</v>
      </c>
      <c r="P81" s="17"/>
      <c r="Q81" t="s" s="17">
        <v>807</v>
      </c>
      <c r="R81" s="17"/>
      <c r="S81" s="17"/>
      <c r="T81" s="17"/>
      <c r="U81" s="17"/>
      <c r="V81" s="24"/>
      <c r="W81" s="24"/>
      <c r="X81" t="s" s="18">
        <v>808</v>
      </c>
      <c r="Y81" t="str" s="20" cm="1">
        <f t="array" ref="Y81">IF(ISBLANK(X81),"",HYPERLINK("https://jlcpcb.com/partdetail/"&amp;$X81,$X81))</f>
        <v>C2907123</v>
      </c>
      <c r="Z81" s="27">
        <v>1</v>
      </c>
      <c r="AA81" t="s" s="17">
        <v>314</v>
      </c>
      <c r="AB81" t="s" s="25">
        <v>810</v>
      </c>
      <c r="AC81" t="s" s="17">
        <v>811</v>
      </c>
      <c r="AD81" t="s" s="22">
        <v>812</v>
      </c>
      <c r="AE81" t="s" s="23">
        <v>813</v>
      </c>
      <c r="AF81" t="s" s="17">
        <v>814</v>
      </c>
    </row>
    <row r="82" ht="18.9" customHeight="1">
      <c r="B82" t="str" s="40" cm="1">
        <f t="array" ref="B82">E82&amp;"_"&amp;N82&amp;"_"&amp;Q82&amp;"_"&amp;J82&amp;"_"&amp;G82</f>
        <v>RES_1%_100mW_0603_220</v>
      </c>
      <c r="C82" t="str" s="16" cm="1">
        <f t="array" ref="C82">$G82&amp;IF($E82="LED"," LED","")&amp;IF($N82="",""," ")&amp;$N82&amp;IF($H82="",""," ")&amp;$H82&amp;IF($O82="",""," ")&amp;$O82&amp;IF($P82="",""," ")&amp;$P82&amp;IF($Q82="",""," ")&amp;$Q82&amp;IF($T82="",""," ")&amp;$T82&amp;IF($T82="","","mcd")</f>
        <v>220 1% thick film 150V 100mW</v>
      </c>
      <c r="D82" t="str" s="16" cm="1">
        <f t="array" ref="D82">$G82&amp;" "&amp;E82&amp;IF($N82="",""," ")&amp;$N82&amp;IF($H82="",""," ")&amp;$H82&amp;IF($O82="",""," ")&amp;$O82&amp;IF($P82="",""," ")&amp;$P82&amp;IF($Q82="",""," ")&amp;$Q82&amp;IF($T82="",""," ")&amp;$T82&amp;IF($T82="","","mcd")</f>
        <v>220 RES 1% thick film 150V 100mW</v>
      </c>
      <c r="E82" t="s" s="17">
        <v>801</v>
      </c>
      <c r="F82" t="s" s="17">
        <v>5</v>
      </c>
      <c r="G82" t="s" s="17">
        <v>818</v>
      </c>
      <c r="H82" t="s" s="17">
        <v>803</v>
      </c>
      <c r="I82" t="s" s="18">
        <v>819</v>
      </c>
      <c r="J82" t="s" s="17">
        <v>309</v>
      </c>
      <c r="K82" s="17"/>
      <c r="L82" s="17"/>
      <c r="M82" s="17"/>
      <c r="N82" t="s" s="17">
        <v>820</v>
      </c>
      <c r="O82" t="s" s="17">
        <v>821</v>
      </c>
      <c r="P82" s="17"/>
      <c r="Q82" t="s" s="17">
        <v>807</v>
      </c>
      <c r="R82" s="17"/>
      <c r="S82" s="17"/>
      <c r="T82" s="17"/>
      <c r="U82" s="17"/>
      <c r="V82" s="24"/>
      <c r="W82" s="24"/>
      <c r="X82" t="s" s="18">
        <v>822</v>
      </c>
      <c r="Y82" t="str" s="20" cm="1">
        <f t="array" ref="Y82">IF(ISBLANK(X82),"",HYPERLINK("https://jlcpcb.com/partdetail/"&amp;$X82,$X82))</f>
        <v>C5842375</v>
      </c>
      <c r="Z82" s="27">
        <v>2</v>
      </c>
      <c r="AA82" t="s" s="17">
        <v>314</v>
      </c>
      <c r="AB82" t="s" s="25">
        <v>315</v>
      </c>
      <c r="AC82" t="s" s="17">
        <v>824</v>
      </c>
      <c r="AD82" t="s" s="22">
        <v>812</v>
      </c>
      <c r="AE82" t="s" s="23">
        <v>813</v>
      </c>
      <c r="AF82" t="s" s="17">
        <v>825</v>
      </c>
    </row>
    <row r="83" ht="18.9" customHeight="1">
      <c r="B83" t="str" s="40" cm="1">
        <f t="array" ref="B83">E83&amp;"_"&amp;N83&amp;"_"&amp;Q83&amp;"_"&amp;J83&amp;"_"&amp;G83</f>
        <v>RES_5%_100mW_0603_220</v>
      </c>
      <c r="C83" t="str" s="16" cm="1">
        <f t="array" ref="C83">$G83&amp;IF($E83="LED"," LED","")&amp;IF($N83="",""," ")&amp;$N83&amp;IF($H83="",""," ")&amp;$H83&amp;IF($O83="",""," ")&amp;$O83&amp;IF($P83="",""," ")&amp;$P83&amp;IF($Q83="",""," ")&amp;$Q83&amp;IF($T83="",""," ")&amp;$T83&amp;IF($T83="","","mcd")</f>
        <v>220 5% thick film 75V 100mW</v>
      </c>
      <c r="D83" t="str" s="16" cm="1">
        <f t="array" ref="D83">$G83&amp;" "&amp;E83&amp;IF($N83="",""," ")&amp;$N83&amp;IF($H83="",""," ")&amp;$H83&amp;IF($O83="",""," ")&amp;$O83&amp;IF($P83="",""," ")&amp;$P83&amp;IF($Q83="",""," ")&amp;$Q83&amp;IF($T83="",""," ")&amp;$T83&amp;IF($T83="","","mcd")</f>
        <v>220 RES 5% thick film 75V 100mW</v>
      </c>
      <c r="E83" t="s" s="17">
        <v>801</v>
      </c>
      <c r="F83" t="s" s="17">
        <v>5</v>
      </c>
      <c r="G83" t="s" s="17">
        <v>818</v>
      </c>
      <c r="H83" t="s" s="17">
        <v>803</v>
      </c>
      <c r="I83" t="s" s="18">
        <v>829</v>
      </c>
      <c r="J83" t="s" s="17">
        <v>309</v>
      </c>
      <c r="K83" s="17"/>
      <c r="L83" s="17"/>
      <c r="M83" s="17"/>
      <c r="N83" t="s" s="17">
        <v>805</v>
      </c>
      <c r="O83" t="s" s="17">
        <v>806</v>
      </c>
      <c r="P83" s="17"/>
      <c r="Q83" t="s" s="17">
        <v>807</v>
      </c>
      <c r="R83" s="17"/>
      <c r="S83" s="17"/>
      <c r="T83" s="17"/>
      <c r="U83" s="17"/>
      <c r="V83" s="24"/>
      <c r="W83" s="24"/>
      <c r="X83" t="s" s="18">
        <v>830</v>
      </c>
      <c r="Y83" t="str" s="20" cm="1">
        <f t="array" ref="Y83">IF(ISBLANK(X83),"",HYPERLINK("https://jlcpcb.com/partdetail/"&amp;$X83,$X83))</f>
        <v>C1226</v>
      </c>
      <c r="Z83" s="27">
        <v>3</v>
      </c>
      <c r="AA83" t="s" s="17">
        <v>187</v>
      </c>
      <c r="AB83" t="s" s="25">
        <v>832</v>
      </c>
      <c r="AC83" t="s" s="17">
        <v>833</v>
      </c>
      <c r="AD83" t="s" s="36">
        <v>812</v>
      </c>
      <c r="AE83" t="s" s="23">
        <v>813</v>
      </c>
      <c r="AF83" t="s" s="17">
        <v>834</v>
      </c>
    </row>
    <row r="84" ht="18.9" customHeight="1">
      <c r="B84" t="str" s="40" cm="1">
        <f t="array" ref="B84">E84&amp;"_"&amp;N84&amp;"_"&amp;Q84&amp;"_"&amp;J84&amp;"_"&amp;G84</f>
        <v>RES_5%_100mW_0603_330</v>
      </c>
      <c r="C84" t="str" s="16" cm="1">
        <f t="array" ref="C84">$G84&amp;IF($E84="LED"," LED","")&amp;IF($N84="",""," ")&amp;$N84&amp;IF($H84="",""," ")&amp;$H84&amp;IF($O84="",""," ")&amp;$O84&amp;IF($P84="",""," ")&amp;$P84&amp;IF($Q84="",""," ")&amp;$Q84&amp;IF($T84="",""," ")&amp;$T84&amp;IF($T84="","","mcd")</f>
        <v>330 5% thick film 75V 100mW</v>
      </c>
      <c r="D84" t="str" s="16" cm="1">
        <f t="array" ref="D84">$G84&amp;" "&amp;E84&amp;IF($N84="",""," ")&amp;$N84&amp;IF($H84="",""," ")&amp;$H84&amp;IF($O84="",""," ")&amp;$O84&amp;IF($P84="",""," ")&amp;$P84&amp;IF($Q84="",""," ")&amp;$Q84&amp;IF($T84="",""," ")&amp;$T84&amp;IF($T84="","","mcd")</f>
        <v>330 RES 5% thick film 75V 100mW</v>
      </c>
      <c r="E84" t="s" s="17">
        <v>801</v>
      </c>
      <c r="F84" t="s" s="17">
        <v>5</v>
      </c>
      <c r="G84" t="s" s="17">
        <v>642</v>
      </c>
      <c r="H84" t="s" s="17">
        <v>803</v>
      </c>
      <c r="I84" t="s" s="18">
        <v>838</v>
      </c>
      <c r="J84" t="s" s="17">
        <v>309</v>
      </c>
      <c r="K84" s="17"/>
      <c r="L84" s="17"/>
      <c r="M84" s="17"/>
      <c r="N84" t="s" s="17">
        <v>805</v>
      </c>
      <c r="O84" t="s" s="17">
        <v>806</v>
      </c>
      <c r="P84" s="17"/>
      <c r="Q84" t="s" s="17">
        <v>807</v>
      </c>
      <c r="R84" s="17"/>
      <c r="S84" s="17"/>
      <c r="T84" s="17"/>
      <c r="U84" s="17"/>
      <c r="V84" s="24"/>
      <c r="W84" s="24"/>
      <c r="X84" t="s" s="18">
        <v>839</v>
      </c>
      <c r="Y84" t="str" s="20" cm="1">
        <f t="array" ref="Y84">IF(ISBLANK(X84),"",HYPERLINK("https://jlcpcb.com/partdetail/"&amp;$X84,$X84))</f>
        <v>C25231</v>
      </c>
      <c r="Z84" s="27">
        <v>1</v>
      </c>
      <c r="AA84" t="s" s="17">
        <v>187</v>
      </c>
      <c r="AB84" t="s" s="25">
        <v>832</v>
      </c>
      <c r="AC84" t="s" s="17">
        <v>841</v>
      </c>
      <c r="AD84" t="s" s="36">
        <v>812</v>
      </c>
      <c r="AE84" t="s" s="23">
        <v>813</v>
      </c>
      <c r="AF84" t="s" s="17">
        <v>842</v>
      </c>
    </row>
    <row r="85" ht="18.9" customHeight="1">
      <c r="B85" t="str" s="40" cm="1">
        <f t="array" ref="B85">E85&amp;"_"&amp;N85&amp;"_"&amp;Q85&amp;"_"&amp;J85&amp;"_"&amp;G85</f>
        <v>RES_5%_100mW_0603_470</v>
      </c>
      <c r="C85" t="str" s="16" cm="1">
        <f t="array" ref="C85">$G85&amp;IF($E85="LED"," LED","")&amp;IF($N85="",""," ")&amp;$N85&amp;IF($H85="",""," ")&amp;$H85&amp;IF($O85="",""," ")&amp;$O85&amp;IF($P85="",""," ")&amp;$P85&amp;IF($Q85="",""," ")&amp;$Q85&amp;IF($T85="",""," ")&amp;$T85&amp;IF($T85="","","mcd")</f>
        <v>470 5% thick film 75V 100mW</v>
      </c>
      <c r="D85" t="str" s="16" cm="1">
        <f t="array" ref="D85">$G85&amp;" "&amp;E85&amp;IF($N85="",""," ")&amp;$N85&amp;IF($H85="",""," ")&amp;$H85&amp;IF($O85="",""," ")&amp;$O85&amp;IF($P85="",""," ")&amp;$P85&amp;IF($Q85="",""," ")&amp;$Q85&amp;IF($T85="",""," ")&amp;$T85&amp;IF($T85="","","mcd")</f>
        <v>470 RES 5% thick film 75V 100mW</v>
      </c>
      <c r="E85" t="s" s="17">
        <v>801</v>
      </c>
      <c r="F85" t="s" s="17">
        <v>5</v>
      </c>
      <c r="G85" t="s" s="17">
        <v>846</v>
      </c>
      <c r="H85" t="s" s="17">
        <v>803</v>
      </c>
      <c r="I85" t="s" s="18">
        <v>847</v>
      </c>
      <c r="J85" t="s" s="17">
        <v>309</v>
      </c>
      <c r="K85" s="17"/>
      <c r="L85" s="17"/>
      <c r="M85" s="17"/>
      <c r="N85" t="s" s="17">
        <v>805</v>
      </c>
      <c r="O85" t="s" s="17">
        <v>806</v>
      </c>
      <c r="P85" s="17"/>
      <c r="Q85" t="s" s="17">
        <v>807</v>
      </c>
      <c r="R85" s="17"/>
      <c r="S85" s="17"/>
      <c r="T85" s="17"/>
      <c r="U85" s="17"/>
      <c r="V85" s="24"/>
      <c r="W85" s="24"/>
      <c r="X85" t="s" s="18">
        <v>848</v>
      </c>
      <c r="Y85" t="str" s="20" cm="1">
        <f t="array" ref="Y85">IF(ISBLANK(X85),"",HYPERLINK("https://jlcpcb.com/partdetail/"&amp;$X85,$X85))</f>
        <v>C25241</v>
      </c>
      <c r="Z85" s="27">
        <v>1</v>
      </c>
      <c r="AA85" t="s" s="17">
        <v>187</v>
      </c>
      <c r="AB85" t="s" s="25">
        <v>832</v>
      </c>
      <c r="AC85" t="s" s="17">
        <v>850</v>
      </c>
      <c r="AD85" t="s" s="36">
        <v>812</v>
      </c>
      <c r="AE85" t="s" s="23">
        <v>813</v>
      </c>
      <c r="AF85" t="s" s="17">
        <v>851</v>
      </c>
    </row>
    <row r="86" ht="18.4" customHeight="1">
      <c r="B86" t="str" s="40" cm="1">
        <f t="array" ref="B86">E86&amp;"_"&amp;N86&amp;"_"&amp;Q86&amp;"_"&amp;J86&amp;"_"&amp;G86</f>
        <v>RES_5%_100mW_0603_1k</v>
      </c>
      <c r="C86" t="str" s="16" cm="1">
        <f t="array" ref="C86">$G86&amp;IF($E86="LED"," LED","")&amp;IF($N86="",""," ")&amp;$N86&amp;IF($H86="",""," ")&amp;$H86&amp;IF($O86="",""," ")&amp;$O86&amp;IF($P86="",""," ")&amp;$P86&amp;IF($Q86="",""," ")&amp;$Q86&amp;IF($T86="",""," ")&amp;$T86&amp;IF($T86="","","mcd")</f>
        <v>1k 5% thick film 75V 100mW</v>
      </c>
      <c r="D86" t="str" s="16" cm="1">
        <f t="array" ref="D86">$G86&amp;" "&amp;E86&amp;IF($N86="",""," ")&amp;$N86&amp;IF($H86="",""," ")&amp;$H86&amp;IF($O86="",""," ")&amp;$O86&amp;IF($P86="",""," ")&amp;$P86&amp;IF($Q86="",""," ")&amp;$Q86&amp;IF($T86="",""," ")&amp;$T86&amp;IF($T86="","","mcd")</f>
        <v>1k RES 5% thick film 75V 100mW</v>
      </c>
      <c r="E86" t="s" s="17">
        <v>801</v>
      </c>
      <c r="F86" t="s" s="17">
        <v>5</v>
      </c>
      <c r="G86" t="s" s="17">
        <v>855</v>
      </c>
      <c r="H86" t="s" s="17">
        <v>803</v>
      </c>
      <c r="I86" t="s" s="18">
        <v>856</v>
      </c>
      <c r="J86" t="s" s="17">
        <v>309</v>
      </c>
      <c r="K86" s="17"/>
      <c r="L86" s="17"/>
      <c r="M86" s="17"/>
      <c r="N86" t="s" s="17">
        <v>805</v>
      </c>
      <c r="O86" t="s" s="17">
        <v>806</v>
      </c>
      <c r="P86" s="17"/>
      <c r="Q86" t="s" s="17">
        <v>807</v>
      </c>
      <c r="R86" s="17"/>
      <c r="S86" s="17"/>
      <c r="T86" s="17"/>
      <c r="U86" s="17"/>
      <c r="V86" s="24"/>
      <c r="W86" s="24"/>
      <c r="X86" t="s" s="18">
        <v>857</v>
      </c>
      <c r="Y86" t="str" s="20" cm="1">
        <f t="array" ref="Y86">IF(ISBLANK(X86),"",HYPERLINK("https://jlcpcb.com/partdetail/"&amp;$X86,$X86))</f>
        <v>C25585</v>
      </c>
      <c r="Z86" s="27">
        <v>1</v>
      </c>
      <c r="AA86" t="s" s="17">
        <v>187</v>
      </c>
      <c r="AB86" t="s" s="25">
        <v>832</v>
      </c>
      <c r="AC86" t="s" s="17">
        <v>859</v>
      </c>
      <c r="AD86" t="s" s="22">
        <v>812</v>
      </c>
      <c r="AE86" t="s" s="23">
        <v>813</v>
      </c>
      <c r="AF86" t="s" s="17">
        <v>860</v>
      </c>
    </row>
    <row r="87" ht="19.3" customHeight="1">
      <c r="B87" t="str" s="40" cm="1">
        <f t="array" ref="B87">E87&amp;"_"&amp;N87&amp;"_"&amp;Q87&amp;"_"&amp;J87&amp;"_"&amp;G87</f>
        <v>RES_5%_100mW_0603_2.2k</v>
      </c>
      <c r="C87" t="str" s="16" cm="1">
        <f t="array" ref="C87">$G87&amp;IF($E87="LED"," LED","")&amp;IF($N87="",""," ")&amp;$N87&amp;IF($H87="",""," ")&amp;$H87&amp;IF($O87="",""," ")&amp;$O87&amp;IF($P87="",""," ")&amp;$P87&amp;IF($Q87="",""," ")&amp;$Q87&amp;IF($T87="",""," ")&amp;$T87&amp;IF($T87="","","mcd")</f>
        <v>2.2k 5% thick film 75V 100mW</v>
      </c>
      <c r="D87" t="str" s="16" cm="1">
        <f t="array" ref="D87">$G87&amp;" "&amp;E87&amp;IF($N87="",""," ")&amp;$N87&amp;IF($H87="",""," ")&amp;$H87&amp;IF($O87="",""," ")&amp;$O87&amp;IF($P87="",""," ")&amp;$P87&amp;IF($Q87="",""," ")&amp;$Q87&amp;IF($T87="",""," ")&amp;$T87&amp;IF($T87="","","mcd")</f>
        <v>2.2k RES 5% thick film 75V 100mW</v>
      </c>
      <c r="E87" t="s" s="17">
        <v>801</v>
      </c>
      <c r="F87" t="s" s="17">
        <v>5</v>
      </c>
      <c r="G87" t="s" s="17">
        <v>864</v>
      </c>
      <c r="H87" t="s" s="17">
        <v>803</v>
      </c>
      <c r="I87" t="s" s="18">
        <v>865</v>
      </c>
      <c r="J87" t="s" s="17">
        <v>309</v>
      </c>
      <c r="K87" s="17"/>
      <c r="L87" s="17"/>
      <c r="M87" s="17"/>
      <c r="N87" t="s" s="17">
        <v>805</v>
      </c>
      <c r="O87" t="s" s="17">
        <v>806</v>
      </c>
      <c r="P87" s="17"/>
      <c r="Q87" t="s" s="17">
        <v>807</v>
      </c>
      <c r="R87" s="17"/>
      <c r="S87" s="17"/>
      <c r="T87" s="17"/>
      <c r="U87" s="17"/>
      <c r="V87" s="24"/>
      <c r="W87" s="24"/>
      <c r="X87" t="s" s="18">
        <v>866</v>
      </c>
      <c r="Y87" t="str" s="20" cm="1">
        <f t="array" ref="Y87">IF(ISBLANK(X87),"",HYPERLINK("https://jlcpcb.com/partdetail/"&amp;$X87,$X87))</f>
        <v>C25992</v>
      </c>
      <c r="Z87" s="27">
        <v>1</v>
      </c>
      <c r="AA87" t="s" s="17">
        <v>187</v>
      </c>
      <c r="AB87" t="s" s="25">
        <v>832</v>
      </c>
      <c r="AC87" t="s" s="25">
        <v>868</v>
      </c>
      <c r="AD87" t="s" s="36">
        <v>812</v>
      </c>
      <c r="AE87" t="s" s="23">
        <v>813</v>
      </c>
      <c r="AF87" t="s" s="17">
        <v>869</v>
      </c>
    </row>
    <row r="88" ht="18.9" customHeight="1">
      <c r="B88" t="str" s="40" cm="1">
        <f t="array" ref="B88">E88&amp;"_"&amp;N88&amp;"_"&amp;Q88&amp;"_"&amp;J88&amp;"_"&amp;G88</f>
        <v>RES_1%_100mW_0603_3.3k</v>
      </c>
      <c r="C88" t="str" s="16" cm="1">
        <f t="array" ref="C88">$G88&amp;IF($E88="LED"," LED","")&amp;IF($N88="",""," ")&amp;$N88&amp;IF($H88="",""," ")&amp;$H88&amp;IF($O88="",""," ")&amp;$O88&amp;IF($P88="",""," ")&amp;$P88&amp;IF($Q88="",""," ")&amp;$Q88&amp;IF($T88="",""," ")&amp;$T88&amp;IF($T88="","","mcd")</f>
        <v>3.3k 1% thick film 75V 100mW</v>
      </c>
      <c r="D88" t="str" s="16" cm="1">
        <f t="array" ref="D88">$G88&amp;" "&amp;E88&amp;IF($N88="",""," ")&amp;$N88&amp;IF($H88="",""," ")&amp;$H88&amp;IF($O88="",""," ")&amp;$O88&amp;IF($P88="",""," ")&amp;$P88&amp;IF($Q88="",""," ")&amp;$Q88&amp;IF($T88="",""," ")&amp;$T88&amp;IF($T88="","","mcd")</f>
        <v>3.3k RES 1% thick film 75V 100mW</v>
      </c>
      <c r="E88" t="s" s="17">
        <v>801</v>
      </c>
      <c r="F88" t="s" s="17">
        <v>5</v>
      </c>
      <c r="G88" t="s" s="17">
        <v>873</v>
      </c>
      <c r="H88" t="s" s="17">
        <v>803</v>
      </c>
      <c r="I88" t="s" s="18">
        <v>874</v>
      </c>
      <c r="J88" t="s" s="17">
        <v>309</v>
      </c>
      <c r="K88" s="17"/>
      <c r="L88" s="17"/>
      <c r="M88" s="17"/>
      <c r="N88" t="s" s="17">
        <v>820</v>
      </c>
      <c r="O88" t="s" s="17">
        <v>806</v>
      </c>
      <c r="P88" s="17"/>
      <c r="Q88" t="s" s="17">
        <v>807</v>
      </c>
      <c r="R88" s="17"/>
      <c r="S88" s="17"/>
      <c r="T88" s="17"/>
      <c r="U88" s="17"/>
      <c r="V88" s="24"/>
      <c r="W88" s="24"/>
      <c r="X88" t="s" s="18">
        <v>875</v>
      </c>
      <c r="Y88" t="str" s="20" cm="1">
        <f t="array" ref="Y88">IF(ISBLANK(X88),"",HYPERLINK("https://jlcpcb.com/partdetail/"&amp;$X88,$X88))</f>
        <v>C2907023</v>
      </c>
      <c r="Z88" s="27">
        <v>1</v>
      </c>
      <c r="AA88" t="s" s="17">
        <v>314</v>
      </c>
      <c r="AB88" t="s" s="25">
        <v>810</v>
      </c>
      <c r="AC88" t="s" s="17">
        <v>877</v>
      </c>
      <c r="AD88" t="s" s="22">
        <v>812</v>
      </c>
      <c r="AE88" t="s" s="23">
        <v>813</v>
      </c>
      <c r="AF88" t="s" s="17">
        <v>878</v>
      </c>
    </row>
    <row r="89" ht="19.3" customHeight="1">
      <c r="B89" t="str" s="40" cm="1">
        <f t="array" ref="B89">E89&amp;"_"&amp;N89&amp;"_"&amp;Q89&amp;"_"&amp;J89&amp;"_"&amp;G89</f>
        <v>RES_5%_100mW_0603_3.3k</v>
      </c>
      <c r="C89" t="str" s="16" cm="1">
        <f t="array" ref="C89">$G89&amp;IF($E89="LED"," LED","")&amp;IF($N89="",""," ")&amp;$N89&amp;IF($H89="",""," ")&amp;$H89&amp;IF($O89="",""," ")&amp;$O89&amp;IF($P89="",""," ")&amp;$P89&amp;IF($Q89="",""," ")&amp;$Q89&amp;IF($T89="",""," ")&amp;$T89&amp;IF($T89="","","mcd")</f>
        <v>3.3k 5% thick film 75V 100mW</v>
      </c>
      <c r="D89" t="str" s="16" cm="1">
        <f t="array" ref="D89">$G89&amp;" "&amp;E89&amp;IF($N89="",""," ")&amp;$N89&amp;IF($H89="",""," ")&amp;$H89&amp;IF($O89="",""," ")&amp;$O89&amp;IF($P89="",""," ")&amp;$P89&amp;IF($Q89="",""," ")&amp;$Q89&amp;IF($T89="",""," ")&amp;$T89&amp;IF($T89="","","mcd")</f>
        <v>3.3k RES 5% thick film 75V 100mW</v>
      </c>
      <c r="E89" t="s" s="17">
        <v>801</v>
      </c>
      <c r="F89" t="s" s="17">
        <v>5</v>
      </c>
      <c r="G89" t="s" s="17">
        <v>873</v>
      </c>
      <c r="H89" t="s" s="17">
        <v>803</v>
      </c>
      <c r="I89" t="s" s="18">
        <v>882</v>
      </c>
      <c r="J89" t="s" s="17">
        <v>309</v>
      </c>
      <c r="K89" s="17"/>
      <c r="L89" s="17"/>
      <c r="M89" s="17"/>
      <c r="N89" t="s" s="17">
        <v>805</v>
      </c>
      <c r="O89" t="s" s="17">
        <v>806</v>
      </c>
      <c r="P89" s="17"/>
      <c r="Q89" t="s" s="17">
        <v>807</v>
      </c>
      <c r="R89" s="17"/>
      <c r="S89" s="17"/>
      <c r="T89" s="17"/>
      <c r="U89" s="17"/>
      <c r="V89" s="24"/>
      <c r="W89" s="24"/>
      <c r="X89" t="s" s="18">
        <v>883</v>
      </c>
      <c r="Y89" t="str" s="20" cm="1">
        <f t="array" ref="Y89">IF(ISBLANK(X89),"",HYPERLINK("https://jlcpcb.com/partdetail/"&amp;$X89,$X89))</f>
        <v>C25995</v>
      </c>
      <c r="Z89" s="27">
        <v>2</v>
      </c>
      <c r="AA89" t="s" s="17">
        <v>187</v>
      </c>
      <c r="AB89" t="s" s="25">
        <v>832</v>
      </c>
      <c r="AC89" t="s" s="25">
        <v>885</v>
      </c>
      <c r="AD89" t="s" s="36">
        <v>812</v>
      </c>
      <c r="AE89" t="s" s="23">
        <v>813</v>
      </c>
      <c r="AF89" t="s" s="17">
        <v>886</v>
      </c>
    </row>
    <row r="90" ht="19.3" customHeight="1">
      <c r="B90" t="str" s="40" cm="1">
        <f t="array" ref="B90">E90&amp;"_"&amp;N90&amp;"_"&amp;Q90&amp;"_"&amp;J90&amp;"_"&amp;G90</f>
        <v>RES_5%_100mW_0603_4.7k</v>
      </c>
      <c r="C90" t="str" s="16" cm="1">
        <f t="array" ref="C90">$G90&amp;IF($E90="LED"," LED","")&amp;IF($N90="",""," ")&amp;$N90&amp;IF($H90="",""," ")&amp;$H90&amp;IF($O90="",""," ")&amp;$O90&amp;IF($P90="",""," ")&amp;$P90&amp;IF($Q90="",""," ")&amp;$Q90&amp;IF($T90="",""," ")&amp;$T90&amp;IF($T90="","","mcd")</f>
        <v>4.7k 5% thick film 75V 100mW</v>
      </c>
      <c r="D90" t="str" s="16" cm="1">
        <f t="array" ref="D90">$G90&amp;" "&amp;E90&amp;IF($N90="",""," ")&amp;$N90&amp;IF($H90="",""," ")&amp;$H90&amp;IF($O90="",""," ")&amp;$O90&amp;IF($P90="",""," ")&amp;$P90&amp;IF($Q90="",""," ")&amp;$Q90&amp;IF($T90="",""," ")&amp;$T90&amp;IF($T90="","","mcd")</f>
        <v>4.7k RES 5% thick film 75V 100mW</v>
      </c>
      <c r="E90" t="s" s="17">
        <v>801</v>
      </c>
      <c r="F90" t="s" s="17">
        <v>5</v>
      </c>
      <c r="G90" t="s" s="17">
        <v>890</v>
      </c>
      <c r="H90" t="s" s="17">
        <v>803</v>
      </c>
      <c r="I90" t="s" s="18">
        <v>891</v>
      </c>
      <c r="J90" t="s" s="17">
        <v>309</v>
      </c>
      <c r="K90" s="17"/>
      <c r="L90" s="17"/>
      <c r="M90" s="17"/>
      <c r="N90" t="s" s="17">
        <v>805</v>
      </c>
      <c r="O90" t="s" s="17">
        <v>806</v>
      </c>
      <c r="P90" s="17"/>
      <c r="Q90" t="s" s="17">
        <v>807</v>
      </c>
      <c r="R90" s="17"/>
      <c r="S90" s="17"/>
      <c r="T90" s="17"/>
      <c r="U90" s="17"/>
      <c r="V90" s="24"/>
      <c r="W90" s="24"/>
      <c r="X90" t="s" s="18">
        <v>892</v>
      </c>
      <c r="Y90" t="str" s="20" cm="1">
        <f t="array" ref="Y90">IF(ISBLANK(X90),"",HYPERLINK("https://jlcpcb.com/partdetail/"&amp;$X90,$X90))</f>
        <v>C25999</v>
      </c>
      <c r="Z90" s="27">
        <v>1</v>
      </c>
      <c r="AA90" t="s" s="17">
        <v>187</v>
      </c>
      <c r="AB90" t="s" s="25">
        <v>832</v>
      </c>
      <c r="AC90" t="s" s="25">
        <v>894</v>
      </c>
      <c r="AD90" t="s" s="36">
        <v>812</v>
      </c>
      <c r="AE90" t="s" s="23">
        <v>813</v>
      </c>
      <c r="AF90" t="s" s="17">
        <v>895</v>
      </c>
    </row>
    <row r="91" ht="19.3" customHeight="1">
      <c r="B91" t="str" s="40" cm="1">
        <f t="array" ref="B91">E91&amp;"_"&amp;N91&amp;"_"&amp;Q91&amp;"_"&amp;J91&amp;"_"&amp;G91</f>
        <v>RES_5%_100mW_0603_5.6k</v>
      </c>
      <c r="C91" t="str" s="16" cm="1">
        <f t="array" ref="C91">$G91&amp;IF($E91="LED"," LED","")&amp;IF($N91="",""," ")&amp;$N91&amp;IF($H91="",""," ")&amp;$H91&amp;IF($O91="",""," ")&amp;$O91&amp;IF($P91="",""," ")&amp;$P91&amp;IF($Q91="",""," ")&amp;$Q91&amp;IF($T91="",""," ")&amp;$T91&amp;IF($T91="","","mcd")</f>
        <v>5.6k 5% thick film 75V 100mW</v>
      </c>
      <c r="D91" t="str" s="16" cm="1">
        <f t="array" ref="D91">$G91&amp;" "&amp;E91&amp;IF($N91="",""," ")&amp;$N91&amp;IF($H91="",""," ")&amp;$H91&amp;IF($O91="",""," ")&amp;$O91&amp;IF($P91="",""," ")&amp;$P91&amp;IF($Q91="",""," ")&amp;$Q91&amp;IF($T91="",""," ")&amp;$T91&amp;IF($T91="","","mcd")</f>
        <v>5.6k RES 5% thick film 75V 100mW</v>
      </c>
      <c r="E91" t="s" s="17">
        <v>801</v>
      </c>
      <c r="F91" t="s" s="17">
        <v>5</v>
      </c>
      <c r="G91" t="s" s="17">
        <v>899</v>
      </c>
      <c r="H91" t="s" s="17">
        <v>803</v>
      </c>
      <c r="I91" t="s" s="18">
        <v>900</v>
      </c>
      <c r="J91" t="s" s="17">
        <v>309</v>
      </c>
      <c r="K91" s="17"/>
      <c r="L91" s="17"/>
      <c r="M91" s="17"/>
      <c r="N91" t="s" s="17">
        <v>805</v>
      </c>
      <c r="O91" t="s" s="17">
        <v>806</v>
      </c>
      <c r="P91" s="17"/>
      <c r="Q91" t="s" s="17">
        <v>807</v>
      </c>
      <c r="R91" s="17"/>
      <c r="S91" s="17"/>
      <c r="T91" s="17"/>
      <c r="U91" s="17"/>
      <c r="V91" s="24"/>
      <c r="W91" s="24"/>
      <c r="X91" t="s" s="18">
        <v>901</v>
      </c>
      <c r="Y91" t="str" s="20" cm="1">
        <f t="array" ref="Y91">IF(ISBLANK(X91),"",HYPERLINK("https://jlcpcb.com/partdetail/"&amp;$X91,$X91))</f>
        <v>C26001</v>
      </c>
      <c r="Z91" s="27">
        <v>1</v>
      </c>
      <c r="AA91" t="s" s="17">
        <v>187</v>
      </c>
      <c r="AB91" t="s" s="25">
        <v>832</v>
      </c>
      <c r="AC91" t="s" s="25">
        <v>903</v>
      </c>
      <c r="AD91" t="s" s="36">
        <v>812</v>
      </c>
      <c r="AE91" t="s" s="23">
        <v>813</v>
      </c>
      <c r="AF91" t="s" s="17">
        <v>904</v>
      </c>
    </row>
    <row r="92" ht="18.9" customHeight="1">
      <c r="B92" t="str" s="40" cm="1">
        <f t="array" ref="B92">E92&amp;"_"&amp;N92&amp;"_"&amp;Q92&amp;"_"&amp;J92&amp;"_"&amp;G92</f>
        <v>RES_5%_100mW_0603_10k</v>
      </c>
      <c r="C92" t="str" s="16" cm="1">
        <f t="array" ref="C92">$G92&amp;IF($E92="LED"," LED","")&amp;IF($N92="",""," ")&amp;$N92&amp;IF($H92="",""," ")&amp;$H92&amp;IF($O92="",""," ")&amp;$O92&amp;IF($P92="",""," ")&amp;$P92&amp;IF($Q92="",""," ")&amp;$Q92&amp;IF($T92="",""," ")&amp;$T92&amp;IF($T92="","","mcd")</f>
        <v>10k 5% thick film 150V 100mW</v>
      </c>
      <c r="D92" t="str" s="16" cm="1">
        <f t="array" ref="D92">$G92&amp;" "&amp;E92&amp;IF($N92="",""," ")&amp;$N92&amp;IF($H92="",""," ")&amp;$H92&amp;IF($O92="",""," ")&amp;$O92&amp;IF($P92="",""," ")&amp;$P92&amp;IF($Q92="",""," ")&amp;$Q92&amp;IF($T92="",""," ")&amp;$T92&amp;IF($T92="","","mcd")</f>
        <v>10k RES 5% thick film 150V 100mW</v>
      </c>
      <c r="E92" t="s" s="17">
        <v>801</v>
      </c>
      <c r="F92" t="s" s="17">
        <v>5</v>
      </c>
      <c r="G92" t="s" s="17">
        <v>908</v>
      </c>
      <c r="H92" t="s" s="17">
        <v>803</v>
      </c>
      <c r="I92" t="s" s="18">
        <v>909</v>
      </c>
      <c r="J92" t="s" s="17">
        <v>309</v>
      </c>
      <c r="K92" s="17"/>
      <c r="L92" s="17"/>
      <c r="M92" s="17"/>
      <c r="N92" t="s" s="17">
        <v>805</v>
      </c>
      <c r="O92" t="s" s="17">
        <v>821</v>
      </c>
      <c r="P92" s="17"/>
      <c r="Q92" t="s" s="17">
        <v>807</v>
      </c>
      <c r="R92" s="17"/>
      <c r="S92" s="17"/>
      <c r="T92" s="17"/>
      <c r="U92" s="17"/>
      <c r="V92" s="24"/>
      <c r="W92" s="24"/>
      <c r="X92" t="s" s="18">
        <v>910</v>
      </c>
      <c r="Y92" t="str" s="20" cm="1">
        <f t="array" ref="Y92">IF(ISBLANK(X92),"",HYPERLINK("https://jlcpcb.com/partdetail/"&amp;$X92,$X92))</f>
        <v>C4118381</v>
      </c>
      <c r="Z92" s="27">
        <v>1</v>
      </c>
      <c r="AA92" t="s" s="17">
        <v>314</v>
      </c>
      <c r="AB92" t="s" s="25">
        <v>315</v>
      </c>
      <c r="AC92" t="s" s="17">
        <v>912</v>
      </c>
      <c r="AD92" t="s" s="22">
        <v>812</v>
      </c>
      <c r="AE92" t="s" s="23">
        <v>813</v>
      </c>
      <c r="AF92" t="s" s="17">
        <v>913</v>
      </c>
    </row>
    <row r="93" ht="18.9" customHeight="1">
      <c r="B93" t="str" s="40" cm="1">
        <f t="array" ref="B93">E93&amp;"_"&amp;N93&amp;"_"&amp;Q93&amp;"_"&amp;J93&amp;"_"&amp;G93</f>
        <v>RES_5%_100mW_0603_10k</v>
      </c>
      <c r="C93" t="str" s="16" cm="1">
        <f t="array" ref="C93">$G93&amp;IF($E93="LED"," LED","")&amp;IF($N93="",""," ")&amp;$N93&amp;IF($H93="",""," ")&amp;$H93&amp;IF($O93="",""," ")&amp;$O93&amp;IF($P93="",""," ")&amp;$P93&amp;IF($Q93="",""," ")&amp;$Q93&amp;IF($T93="",""," ")&amp;$T93&amp;IF($T93="","","mcd")</f>
        <v>10k 5% thick film 75V 100mW</v>
      </c>
      <c r="D93" t="str" s="16" cm="1">
        <f t="array" ref="D93">$G93&amp;" "&amp;E93&amp;IF($N93="",""," ")&amp;$N93&amp;IF($H93="",""," ")&amp;$H93&amp;IF($O93="",""," ")&amp;$O93&amp;IF($P93="",""," ")&amp;$P93&amp;IF($Q93="",""," ")&amp;$Q93&amp;IF($T93="",""," ")&amp;$T93&amp;IF($T93="","","mcd")</f>
        <v>10k RES 5% thick film 75V 100mW</v>
      </c>
      <c r="E93" t="s" s="17">
        <v>801</v>
      </c>
      <c r="F93" t="s" s="17">
        <v>5</v>
      </c>
      <c r="G93" t="s" s="17">
        <v>908</v>
      </c>
      <c r="H93" t="s" s="17">
        <v>803</v>
      </c>
      <c r="I93" t="s" s="18">
        <v>916</v>
      </c>
      <c r="J93" t="s" s="17">
        <v>309</v>
      </c>
      <c r="K93" s="17"/>
      <c r="L93" s="17"/>
      <c r="M93" s="17"/>
      <c r="N93" t="s" s="17">
        <v>805</v>
      </c>
      <c r="O93" t="s" s="17">
        <v>806</v>
      </c>
      <c r="P93" s="17"/>
      <c r="Q93" t="s" s="17">
        <v>807</v>
      </c>
      <c r="R93" s="17"/>
      <c r="S93" s="17"/>
      <c r="T93" s="17"/>
      <c r="U93" s="17"/>
      <c r="V93" s="24"/>
      <c r="W93" s="24"/>
      <c r="X93" t="s" s="18">
        <v>917</v>
      </c>
      <c r="Y93" t="str" s="20" cm="1">
        <f t="array" ref="Y93">IF(ISBLANK(X93),"",HYPERLINK("https://jlcpcb.com/partdetail/"&amp;$X93,$X93))</f>
        <v>C2930027</v>
      </c>
      <c r="Z93" s="27">
        <v>2</v>
      </c>
      <c r="AA93" t="s" s="17">
        <v>314</v>
      </c>
      <c r="AB93" t="s" s="25">
        <v>810</v>
      </c>
      <c r="AC93" t="s" s="17">
        <v>919</v>
      </c>
      <c r="AD93" t="s" s="22">
        <v>812</v>
      </c>
      <c r="AE93" t="s" s="23">
        <v>813</v>
      </c>
      <c r="AF93" t="s" s="17">
        <v>920</v>
      </c>
    </row>
    <row r="94" ht="18.9" customHeight="1">
      <c r="B94" t="str" s="40" cm="1">
        <f t="array" ref="B94">E94&amp;"_"&amp;N94&amp;"_"&amp;Q94&amp;"_"&amp;J94&amp;"_"&amp;G94</f>
        <v>RES_5%_100mW_0603_10k</v>
      </c>
      <c r="C94" t="str" s="16" cm="1">
        <f t="array" ref="C94">$G94&amp;IF($E94="LED"," LED","")&amp;IF($N94="",""," ")&amp;$N94&amp;IF($H94="",""," ")&amp;$H94&amp;IF($O94="",""," ")&amp;$O94&amp;IF($P94="",""," ")&amp;$P94&amp;IF($Q94="",""," ")&amp;$Q94&amp;IF($T94="",""," ")&amp;$T94&amp;IF($T94="","","mcd")</f>
        <v>10k 5% thick film 75V 100mW</v>
      </c>
      <c r="D94" t="str" s="16" cm="1">
        <f t="array" ref="D94">$G94&amp;" "&amp;E94&amp;IF($N94="",""," ")&amp;$N94&amp;IF($H94="",""," ")&amp;$H94&amp;IF($O94="",""," ")&amp;$O94&amp;IF($P94="",""," ")&amp;$P94&amp;IF($Q94="",""," ")&amp;$Q94&amp;IF($T94="",""," ")&amp;$T94&amp;IF($T94="","","mcd")</f>
        <v>10k RES 5% thick film 75V 100mW</v>
      </c>
      <c r="E94" t="s" s="17">
        <v>801</v>
      </c>
      <c r="F94" t="s" s="17">
        <v>5</v>
      </c>
      <c r="G94" t="s" s="17">
        <v>908</v>
      </c>
      <c r="H94" t="s" s="17">
        <v>803</v>
      </c>
      <c r="I94" t="s" s="18">
        <v>916</v>
      </c>
      <c r="J94" t="s" s="17">
        <v>309</v>
      </c>
      <c r="K94" s="17"/>
      <c r="L94" s="17"/>
      <c r="M94" s="17"/>
      <c r="N94" t="s" s="17">
        <v>805</v>
      </c>
      <c r="O94" t="s" s="17">
        <v>806</v>
      </c>
      <c r="P94" s="17"/>
      <c r="Q94" t="s" s="17">
        <v>807</v>
      </c>
      <c r="R94" s="17"/>
      <c r="S94" s="17"/>
      <c r="T94" s="17"/>
      <c r="U94" s="17"/>
      <c r="V94" s="24"/>
      <c r="W94" s="24"/>
      <c r="X94" t="s" s="18">
        <v>921</v>
      </c>
      <c r="Y94" t="str" s="20" cm="1">
        <f t="array" ref="Y94">IF(ISBLANK(X94),"",HYPERLINK("https://jlcpcb.com/partdetail/"&amp;$X94,$X94))</f>
        <v>C15401</v>
      </c>
      <c r="Z94" s="27">
        <v>3</v>
      </c>
      <c r="AA94" t="s" s="17">
        <v>187</v>
      </c>
      <c r="AB94" t="s" s="25">
        <v>832</v>
      </c>
      <c r="AC94" t="s" s="17">
        <v>923</v>
      </c>
      <c r="AD94" t="s" s="36">
        <v>812</v>
      </c>
      <c r="AE94" t="s" s="23">
        <v>813</v>
      </c>
      <c r="AF94" s="19"/>
    </row>
    <row r="95" ht="18.9" customHeight="1">
      <c r="B95" t="str" s="40" cm="1">
        <f t="array" ref="B95">E95&amp;"_"&amp;N95&amp;"_"&amp;Q95&amp;"_"&amp;J95&amp;"_"&amp;G95</f>
        <v>RES_5%_100mW_0603_22k</v>
      </c>
      <c r="C95" t="str" s="16" cm="1">
        <f t="array" ref="C95">$G95&amp;IF($E95="LED"," LED","")&amp;IF($N95="",""," ")&amp;$N95&amp;IF($H95="",""," ")&amp;$H95&amp;IF($O95="",""," ")&amp;$O95&amp;IF($P95="",""," ")&amp;$P95&amp;IF($Q95="",""," ")&amp;$Q95&amp;IF($T95="",""," ")&amp;$T95&amp;IF($T95="","","mcd")</f>
        <v>22k 5% thick film 75V 100mW</v>
      </c>
      <c r="D95" t="str" s="16" cm="1">
        <f t="array" ref="D95">$G95&amp;" "&amp;E95&amp;IF($N95="",""," ")&amp;$N95&amp;IF($H95="",""," ")&amp;$H95&amp;IF($O95="",""," ")&amp;$O95&amp;IF($P95="",""," ")&amp;$P95&amp;IF($Q95="",""," ")&amp;$Q95&amp;IF($T95="",""," ")&amp;$T95&amp;IF($T95="","","mcd")</f>
        <v>22k RES 5% thick film 75V 100mW</v>
      </c>
      <c r="E95" t="s" s="17">
        <v>801</v>
      </c>
      <c r="F95" t="s" s="17">
        <v>5</v>
      </c>
      <c r="G95" t="s" s="17">
        <v>927</v>
      </c>
      <c r="H95" t="s" s="17">
        <v>803</v>
      </c>
      <c r="I95" t="s" s="18">
        <v>928</v>
      </c>
      <c r="J95" t="s" s="17">
        <v>309</v>
      </c>
      <c r="K95" s="17"/>
      <c r="L95" s="17"/>
      <c r="M95" s="17"/>
      <c r="N95" t="s" s="17">
        <v>805</v>
      </c>
      <c r="O95" t="s" s="17">
        <v>806</v>
      </c>
      <c r="P95" s="17"/>
      <c r="Q95" t="s" s="17">
        <v>807</v>
      </c>
      <c r="R95" s="17"/>
      <c r="S95" s="17"/>
      <c r="T95" s="17"/>
      <c r="U95" s="17"/>
      <c r="V95" s="24"/>
      <c r="W95" s="24"/>
      <c r="X95" t="s" s="18">
        <v>929</v>
      </c>
      <c r="Y95" t="str" s="20" cm="1">
        <f t="array" ref="Y95">IF(ISBLANK(X95),"",HYPERLINK("https://jlcpcb.com/partdetail/"&amp;$X95,$X95))</f>
        <v>C23344</v>
      </c>
      <c r="Z95" s="27">
        <v>1</v>
      </c>
      <c r="AA95" t="s" s="17">
        <v>187</v>
      </c>
      <c r="AB95" t="s" s="25">
        <v>832</v>
      </c>
      <c r="AC95" t="s" s="17">
        <v>931</v>
      </c>
      <c r="AD95" t="s" s="36">
        <v>812</v>
      </c>
      <c r="AE95" t="s" s="23">
        <v>813</v>
      </c>
      <c r="AF95" t="s" s="17">
        <v>932</v>
      </c>
    </row>
    <row r="96" ht="18.9" customHeight="1">
      <c r="B96" t="str" s="40" cm="1">
        <f t="array" ref="B96">E96&amp;"_"&amp;N96&amp;"_"&amp;Q96&amp;"_"&amp;J96&amp;"_"&amp;G96</f>
        <v>RES_5%_100mW_0603_100k</v>
      </c>
      <c r="C96" t="str" s="16" cm="1">
        <f t="array" ref="C96">$G96&amp;IF($E96="LED"," LED","")&amp;IF($N96="",""," ")&amp;$N96&amp;IF($H96="",""," ")&amp;$H96&amp;IF($O96="",""," ")&amp;$O96&amp;IF($P96="",""," ")&amp;$P96&amp;IF($Q96="",""," ")&amp;$Q96&amp;IF($T96="",""," ")&amp;$T96&amp;IF($T96="","","mcd")</f>
        <v>100k 5% thick film 75V 100mW</v>
      </c>
      <c r="D96" t="str" s="16" cm="1">
        <f t="array" ref="D96">$G96&amp;" "&amp;E96&amp;IF($N96="",""," ")&amp;$N96&amp;IF($H96="",""," ")&amp;$H96&amp;IF($O96="",""," ")&amp;$O96&amp;IF($P96="",""," ")&amp;$P96&amp;IF($Q96="",""," ")&amp;$Q96&amp;IF($T96="",""," ")&amp;$T96&amp;IF($T96="","","mcd")</f>
        <v>100k RES 5% thick film 75V 100mW</v>
      </c>
      <c r="E96" t="s" s="17">
        <v>801</v>
      </c>
      <c r="F96" t="s" s="17">
        <v>5</v>
      </c>
      <c r="G96" t="s" s="17">
        <v>936</v>
      </c>
      <c r="H96" t="s" s="17">
        <v>803</v>
      </c>
      <c r="I96" t="s" s="18">
        <v>937</v>
      </c>
      <c r="J96" t="s" s="17">
        <v>309</v>
      </c>
      <c r="K96" s="17"/>
      <c r="L96" s="17"/>
      <c r="M96" s="17"/>
      <c r="N96" t="s" s="17">
        <v>805</v>
      </c>
      <c r="O96" t="s" s="17">
        <v>806</v>
      </c>
      <c r="P96" s="17"/>
      <c r="Q96" t="s" s="17">
        <v>807</v>
      </c>
      <c r="R96" s="17"/>
      <c r="S96" s="17"/>
      <c r="T96" s="17"/>
      <c r="U96" s="17"/>
      <c r="V96" s="24"/>
      <c r="W96" s="24"/>
      <c r="X96" t="s" s="18">
        <v>938</v>
      </c>
      <c r="Y96" t="str" s="20" cm="1">
        <f t="array" ref="Y96">IF(ISBLANK(X96),"",HYPERLINK("https://jlcpcb.com/partdetail/"&amp;$X96,$X96))</f>
        <v>C15458</v>
      </c>
      <c r="Z96" s="27">
        <v>1</v>
      </c>
      <c r="AA96" t="s" s="17">
        <v>187</v>
      </c>
      <c r="AB96" t="s" s="25">
        <v>832</v>
      </c>
      <c r="AC96" t="s" s="17">
        <v>940</v>
      </c>
      <c r="AD96" t="s" s="36">
        <v>812</v>
      </c>
      <c r="AE96" t="s" s="23">
        <v>813</v>
      </c>
      <c r="AF96" t="s" s="17">
        <v>941</v>
      </c>
    </row>
    <row r="97" ht="18.9" customHeight="1">
      <c r="B97" t="str" s="40" cm="1">
        <f t="array" ref="B97">E97&amp;"_"&amp;N97&amp;"_"&amp;Q97&amp;"_"&amp;J97&amp;"_"&amp;G97</f>
        <v>RES_1%_100mW_0603_1M</v>
      </c>
      <c r="C97" t="str" s="16" cm="1">
        <f t="array" ref="C97">$G97&amp;IF($E97="LED"," LED","")&amp;IF($N97="",""," ")&amp;$N97&amp;IF($H97="",""," ")&amp;$H97&amp;IF($O97="",""," ")&amp;$O97&amp;IF($P97="",""," ")&amp;$P97&amp;IF($Q97="",""," ")&amp;$Q97&amp;IF($T97="",""," ")&amp;$T97&amp;IF($T97="","","mcd")</f>
        <v>1M 1% thick film 75V 100mW</v>
      </c>
      <c r="D97" t="str" s="16" cm="1">
        <f t="array" ref="D97">$G97&amp;" "&amp;E97&amp;IF($N97="",""," ")&amp;$N97&amp;IF($H97="",""," ")&amp;$H97&amp;IF($O97="",""," ")&amp;$O97&amp;IF($P97="",""," ")&amp;$P97&amp;IF($Q97="",""," ")&amp;$Q97&amp;IF($T97="",""," ")&amp;$T97&amp;IF($T97="","","mcd")</f>
        <v>1M RES 1% thick film 75V 100mW</v>
      </c>
      <c r="E97" t="s" s="17">
        <v>801</v>
      </c>
      <c r="F97" t="s" s="17">
        <v>5</v>
      </c>
      <c r="G97" t="s" s="17">
        <v>945</v>
      </c>
      <c r="H97" t="s" s="17">
        <v>803</v>
      </c>
      <c r="I97" t="s" s="18">
        <v>946</v>
      </c>
      <c r="J97" t="s" s="17">
        <v>309</v>
      </c>
      <c r="K97" s="17"/>
      <c r="L97" s="17"/>
      <c r="M97" s="17"/>
      <c r="N97" t="s" s="17">
        <v>820</v>
      </c>
      <c r="O97" t="s" s="17">
        <v>806</v>
      </c>
      <c r="P97" s="17"/>
      <c r="Q97" t="s" s="17">
        <v>807</v>
      </c>
      <c r="R97" s="17"/>
      <c r="S97" s="17"/>
      <c r="T97" s="17"/>
      <c r="U97" s="17"/>
      <c r="V97" s="24"/>
      <c r="W97" s="24"/>
      <c r="X97" t="s" s="18">
        <v>947</v>
      </c>
      <c r="Y97" t="str" s="20" cm="1">
        <f t="array" ref="Y97">IF(ISBLANK(X97),"",HYPERLINK("https://jlcpcb.com/partdetail/"&amp;$X97,$X97))</f>
        <v>C22935</v>
      </c>
      <c r="Z97" s="27">
        <v>1</v>
      </c>
      <c r="AA97" t="s" s="17">
        <v>314</v>
      </c>
      <c r="AB97" t="s" s="25">
        <v>832</v>
      </c>
      <c r="AC97" t="s" s="17">
        <v>949</v>
      </c>
      <c r="AD97" t="s" s="22">
        <v>812</v>
      </c>
      <c r="AE97" t="s" s="23">
        <v>813</v>
      </c>
      <c r="AF97" t="s" s="17">
        <v>950</v>
      </c>
    </row>
    <row r="98" ht="17.7" customHeight="1">
      <c r="B98" t="str" s="40" cm="1">
        <f t="array" ref="B98">E98&amp;"_"&amp;N98&amp;"_"&amp;Q98&amp;"_"&amp;J98&amp;"_"&amp;G98</f>
        <v>RES_5%_100mW_0603_1M</v>
      </c>
      <c r="C98" t="str" s="16" cm="1">
        <f t="array" ref="C98">$G98&amp;IF($E98="LED"," LED","")&amp;IF($N98="",""," ")&amp;$N98&amp;IF($H98="",""," ")&amp;$H98&amp;IF($O98="",""," ")&amp;$O98&amp;IF($P98="",""," ")&amp;$P98&amp;IF($Q98="",""," ")&amp;$Q98&amp;IF($T98="",""," ")&amp;$T98&amp;IF($T98="","","mcd")</f>
        <v>1M 5% thick film 75V 100mW</v>
      </c>
      <c r="D98" t="str" s="16" cm="1">
        <f t="array" ref="D98">$G98&amp;" "&amp;E98&amp;IF($N98="",""," ")&amp;$N98&amp;IF($H98="",""," ")&amp;$H98&amp;IF($O98="",""," ")&amp;$O98&amp;IF($P98="",""," ")&amp;$P98&amp;IF($Q98="",""," ")&amp;$Q98&amp;IF($T98="",""," ")&amp;$T98&amp;IF($T98="","","mcd")</f>
        <v>1M RES 5% thick film 75V 100mW</v>
      </c>
      <c r="E98" t="s" s="17">
        <v>801</v>
      </c>
      <c r="F98" t="s" s="17">
        <v>5</v>
      </c>
      <c r="G98" t="s" s="17">
        <v>945</v>
      </c>
      <c r="H98" t="s" s="17">
        <v>803</v>
      </c>
      <c r="I98" t="s" s="18">
        <v>954</v>
      </c>
      <c r="J98" t="s" s="17">
        <v>309</v>
      </c>
      <c r="K98" s="17"/>
      <c r="L98" s="17"/>
      <c r="M98" s="17"/>
      <c r="N98" t="s" s="17">
        <v>805</v>
      </c>
      <c r="O98" t="s" s="17">
        <v>806</v>
      </c>
      <c r="P98" s="17"/>
      <c r="Q98" t="s" s="17">
        <v>807</v>
      </c>
      <c r="R98" s="17"/>
      <c r="S98" s="17"/>
      <c r="T98" s="17"/>
      <c r="U98" s="17"/>
      <c r="V98" s="24"/>
      <c r="W98" s="24"/>
      <c r="X98" t="s" s="18">
        <v>955</v>
      </c>
      <c r="Y98" t="str" s="20" cm="1">
        <f t="array" ref="Y98">IF(ISBLANK(X98),"",HYPERLINK("https://jlcpcb.com/partdetail/"&amp;$X98,$X98))</f>
        <v>C26098</v>
      </c>
      <c r="Z98" s="27">
        <v>2</v>
      </c>
      <c r="AA98" t="s" s="17">
        <v>187</v>
      </c>
      <c r="AB98" t="s" s="25">
        <v>832</v>
      </c>
      <c r="AC98" t="s" s="32">
        <v>957</v>
      </c>
      <c r="AD98" t="s" s="36">
        <v>812</v>
      </c>
      <c r="AE98" t="s" s="23">
        <v>813</v>
      </c>
      <c r="AF98" t="s" s="17">
        <v>958</v>
      </c>
    </row>
    <row r="99" ht="18.9" customHeight="1">
      <c r="B99" t="str" s="40" cm="1">
        <f t="array" ref="B99">E99&amp;"_"&amp;N99&amp;"_"&amp;Q99&amp;"_"&amp;J99&amp;"_"&amp;G99</f>
        <v>RES_5%_100mW_0603_2.2M</v>
      </c>
      <c r="C99" t="str" s="16" cm="1">
        <f t="array" ref="C99">$G99&amp;IF($E99="LED"," LED","")&amp;IF($N99="",""," ")&amp;$N99&amp;IF($H99="",""," ")&amp;$H99&amp;IF($O99="",""," ")&amp;$O99&amp;IF($P99="",""," ")&amp;$P99&amp;IF($Q99="",""," ")&amp;$Q99&amp;IF($T99="",""," ")&amp;$T99&amp;IF($T99="","","mcd")</f>
        <v>2.2M 5% thick film 75V 100mW</v>
      </c>
      <c r="D99" t="str" s="16" cm="1">
        <f t="array" ref="D99">$G99&amp;" "&amp;E99&amp;IF($N99="",""," ")&amp;$N99&amp;IF($H99="",""," ")&amp;$H99&amp;IF($O99="",""," ")&amp;$O99&amp;IF($P99="",""," ")&amp;$P99&amp;IF($Q99="",""," ")&amp;$Q99&amp;IF($T99="",""," ")&amp;$T99&amp;IF($T99="","","mcd")</f>
        <v>2.2M RES 5% thick film 75V 100mW</v>
      </c>
      <c r="E99" t="s" s="17">
        <v>801</v>
      </c>
      <c r="F99" t="s" s="17">
        <v>5</v>
      </c>
      <c r="G99" t="s" s="17">
        <v>962</v>
      </c>
      <c r="H99" t="s" s="17">
        <v>803</v>
      </c>
      <c r="I99" t="s" s="18">
        <v>963</v>
      </c>
      <c r="J99" t="s" s="17">
        <v>309</v>
      </c>
      <c r="K99" s="17"/>
      <c r="L99" s="17"/>
      <c r="M99" s="17"/>
      <c r="N99" t="s" s="17">
        <v>805</v>
      </c>
      <c r="O99" t="s" s="17">
        <v>806</v>
      </c>
      <c r="P99" s="17"/>
      <c r="Q99" t="s" s="17">
        <v>807</v>
      </c>
      <c r="R99" s="17"/>
      <c r="S99" s="17"/>
      <c r="T99" s="17"/>
      <c r="U99" s="17"/>
      <c r="V99" s="24"/>
      <c r="W99" s="24"/>
      <c r="X99" t="s" s="18">
        <v>964</v>
      </c>
      <c r="Y99" t="str" s="20" cm="1">
        <f t="array" ref="Y99">IF(ISBLANK(X99),"",HYPERLINK("https://jlcpcb.com/partdetail/"&amp;$X99,$X99))</f>
        <v>C18679</v>
      </c>
      <c r="Z99" s="27">
        <v>3</v>
      </c>
      <c r="AA99" t="s" s="17">
        <v>187</v>
      </c>
      <c r="AB99" t="s" s="25">
        <v>832</v>
      </c>
      <c r="AC99" t="s" s="17">
        <v>966</v>
      </c>
      <c r="AD99" t="s" s="22">
        <v>812</v>
      </c>
      <c r="AE99" t="s" s="23">
        <v>813</v>
      </c>
      <c r="AF99" t="s" s="17">
        <v>967</v>
      </c>
    </row>
    <row r="100" ht="18.9" customHeight="1">
      <c r="B100" t="str" s="40" cm="1">
        <f t="array" ref="B100">E100&amp;"_"&amp;N100&amp;"_"&amp;Q100&amp;"_"&amp;J100&amp;"_"&amp;G100</f>
        <v>RES_5%_100mW_0603_2.2M</v>
      </c>
      <c r="C100" t="str" s="16" cm="1">
        <f t="array" ref="C100">$G100&amp;IF($E100="LED"," LED","")&amp;IF($N100="",""," ")&amp;$N100&amp;IF($H100="",""," ")&amp;$H100&amp;IF($O100="",""," ")&amp;$O100&amp;IF($P100="",""," ")&amp;$P100&amp;IF($Q100="",""," ")&amp;$Q100&amp;IF($T100="",""," ")&amp;$T100&amp;IF($T100="","","mcd")</f>
        <v>2.2M 5% thick film 50V 100mW</v>
      </c>
      <c r="D100" t="str" s="16" cm="1">
        <f t="array" ref="D100">$G100&amp;" "&amp;E100&amp;IF($N100="",""," ")&amp;$N100&amp;IF($H100="",""," ")&amp;$H100&amp;IF($O100="",""," ")&amp;$O100&amp;IF($P100="",""," ")&amp;$P100&amp;IF($Q100="",""," ")&amp;$Q100&amp;IF($T100="",""," ")&amp;$T100&amp;IF($T100="","","mcd")</f>
        <v>2.2M RES 5% thick film 50V 100mW</v>
      </c>
      <c r="E100" t="s" s="17">
        <v>801</v>
      </c>
      <c r="F100" t="s" s="17">
        <v>5</v>
      </c>
      <c r="G100" t="s" s="17">
        <v>962</v>
      </c>
      <c r="H100" t="s" s="17">
        <v>803</v>
      </c>
      <c r="I100" t="s" s="18">
        <v>970</v>
      </c>
      <c r="J100" t="s" s="17">
        <v>309</v>
      </c>
      <c r="K100" s="17"/>
      <c r="L100" s="17"/>
      <c r="M100" s="17"/>
      <c r="N100" t="s" s="17">
        <v>805</v>
      </c>
      <c r="O100" t="s" s="17">
        <v>325</v>
      </c>
      <c r="P100" s="17"/>
      <c r="Q100" t="s" s="17">
        <v>807</v>
      </c>
      <c r="R100" s="17"/>
      <c r="S100" s="17"/>
      <c r="T100" s="17"/>
      <c r="U100" s="17"/>
      <c r="V100" s="24"/>
      <c r="W100" s="24"/>
      <c r="X100" t="s" s="18">
        <v>971</v>
      </c>
      <c r="Y100" t="str" s="20" cm="1">
        <f t="array" ref="Y100">IF(ISBLANK(X100),"",HYPERLINK("https://jlcpcb.com/partdetail/"&amp;$X100,$X100))</f>
        <v>C403986</v>
      </c>
      <c r="Z100" s="27">
        <v>1</v>
      </c>
      <c r="AA100" t="s" s="17">
        <v>314</v>
      </c>
      <c r="AB100" t="s" s="25">
        <v>973</v>
      </c>
      <c r="AC100" t="s" s="17">
        <v>974</v>
      </c>
      <c r="AD100" t="s" s="36">
        <v>812</v>
      </c>
      <c r="AE100" t="s" s="23">
        <v>813</v>
      </c>
      <c r="AF100" t="s" s="17">
        <v>975</v>
      </c>
    </row>
    <row r="101" ht="18.9" customHeight="1">
      <c r="B101" t="str" s="40" cm="1">
        <f t="array" ref="B101">E101&amp;"_"&amp;N101&amp;"_"&amp;Q101&amp;"_"&amp;J101&amp;"_"&amp;G101</f>
        <v>RES_5%_100mW_0603_2.2M</v>
      </c>
      <c r="C101" t="str" s="16" cm="1">
        <f t="array" ref="C101">$G101&amp;IF($E101="LED"," LED","")&amp;IF($N101="",""," ")&amp;$N101&amp;IF($H101="",""," ")&amp;$H101&amp;IF($O101="",""," ")&amp;$O101&amp;IF($P101="",""," ")&amp;$P101&amp;IF($Q101="",""," ")&amp;$Q101&amp;IF($T101="",""," ")&amp;$T101&amp;IF($T101="","","mcd")</f>
        <v>2.2M 5% thick film 75V 100mW</v>
      </c>
      <c r="D101" t="str" s="16" cm="1">
        <f t="array" ref="D101">$G101&amp;" "&amp;E101&amp;IF($N101="",""," ")&amp;$N101&amp;IF($H101="",""," ")&amp;$H101&amp;IF($O101="",""," ")&amp;$O101&amp;IF($P101="",""," ")&amp;$P101&amp;IF($Q101="",""," ")&amp;$Q101&amp;IF($T101="",""," ")&amp;$T101&amp;IF($T101="","","mcd")</f>
        <v>2.2M RES 5% thick film 75V 100mW</v>
      </c>
      <c r="E101" t="s" s="17">
        <v>801</v>
      </c>
      <c r="F101" t="s" s="17">
        <v>5</v>
      </c>
      <c r="G101" t="s" s="17">
        <v>962</v>
      </c>
      <c r="H101" t="s" s="17">
        <v>803</v>
      </c>
      <c r="I101" t="s" s="18">
        <v>963</v>
      </c>
      <c r="J101" t="s" s="17">
        <v>309</v>
      </c>
      <c r="K101" s="17"/>
      <c r="L101" s="17"/>
      <c r="M101" s="17"/>
      <c r="N101" t="s" s="17">
        <v>805</v>
      </c>
      <c r="O101" t="s" s="17">
        <v>806</v>
      </c>
      <c r="P101" s="17"/>
      <c r="Q101" t="s" s="17">
        <v>807</v>
      </c>
      <c r="R101" s="17"/>
      <c r="S101" s="17"/>
      <c r="T101" s="17"/>
      <c r="U101" s="17"/>
      <c r="V101" s="24"/>
      <c r="W101" s="24"/>
      <c r="X101" t="s" s="18">
        <v>964</v>
      </c>
      <c r="Y101" t="str" s="20" cm="1">
        <f t="array" ref="Y101">IF(ISBLANK(X101),"",HYPERLINK("https://jlcpcb.com/partdetail/"&amp;$X101,$X101))</f>
        <v>C18679</v>
      </c>
      <c r="Z101" s="27">
        <v>2</v>
      </c>
      <c r="AA101" t="s" s="17">
        <v>314</v>
      </c>
      <c r="AB101" t="s" s="25">
        <v>832</v>
      </c>
      <c r="AC101" t="s" s="17">
        <v>966</v>
      </c>
      <c r="AD101" t="s" s="36">
        <v>812</v>
      </c>
      <c r="AE101" t="s" s="23">
        <v>813</v>
      </c>
      <c r="AF101" t="s" s="17">
        <v>967</v>
      </c>
    </row>
    <row r="102" ht="18.9" customHeight="1">
      <c r="B102" t="str" s="40" cm="1">
        <f t="array" ref="B102">E102&amp;"_"&amp;N102&amp;"_"&amp;Q102&amp;"_"&amp;J102&amp;"_"&amp;G102</f>
        <v>RLY___ISOPLUS-264_CPC1709J</v>
      </c>
      <c r="C102" t="str" s="16" cm="1">
        <f t="array" ref="C102">$G102&amp;IF($E102="LED"," LED","")&amp;IF($N102="",""," ")&amp;$N102&amp;IF($H102="",""," ")&amp;$H102&amp;IF($O102="",""," ")&amp;$O102&amp;IF($P102="",""," ")&amp;$P102&amp;IF($Q102="",""," ")&amp;$Q102&amp;IF($T102="",""," ")&amp;$T102&amp;IF($T102="","","mcd")</f>
        <v>CPC1709J SSR 1.42V 9A-22.8A</v>
      </c>
      <c r="D102" t="str" s="16" cm="1">
        <f t="array" ref="D102">$G102&amp;" "&amp;E102&amp;IF($N102="",""," ")&amp;$N102&amp;IF($H102="",""," ")&amp;$H102&amp;IF($O102="",""," ")&amp;$O102&amp;IF($P102="",""," ")&amp;$P102&amp;IF($Q102="",""," ")&amp;$Q102&amp;IF($T102="",""," ")&amp;$T102&amp;IF($T102="","","mcd")</f>
        <v>CPC1709J RLY SSR 1.42V 9A-22.8A</v>
      </c>
      <c r="E102" t="s" s="17">
        <v>711</v>
      </c>
      <c r="F102" t="s" s="17">
        <v>178</v>
      </c>
      <c r="G102" t="s" s="17">
        <v>979</v>
      </c>
      <c r="H102" t="s" s="17">
        <v>980</v>
      </c>
      <c r="I102" t="s" s="18">
        <v>981</v>
      </c>
      <c r="J102" t="s" s="17">
        <v>982</v>
      </c>
      <c r="K102" s="17"/>
      <c r="L102" s="17"/>
      <c r="M102" s="17"/>
      <c r="N102" s="17"/>
      <c r="O102" t="s" s="17">
        <v>983</v>
      </c>
      <c r="P102" t="s" s="17">
        <v>984</v>
      </c>
      <c r="Q102" s="17"/>
      <c r="R102" s="17"/>
      <c r="S102" s="17"/>
      <c r="T102" s="17"/>
      <c r="U102" s="17"/>
      <c r="V102" s="24"/>
      <c r="W102" s="24"/>
      <c r="X102" t="s" s="18">
        <v>985</v>
      </c>
      <c r="Y102" t="str" s="20" cm="1">
        <f t="array" ref="Y102">IF(ISBLANK(X102),"",HYPERLINK("https://jlcpcb.com/partdetail/"&amp;$X102,$X102))</f>
        <v>C1525253</v>
      </c>
      <c r="Z102" s="27">
        <v>1</v>
      </c>
      <c r="AA102" t="s" s="17">
        <v>187</v>
      </c>
      <c r="AB102" t="s" s="25">
        <v>987</v>
      </c>
      <c r="AC102" t="s" s="17">
        <v>979</v>
      </c>
      <c r="AD102" t="s" s="36">
        <v>988</v>
      </c>
      <c r="AE102" t="s" s="23">
        <v>988</v>
      </c>
      <c r="AF102" t="s" s="17">
        <v>989</v>
      </c>
    </row>
    <row r="103" ht="18.9" customHeight="1">
      <c r="B103" t="str" s="41" cm="1">
        <f t="array" ref="B103">E103&amp;"_"&amp;N103&amp;"_"&amp;Q103&amp;"_"&amp;J103&amp;"_"&amp;G103</f>
        <v>IC___SMD-6P_4N28SM</v>
      </c>
      <c r="C103" t="str" s="42" cm="1">
        <f t="array" ref="C103">$G103&amp;IF($E103="LED"," LED","")&amp;IF($N103="",""," ")&amp;$N103&amp;IF($H103="",""," ")&amp;$H103&amp;IF($O103="",""," ")&amp;$O103&amp;IF($P103="",""," ")&amp;$P103&amp;IF($Q103="",""," ")&amp;$Q103&amp;IF($T103="",""," ")&amp;$T103&amp;IF($T103="","","mcd")</f>
        <v>4N28SM Phototransistor</v>
      </c>
      <c r="D103" t="str" s="42" cm="1">
        <f t="array" ref="D103">$G103&amp;" "&amp;E103&amp;IF($N103="",""," ")&amp;$N103&amp;IF($H103="",""," ")&amp;$H103&amp;IF($O103="",""," ")&amp;$O103&amp;IF($P103="",""," ")&amp;$P103&amp;IF($Q103="",""," ")&amp;$Q103&amp;IF($T103="",""," ")&amp;$T103&amp;IF($T103="","","mcd")</f>
        <v>4N28SM IC Phototransistor</v>
      </c>
      <c r="E103" t="s" s="43">
        <v>489</v>
      </c>
      <c r="F103" t="s" s="43">
        <v>5</v>
      </c>
      <c r="G103" t="s" s="43">
        <v>993</v>
      </c>
      <c r="H103" t="s" s="43">
        <v>994</v>
      </c>
      <c r="I103" t="s" s="44">
        <v>995</v>
      </c>
      <c r="J103" t="s" s="43">
        <v>996</v>
      </c>
      <c r="K103" s="43"/>
      <c r="L103" t="s" s="43">
        <v>997</v>
      </c>
      <c r="M103" t="s" s="43">
        <v>998</v>
      </c>
      <c r="N103" s="43"/>
      <c r="O103" s="43"/>
      <c r="P103" s="43"/>
      <c r="Q103" s="43"/>
      <c r="R103" s="43"/>
      <c r="S103" s="43"/>
      <c r="T103" s="43"/>
      <c r="U103" s="43"/>
      <c r="V103" s="45"/>
      <c r="W103" s="45"/>
      <c r="X103" t="s" s="44">
        <v>999</v>
      </c>
      <c r="Y103" t="str" s="46" cm="1">
        <f t="array" ref="Y103">IF(ISBLANK(X103),"",HYPERLINK("https://jlcpcb.com/partdetail/"&amp;$X103,$X103))</f>
        <v>C898949</v>
      </c>
      <c r="Z103" s="47">
        <v>1</v>
      </c>
      <c r="AA103" t="s" s="43">
        <v>187</v>
      </c>
      <c r="AB103" t="s" s="48">
        <v>732</v>
      </c>
      <c r="AC103" t="s" s="43">
        <v>993</v>
      </c>
      <c r="AD103" t="s" s="49">
        <v>1001</v>
      </c>
      <c r="AE103" t="s" s="50">
        <v>1002</v>
      </c>
      <c r="AF103" t="s" s="43">
        <v>1003</v>
      </c>
    </row>
    <row r="104" ht="31" customHeight="1">
      <c r="B104" s="51"/>
      <c r="C104" s="52"/>
      <c r="D104" s="52"/>
      <c r="E104" s="52"/>
      <c r="F104" s="52"/>
      <c r="G104" s="52"/>
      <c r="H104" s="51"/>
      <c r="I104" s="53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</row>
  </sheetData>
  <mergeCells count="1">
    <mergeCell ref="B2:AF2"/>
  </mergeCells>
  <dataValidations count="2">
    <dataValidation type="list" allowBlank="1" showInputMessage="1" showErrorMessage="1" sqref="E3 E104">
      <formula1>",Category,SLK,CON,CAP,DIO,IC,LED,Q,RES"</formula1>
    </dataValidation>
    <dataValidation type="list" allowBlank="1" showInputMessage="1" showErrorMessage="1" sqref="E4:E53 E55:E103">
      <formula1>",Category,SLK,CON,CAP,DIO,IC,LED,Q,RES,ANA,IND,MCU,REG,OSC,RLY,SWI"</formula1>
    </dataValidation>
  </dataValidations>
  <hyperlinks>
    <hyperlink ref="Y25" r:id="rId1" location="" tooltip="" display="C840579"/>
    <hyperlink ref="AF25" r:id="rId2" location="" tooltip="" display="https://wmsc.lcsc.com/wmsc/upload/file/pdf/v2/lcsc/2311231642_ECE-EDG104S33_C840579.pdf"/>
    <hyperlink ref="Y26" r:id="rId3" location="" tooltip="" display="C5340138"/>
    <hyperlink ref="AF26" r:id="rId4" location="" tooltip="" display="https://wmsc.lcsc.com/wmsc/upload/file/pdf/v2/lcsc/2212291730_hanxia-HX-TS666CJ-250gf-009_C5340138.pdf"/>
    <hyperlink ref="Y27" r:id="rId5" location="" tooltip="" display="C5340123"/>
    <hyperlink ref="AF27" r:id="rId6" location="" tooltip="" display="https://wmsc.lcsc.com/wmsc/upload/file/pdf/v2/lcsc/2212271430_hanxia-HX-TS666TP-250gf-009_C5340123.pdf"/>
    <hyperlink ref="AF36" r:id="rId7" location="" tooltip="" display="https://www.amazon.com/DWEII-WT32-ETH01-Bluetooth-Development-Converter/dp/B0B1V2RSLY/ref=sr_1_6?crid=314KW0BPPVKW8&amp;dib=eyJ2IjoiMSJ9.G-jwgG2jf14TIyjtM6gPyYH3hjQUHKrQfu5_H3L9tC5jQFWRvQDq9e6MLIQJ2c_4zpV9VRvg39dGowOt8Ju3zdg0lPeXEKqTTXnLnach_267rAAC7T58mNYeH4anDT2My3U9K8OfvWwLEeqER44Jda4kDCnkxc14_Mbmi_gna2cnePF20jCunUNQWGwMVCvjp-UtBf86MK56FFjlFtjp1z2Aq4rvOP806BaqqU8Oo38.ev-u-C0T1GFgjLgimXKb_ZAMLnonoSzJ6AzhzPd1w-4&amp;dib_tag=se&amp;keywords=WT32-eth01&amp;qid=1736014651&amp;sprefix=wt32-eth01,aps,160&amp;sr=8-6&amp;th=1"/>
    <hyperlink ref="AF37" r:id="rId8" location="" tooltip="" display="https://mischianti.org/wp-content/uploads/2020/11/ESP32-DOIT-DEV-KIT-v1-pinout-mischianti.png"/>
    <hyperlink ref="Y38" r:id="rId9" location="" tooltip="" display="C1852832"/>
    <hyperlink ref="AF38" r:id="rId10" location="" tooltip="" display="https://wmsc.lcsc.com/wmsc/upload/file/pdf/v2/lcsc/2201271000_YAGEO-CC0603KPX7R8BB103_C1852832.pdf"/>
    <hyperlink ref="Y39" r:id="rId11" location="" tooltip="" display="C3910010"/>
    <hyperlink ref="Y40" r:id="rId12" location="" tooltip="" display="C100042"/>
    <hyperlink ref="AF40" r:id="rId13" location="" tooltip="" display="https://www.lcsc.com/datasheet/lcsc_datasheet_2304140030_YAGEO-CC0603KRX7R9BB103_C100042.pdf"/>
    <hyperlink ref="Y41" r:id="rId14" location="" tooltip="" display="C3853265"/>
    <hyperlink ref="Y42" r:id="rId15" location="" tooltip="" display="C14663"/>
    <hyperlink ref="AF42" r:id="rId16" location="" tooltip="" display="https://www.lcsc.com/datasheet/lcsc_datasheet_2211101700_YAGEO-CC0603KRX7R9BB104_C14663.pdf"/>
    <hyperlink ref="Y43" r:id="rId17" location="" tooltip="" display="C2169859"/>
    <hyperlink ref="AF43" r:id="rId18" location="" tooltip="" display="https://wmsc.lcsc.com/wmsc/upload/file/pdf/v2/lcsc/2309051403_Taiyo-Yuden-GMK107BJ105KAHT_C2169859.pdf"/>
    <hyperlink ref="Y44" r:id="rId19" location="" tooltip="" display="C15849"/>
    <hyperlink ref="AF44" r:id="rId20" location="" tooltip="" display="https://www.lcsc.com/datasheet/lcsc_datasheet_2304140030_Samsung-Electro-Mechanics-CL10A105KB8NNNC_C15849.pdf"/>
    <hyperlink ref="Y45" r:id="rId21" location="" tooltip="" display="C13585"/>
    <hyperlink ref="AF45" r:id="rId22" location="" tooltip="" display="https://www.lcsc.com/datasheet/lcsc_datasheet_2304140030_Samsung-Electro-Mechanics-CL31A106KBHNNNE_C13585.pdf"/>
    <hyperlink ref="Y46" r:id="rId23" location="" tooltip="" display="C136294"/>
    <hyperlink ref="AF46" r:id="rId24" location="" tooltip="" display="https://www.lcsc.com/datasheet/lcsc_datasheet_1808312007_Nichicon-UCD1V221MNL1GS_C136294.pdf"/>
    <hyperlink ref="W47" r:id="rId25" location="" tooltip="" display="https://www.mouser.com/ProductDetail/Nichicon/UVR0J102MPD1TD"/>
    <hyperlink ref="Y48" r:id="rId26" location="" tooltip="" display="C970714"/>
    <hyperlink ref="AF48" r:id="rId27" location="" tooltip="" display="https://jlcpcb.com/api/file/downloadByFileSystemAccessId/8590911073887604736"/>
    <hyperlink ref="Y49" r:id="rId28" location="" tooltip="" display="C353517"/>
    <hyperlink ref="AF49" r:id="rId29" location="" tooltip="" display="https://www.lcsc.com/datasheet/lcsc_datasheet_2304140030_Shandong-Jingdao-Microelectronics-BZT52C4V7S_C353517.pdf"/>
    <hyperlink ref="Y50" r:id="rId30" location="" tooltip="" display="C5261070"/>
    <hyperlink ref="AF50" r:id="rId31" location="" tooltip="" display="https://wmsc.lcsc.com/wmsc/upload/file/pdf/v2/lcsc/2406051353_HXY-MOSFET-BAT54_C5261070.pdf"/>
    <hyperlink ref="Y51" r:id="rId32" location="" tooltip="" display="C2926172"/>
    <hyperlink ref="AF51" r:id="rId33" location="" tooltip="" display="https://wmsc.lcsc.com/wmsc/upload/file/pdf/v2/lcsc/2112031830_FOSAN-BAT54A_C2926172.pdf"/>
    <hyperlink ref="Y52" r:id="rId34" location="" tooltip="" display="C2926174"/>
    <hyperlink ref="AF52" r:id="rId35" location="" tooltip="" display="https://wmsc.lcsc.com/wmsc/upload/file/pdf/v2/lcsc/2112031830_FOSAN-BAT54S_C2926174.pdf"/>
    <hyperlink ref="Y53" r:id="rId36" location="" tooltip="" display="C408388"/>
    <hyperlink ref="AF53" r:id="rId37" location="" tooltip="" display="https://www.lcsc.com/datasheet/lcsc_datasheet_2407101108_MDD-Microdiode-Semiconductor-BAT54C_C408388.pdf"/>
    <hyperlink ref="Y54" r:id="rId38" location="" tooltip="" display="C2683482"/>
    <hyperlink ref="AF54" r:id="rId39" location="" tooltip="" display="https://www.lcsc.com/datasheet/lcsc_datasheet_2403081523_IDCHIP-LM358D_C2683482.pdf"/>
    <hyperlink ref="Y55" r:id="rId40" location="" tooltip="" display="C5145392"/>
    <hyperlink ref="AF55" r:id="rId41" location="" tooltip="" display="https://wmsc.lcsc.com/wmsc/upload/file/pdf/v2/lcsc/2209290930_HANSCHIP-semiconductor-NE556DRG_C5145392.pdf"/>
    <hyperlink ref="Y56" r:id="rId42" location="" tooltip="" display="C629440"/>
    <hyperlink ref="AF56" r:id="rId43" location="" tooltip="" display="https://wmsc.lcsc.com/wmsc/upload/file/pdf/v2/lcsc/2203221230_Microchip-Tech-MCP23017T-E-SO_C629440.pdf"/>
    <hyperlink ref="Y57" r:id="rId44" location="" tooltip="" display="C2678753"/>
    <hyperlink ref="AF57" r:id="rId45" location="" tooltip="" display="https://www.lcsc.com/datasheet/lcsc_datasheet_2405281434_NXP-Semicon-PCA9685PW-118_C2678753.pdf"/>
    <hyperlink ref="Y58" r:id="rId46" location="" tooltip="" display="C965807"/>
    <hyperlink ref="AF58" r:id="rId47" location="" tooltip="" display="https://wmsc.lcsc.com/wmsc/upload/file/pdf/v2/lcsc/2402181505_XINGLIGHT-XL-1608UBC-04_C965807.pdf"/>
    <hyperlink ref="Y59" r:id="rId48" location="" tooltip="" display="C965808"/>
    <hyperlink ref="AF59" r:id="rId49" location="" tooltip="" display="https://wmsc.lcsc.com/wmsc/upload/file/pdf/v2/lcsc/2402181505_XINGLIGHT-XL-1608UWC-04_C965808.pdf"/>
    <hyperlink ref="Y60" r:id="rId50" location="" tooltip="" display="C965804"/>
    <hyperlink ref="AF60" r:id="rId51" location="" tooltip="" display="https://wmsc.lcsc.com/wmsc/upload/file/pdf/v2/lcsc/2402181505_XINGLIGHT-XL-1608UGC-04_C965804.pdf"/>
    <hyperlink ref="Y61" r:id="rId52" location="" tooltip="" display="C965806"/>
    <hyperlink ref="AF61" r:id="rId53" location="" tooltip="" display="https://wmsc.lcsc.com/wmsc/upload/file/pdf/v2/lcsc/2402181505_XINGLIGHT-XL-1608SYGC-04_C965806.pdf"/>
    <hyperlink ref="Y62" r:id="rId54" location="" tooltip="" display="C22371303"/>
    <hyperlink ref="AF62" r:id="rId55" location="" tooltip="" display="https://wmsc.lcsc.com/wmsc/upload/file/pdf/v2/lcsc/2403281522_HONGLITRONIC-Hongli-Zhihui--HONGLITRONIC-HL-PSC-1608S25OC-G4_C22371303.pdf"/>
    <hyperlink ref="Y63" r:id="rId56" location="" tooltip="" display="C965800"/>
    <hyperlink ref="AF63" r:id="rId57" location="" tooltip="" display="https://wmsc.lcsc.com/wmsc/upload/file/pdf/v2/lcsc/2402181505_XINGLIGHT-XL-1608UOC-06_C965800.pdf"/>
    <hyperlink ref="Y64" r:id="rId58" location="" tooltip="" display="C965801"/>
    <hyperlink ref="AF64" r:id="rId59" location="" tooltip="" display="https://wmsc.lcsc.com/wmsc/upload/file/pdf/v2/lcsc/2402181505_XINGLIGHT-XL-1608UOC-06_C965800.pdf"/>
    <hyperlink ref="Y65" r:id="rId60" location="" tooltip="" display="C965803"/>
    <hyperlink ref="AF65" r:id="rId61" location="" tooltip="" display="https://wmsc.lcsc.com/wmsc/upload/file/pdf/v2/lcsc/2402181505_XINGLIGHT-XL-1608UOC-04_C965801.pdf"/>
    <hyperlink ref="Y66" r:id="rId62" location="" tooltip="" display="C7288939"/>
    <hyperlink ref="AF66" r:id="rId63" location="" tooltip="" display="https://wmsc.lcsc.com/wmsc/upload/file/pdf/v2/lcsc/2404241146_Inolux-IN-S63ASR_C7288939.pdf"/>
    <hyperlink ref="Y67" r:id="rId64" location="" tooltip="" display="C965799"/>
    <hyperlink ref="AF67" r:id="rId65" location="" tooltip="" display="https://wmsc.lcsc.com/wmsc/upload/file/pdf/v2/lcsc/2402181505_XINGLIGHT-XL-1608SURC-06_C965799.pdf"/>
    <hyperlink ref="Y68" r:id="rId66" location="" tooltip="" display="C965798"/>
    <hyperlink ref="AF68" r:id="rId67" location="" tooltip="" display="https://wmsc.lcsc.com/wmsc/upload/file/pdf/v2/lcsc/2402181505_XINGLIGHT-XL-1608SURC-04_C965798.pdf"/>
    <hyperlink ref="Y69" r:id="rId68" location="" tooltip="" display="C2843785"/>
    <hyperlink ref="AF69" r:id="rId69" location="" tooltip="" display="https://www.lcsc.com/datasheet/lcsc_datasheet_2404120946_XINGLIGHT-XL-5050RGBC-WS2812B_C2843785.pdf"/>
    <hyperlink ref="Y70" r:id="rId70" location="" tooltip="" display="C5345985"/>
    <hyperlink ref="AF70" r:id="rId71" location="" tooltip="" display="https://wmsc.lcsc.com/wmsc/upload/file/pdf/v2/lcsc/2301120930_HXY-MOSFET-AMS1117-ADJ_C5345985.pdf"/>
    <hyperlink ref="Y71" r:id="rId72" location="" tooltip="" display="C5345982"/>
    <hyperlink ref="AF71" r:id="rId73" location="" tooltip="" display="https://wmsc.lcsc.com/wmsc/upload/file/pdf/v2/lcsc/2301120930_HXY-MOSFET-AMS1117-3-3_C5345982.pdf"/>
    <hyperlink ref="Y72" r:id="rId74" location="" tooltip="" display="C5345984"/>
    <hyperlink ref="AF72" r:id="rId75" location="" tooltip="" display="https://wmsc.lcsc.com/wmsc/upload/file/pdf/v2/lcsc/2301120930_HXY-MOSFET-AMS1117-5-0_C5345984.pdf"/>
    <hyperlink ref="AF74" r:id="rId76" location="" tooltip="" display="https://omronfs.omron.com/en_US/ecb/products/pdf/en-g2rl.pdf"/>
    <hyperlink ref="Y76" r:id="rId77" location="" tooltip="" display="C5184404"/>
    <hyperlink ref="AF76" r:id="rId78" location="" tooltip="" display="https://wmsc.lcsc.com/wmsc/upload/file/pdf/v2/lcsc/2407151447_HXY-MOSFET-MMBT3904_C5184404.pdf"/>
    <hyperlink ref="Y77" r:id="rId79" location="" tooltip="" display="C5184433"/>
    <hyperlink ref="AF77" r:id="rId80" location="" tooltip="" display="https://wmsc.lcsc.com/wmsc/upload/file/pdf/v2/lcsc/2303091430_HXY-MOSFET-BC807-40_C5184433.pdf"/>
    <hyperlink ref="Y78" r:id="rId81" location="" tooltip="" display="C5224215"/>
    <hyperlink ref="AF78" r:id="rId82" location="" tooltip="" display="https://wmsc.lcsc.com/wmsc/upload/file/pdf/v2/lcsc/2210271630_ElecSuper-2N7002_C5224215.pdf"/>
    <hyperlink ref="Y79" r:id="rId83" location="" tooltip="" display="C878901"/>
    <hyperlink ref="AF79" r:id="rId84" location="" tooltip="" display="https://www.diodes.com/assets/Datasheets/ds31773.pdf"/>
    <hyperlink ref="Y80" r:id="rId85" location="" tooltip="" display="C7499856"/>
    <hyperlink ref="AF80" r:id="rId86" location="" tooltip="" display="https://wmsc.lcsc.com/wmsc/upload/file/pdf/v2/lcsc/2310251707_HL-2301V_C7499856.pdf"/>
    <hyperlink ref="Y81" r:id="rId87" location="" tooltip="" display="C2907123"/>
    <hyperlink ref="AF81" r:id="rId88" location="" tooltip="" display="https://wmsc.lcsc.com/wmsc/upload/file/pdf/v2/lcsc/2308241947_FOJAN-FRC0603J201-TS_C2907123.pdf"/>
    <hyperlink ref="Y82" r:id="rId89" location="" tooltip="" display="C5842375"/>
    <hyperlink ref="AF82" r:id="rId90" location="" tooltip="" display="https://wmsc.lcsc.com/wmsc/upload/file/pdf/v2/lcsc/2312030915_YAGEO-RC0603FR-13220RL_C5842375.pdf"/>
    <hyperlink ref="Y83" r:id="rId91" location="" tooltip="" display="C1226"/>
    <hyperlink ref="AF83" r:id="rId92" location="" tooltip="" display="https://www.lcsc.com/datasheet/lcsc_datasheet_2206010230_UNI-ROYAL-Uniroyal-Elec-0603WAJ0221T5E_C1226.pdf"/>
    <hyperlink ref="Y84" r:id="rId93" location="" tooltip="" display="C25231"/>
    <hyperlink ref="AF84" r:id="rId94" location="" tooltip="" display="https://www.lcsc.com/datasheet/lcsc_datasheet_2205311845_UNI-ROYAL-Uniroyal-Elec-0603WAJ0331T5E_C25231.pdf"/>
    <hyperlink ref="Y85" r:id="rId95" location="" tooltip="" display="C25241"/>
    <hyperlink ref="AF85" r:id="rId96" location="" tooltip="" display="https://www.lcsc.com/datasheet/lcsc_datasheet_2205311845_UNI-ROYAL-Uniroyal-Elec-0603WAJ0471T5E_C25241.pdf"/>
    <hyperlink ref="Y86" r:id="rId97" location="" tooltip="" display="C25585"/>
    <hyperlink ref="AF86" r:id="rId98" location="" tooltip="" display="https://www.lcsc.com/datasheet/lcsc_datasheet_2206010100_UNI-ROYAL-Uniroyal-Elec-0603WAJ0102T5E_C25585.pdf"/>
    <hyperlink ref="Y87" r:id="rId99" location="" tooltip="" display="C25992"/>
    <hyperlink ref="AF87" r:id="rId100" location="" tooltip="" display="https://www.lcsc.com/datasheet/lcsc_datasheet_2206010045_UNI-ROYAL-Uniroyal-Elec-0603WAJ0222T5E_C25992.pdf"/>
    <hyperlink ref="Y88" r:id="rId101" location="" tooltip="" display="C2907023"/>
    <hyperlink ref="AF88" r:id="rId102" location="" tooltip="" display="https://wmsc.lcsc.com/wmsc/upload/file/pdf/v2/lcsc/2308241947_FOJAN-FRC0603F3301TS_C2907023.pdf"/>
    <hyperlink ref="Y89" r:id="rId103" location="" tooltip="" display="C25995"/>
    <hyperlink ref="AF89" r:id="rId104" location="" tooltip="" display="https://www.lcsc.com/datasheet/lcsc_datasheet_2206010045_UNI-ROYAL-Uniroyal-Elec-0603WAJ0332T5E_C25995.pdf"/>
    <hyperlink ref="Y90" r:id="rId105" location="" tooltip="" display="C25999"/>
    <hyperlink ref="AF90" r:id="rId106" location="" tooltip="" display="https://www.lcsc.com/datasheet/lcsc_datasheet_2206010045_UNI-ROYAL-Uniroyal-Elec-0603WAJ0472T5E_C25999.pdf"/>
    <hyperlink ref="Y91" r:id="rId107" location="" tooltip="" display="C26001"/>
    <hyperlink ref="AF91" r:id="rId108" location="" tooltip="" display="https://www.lcsc.com/datasheet/lcsc_datasheet_2206010045_UNI-ROYAL-Uniroyal-Elec-0603WAJ0562T5E_C26001.pdf"/>
    <hyperlink ref="Y92" r:id="rId109" location="" tooltip="" display="C4118381"/>
    <hyperlink ref="AF92" r:id="rId110" location="" tooltip="" display="https://wmsc.lcsc.com/wmsc/upload/file/pdf/v2/lcsc/2404101024_YAGEO-RC0603JR-1310KL_C4118381.pdf"/>
    <hyperlink ref="Y93" r:id="rId111" location="" tooltip="" display="C2930027"/>
    <hyperlink ref="AF93" r:id="rId112" location="" tooltip="" display="https://wmsc.lcsc.com/wmsc/upload/file/pdf/v2/lcsc/2308241009_FOJAN-FRC0603J103TS_C2930027.pdf"/>
    <hyperlink ref="Y94" r:id="rId113" location="" tooltip="" display="C15401"/>
    <hyperlink ref="Y95" r:id="rId114" location="" tooltip="" display="C23344"/>
    <hyperlink ref="AF95" r:id="rId115" location="" tooltip="" display="https://www.lcsc.com/datasheet/lcsc_datasheet_2206010100_UNI-ROYAL-Uniroyal-Elec-0603WAJ0223T5E_C23344.pdf"/>
    <hyperlink ref="Y96" r:id="rId116" location="" tooltip="" display="C15458"/>
    <hyperlink ref="AF96" r:id="rId117" location="" tooltip="" display="https://www.lcsc.com/datasheet/lcsc_datasheet_2206010216_UNI-ROYAL-Uniroyal-Elec-0603WAJ0104T5E_C15458.pdf"/>
    <hyperlink ref="Y97" r:id="rId118" location="" tooltip="" display="C22935"/>
    <hyperlink ref="AF97" r:id="rId119" location="" tooltip="" display="https://www.lcsc.com/datasheet/lcsc_datasheet_2206010130_UNI-ROYAL-Uniroyal-Elec-0603WAF1004T5E_C22935.pdf"/>
    <hyperlink ref="Y98" r:id="rId120" location="" tooltip="" display="C26098"/>
    <hyperlink ref="AF98" r:id="rId121" location="" tooltip="" display="https://www.lcsc.com/datasheet/lcsc_datasheet_2206010030_UNI-ROYAL-Uniroyal-Elec-0603WAJ0105T5E_C26098.pdf"/>
    <hyperlink ref="Y99" r:id="rId122" location="" tooltip="" display="C18679"/>
    <hyperlink ref="AF99" r:id="rId123" location="" tooltip="" display="https://www.lcsc.com/datasheet/lcsc_datasheet_2206010145_UNI-ROYAL-Uniroyal-Elec-0603WAJ0225T5E_C18679.pdf"/>
    <hyperlink ref="Y100" r:id="rId124" location="" tooltip="" display="C403986"/>
    <hyperlink ref="AF100" r:id="rId125" location="" tooltip="" display="https://wmsc.lcsc.com/wmsc/upload/file/pdf/v2/lcsc/2304140030_FH--Guangdong-Fenghua-Advanced-Tech-RS-03L225JJT_C403986.pdf"/>
    <hyperlink ref="Y101" r:id="rId126" location="" tooltip="" display="C18679"/>
    <hyperlink ref="AF101" r:id="rId127" location="" tooltip="" display="https://www.lcsc.com/datasheet/lcsc_datasheet_2206010145_UNI-ROYAL-Uniroyal-Elec-0603WAJ0225T5E_C18679.pdf"/>
    <hyperlink ref="Y102" r:id="rId128" location="" tooltip="" display="C1525253"/>
    <hyperlink ref="AF102" r:id="rId129" location="" tooltip="" display="https://jlcpcb.com/api/file/downloadByFileSystemAccessId/8589033743424368640"/>
    <hyperlink ref="Y103" r:id="rId130" location="" tooltip="" display="C898949"/>
    <hyperlink ref="AF103" r:id="rId131" location="" tooltip="" display="https://jlcpcb.com/api/file/downloadByFileSystemAccessId/8588917274006720512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