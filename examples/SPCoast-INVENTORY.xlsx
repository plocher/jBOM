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<sst xmlns="http://schemas.openxmlformats.org/spreadsheetml/2006/main" uniqueCount="1367">
  <si>
    <t>SPCoast Part Inventory</t>
  </si>
  <si>
    <t>Category</t>
  </si>
  <si>
    <t>IPN</t>
  </si>
  <si>
    <t>ComponentName</t>
  </si>
  <si>
    <t>Keywords</t>
  </si>
  <si>
    <t>Product Page</t>
  </si>
  <si>
    <t>Value</t>
  </si>
  <si>
    <t>Priority</t>
  </si>
  <si>
    <t>DNP</t>
  </si>
  <si>
    <t>Name</t>
  </si>
  <si>
    <t>Aliases</t>
  </si>
  <si>
    <t>SMD</t>
  </si>
  <si>
    <t>Type</t>
  </si>
  <si>
    <t>Description</t>
  </si>
  <si>
    <t>Resistance</t>
  </si>
  <si>
    <t>Capacitance</t>
  </si>
  <si>
    <t>Inductance</t>
  </si>
  <si>
    <t>Package</t>
  </si>
  <si>
    <t>Form</t>
  </si>
  <si>
    <t>Pins</t>
  </si>
  <si>
    <t>Pitch</t>
  </si>
  <si>
    <t>Tolerance</t>
  </si>
  <si>
    <t>V</t>
  </si>
  <si>
    <t>A</t>
  </si>
  <si>
    <t>W</t>
  </si>
  <si>
    <t>Angle</t>
  </si>
  <si>
    <t>Wavelength</t>
  </si>
  <si>
    <t>mcd</t>
  </si>
  <si>
    <t>Frequency</t>
  </si>
  <si>
    <t>Symbol</t>
  </si>
  <si>
    <t>Footprint</t>
  </si>
  <si>
    <t>Inventory Status</t>
  </si>
  <si>
    <t>Supplier</t>
  </si>
  <si>
    <t>SPN</t>
  </si>
  <si>
    <t>Manufacturer</t>
  </si>
  <si>
    <t>MPN</t>
  </si>
  <si>
    <t>Datasheet</t>
  </si>
  <si>
    <t>CAP</t>
  </si>
  <si>
    <t>CAP_0.01uF_X7R_0603_50V</t>
  </si>
  <si>
    <t>0.01uF 10% X7R 50V</t>
  </si>
  <si>
    <t>0.01uF CAP 10% X7R 50V</t>
  </si>
  <si>
    <r>
      <rPr>
        <u val="single"/>
        <sz val="10"/>
        <color indexed="8"/>
        <rFont val="American Typewriter"/>
      </rPr>
      <t>C100042</t>
    </r>
  </si>
  <si>
    <t>0.01uF</t>
  </si>
  <si>
    <t>X7R</t>
  </si>
  <si>
    <t>50V 10nF X7R ±10% 0603 Multilayer Ceramic Capacitors MLCC</t>
  </si>
  <si>
    <t>0603</t>
  </si>
  <si>
    <t>10%</t>
  </si>
  <si>
    <t>50V</t>
  </si>
  <si>
    <t>Device:C</t>
  </si>
  <si>
    <t>SPCoast:0603-CAP</t>
  </si>
  <si>
    <t>LCSC</t>
  </si>
  <si>
    <t>C100042</t>
  </si>
  <si>
    <t>YAGEO</t>
  </si>
  <si>
    <t>CC0603KRX7R9BB103</t>
  </si>
  <si>
    <r>
      <rPr>
        <u val="single"/>
        <sz val="10"/>
        <color indexed="8"/>
        <rFont val="American Typewriter"/>
      </rPr>
      <t>https://www.lcsc.com/datasheet/lcsc_datasheet_2304140030_YAGEO-CC0603KRX7R9BB103_C100042.pdf</t>
    </r>
  </si>
  <si>
    <t>CAP_0.01uF_X7R_0603_25V</t>
  </si>
  <si>
    <t>0.01uF 10% X7R 25V</t>
  </si>
  <si>
    <t>0.01uF CAP 10% X7R 25V</t>
  </si>
  <si>
    <r>
      <rPr>
        <u val="single"/>
        <sz val="10"/>
        <color indexed="8"/>
        <rFont val="American Typewriter"/>
      </rPr>
      <t>C1852832</t>
    </r>
  </si>
  <si>
    <t>25V 10nF X7R ±10% 0603 Multilayer Ceramic Capacitors MLCC</t>
  </si>
  <si>
    <t>25V</t>
  </si>
  <si>
    <t>Retired</t>
  </si>
  <si>
    <t>C1852832</t>
  </si>
  <si>
    <t>CC0603KPX7R8BB103</t>
  </si>
  <si>
    <r>
      <rPr>
        <u val="single"/>
        <sz val="10"/>
        <color indexed="8"/>
        <rFont val="American Typewriter"/>
      </rPr>
      <t>https://wmsc.lcsc.com/wmsc/upload/file/pdf/v2/lcsc/2201271000_YAGEO-CC0603KPX7R8BB103_C1852832.pdf</t>
    </r>
  </si>
  <si>
    <t>CAP_0.01uF_X5R_0603_50V</t>
  </si>
  <si>
    <t>0.01uF 10% X5R 50V</t>
  </si>
  <si>
    <t>0.01uF CAP 10% X5R 50V</t>
  </si>
  <si>
    <r>
      <rPr>
        <u val="single"/>
        <sz val="10"/>
        <color indexed="8"/>
        <rFont val="American Typewriter"/>
      </rPr>
      <t>C3910010</t>
    </r>
  </si>
  <si>
    <t>X5R</t>
  </si>
  <si>
    <t>50V 10nF X5R ±10% 0603 Multilayer Ceramic Capacitors MLCC</t>
  </si>
  <si>
    <t>C3910010</t>
  </si>
  <si>
    <t>CAL-CHIP</t>
  </si>
  <si>
    <t>GMC10X5R103K50NT</t>
  </si>
  <si>
    <t>-na-</t>
  </si>
  <si>
    <t>CAP_0.1uF_X7R_0603_50V</t>
  </si>
  <si>
    <t>0.1uF 10% X7R 50V</t>
  </si>
  <si>
    <t>0.1uF CAP 10% X7R 50V</t>
  </si>
  <si>
    <r>
      <rPr>
        <u val="single"/>
        <sz val="10"/>
        <color indexed="8"/>
        <rFont val="American Typewriter"/>
      </rPr>
      <t>C14663</t>
    </r>
  </si>
  <si>
    <t>0.1uF</t>
  </si>
  <si>
    <t>50V 100nF X7R ±10% 0603 Multilayer Ceramic Capacitors MLCC</t>
  </si>
  <si>
    <t>C14663</t>
  </si>
  <si>
    <t>CC0603KRX7R9BB104</t>
  </si>
  <si>
    <r>
      <rPr>
        <u val="single"/>
        <sz val="10"/>
        <color indexed="8"/>
        <rFont val="American Typewriter"/>
      </rPr>
      <t>https://www.lcsc.com/datasheet/lcsc_datasheet_2211101700_YAGEO-CC0603KRX7R9BB104_C14663.pdf</t>
    </r>
  </si>
  <si>
    <t>CAP_0.1uF_X5R_0603_25V</t>
  </si>
  <si>
    <t>0.1uF 10% X5R 25V</t>
  </si>
  <si>
    <t>0.1uF CAP 10% X5R 25V</t>
  </si>
  <si>
    <r>
      <rPr>
        <u val="single"/>
        <sz val="10"/>
        <color indexed="8"/>
        <rFont val="American Typewriter"/>
      </rPr>
      <t>C3853265</t>
    </r>
  </si>
  <si>
    <t>25V 100nF X5R ±10% 0603 Multilayer Ceramic Capacitors MLCC</t>
  </si>
  <si>
    <t>C3853265</t>
  </si>
  <si>
    <t>GMC10X5R104K25NT</t>
  </si>
  <si>
    <t>CAP_1000uF_Electrolytic_8x11.5</t>
  </si>
  <si>
    <t>1000uF 20% Electrolytic 6.3V</t>
  </si>
  <si>
    <t>1000uF CAP 20% Electrolytic 6.3V</t>
  </si>
  <si>
    <t>647-UVR0J102MPD1TD</t>
  </si>
  <si>
    <t>1000uF</t>
  </si>
  <si>
    <t>PTH</t>
  </si>
  <si>
    <t>Electrolytic</t>
  </si>
  <si>
    <t>Aluminum Electrolytic Capacitors - Radial Leaded 1000uF 6.3V 85c</t>
  </si>
  <si>
    <t>8x11.5</t>
  </si>
  <si>
    <t>20%</t>
  </si>
  <si>
    <t>6.3V</t>
  </si>
  <si>
    <t>Device:C_Polarized_US</t>
  </si>
  <si>
    <t>Mouser</t>
  </si>
  <si>
    <t>Nichicon</t>
  </si>
  <si>
    <t>UVR0J102MPD1TD</t>
  </si>
  <si>
    <r>
      <rPr>
        <u val="single"/>
        <sz val="10"/>
        <color indexed="8"/>
        <rFont val="American Typewriter"/>
      </rPr>
      <t>https://www.mouser.com/datasheet/3/497/1/e_uvr.pdf</t>
    </r>
  </si>
  <si>
    <t>CAP_1000uF_Electrolytic_10x10.2</t>
  </si>
  <si>
    <t>1000uF 20% Electrolytic 16V</t>
  </si>
  <si>
    <t>1000uF CAP 20% Electrolytic 16V</t>
  </si>
  <si>
    <r>
      <rPr>
        <u val="single"/>
        <sz val="10"/>
        <color indexed="8"/>
        <rFont val="American Typewriter"/>
      </rPr>
      <t>C970714</t>
    </r>
  </si>
  <si>
    <t>Aluminum Electrolytic Capacitors - Radial Leaded 1000uF 16V -55-105c 347mA@120hz 20% D10xL10.2</t>
  </si>
  <si>
    <t>10x10.2</t>
  </si>
  <si>
    <t>16V</t>
  </si>
  <si>
    <t>Capacitor_SMD:CP_Elec_10x10</t>
  </si>
  <si>
    <t>C970714</t>
  </si>
  <si>
    <t>DMBJ</t>
  </si>
  <si>
    <t>RVT1C102M1010 1000UF 16V</t>
  </si>
  <si>
    <r>
      <rPr>
        <u val="single"/>
        <sz val="10"/>
        <color indexed="8"/>
        <rFont val="American Typewriter"/>
      </rPr>
      <t>https://jlcpcb.com/api/file/downloadByFileSystemAccessId/8590911073887604736</t>
    </r>
  </si>
  <si>
    <t>CAP_10uF_X5R_1206_50V</t>
  </si>
  <si>
    <t>10uF 10% X5R 50V</t>
  </si>
  <si>
    <t>10uF CAP 10% X5R 50V</t>
  </si>
  <si>
    <r>
      <rPr>
        <u val="single"/>
        <sz val="10"/>
        <color indexed="8"/>
        <rFont val="American Typewriter"/>
      </rPr>
      <t>C13585</t>
    </r>
  </si>
  <si>
    <t>10uF</t>
  </si>
  <si>
    <t>50V 10uF X5R ±10% 1206 Multilayer Ceramic Capacitors MLCC</t>
  </si>
  <si>
    <t>1206</t>
  </si>
  <si>
    <t>SPCoast:1206-CAP</t>
  </si>
  <si>
    <t>C13585</t>
  </si>
  <si>
    <t>Samsung</t>
  </si>
  <si>
    <t>CL31A106KBHNNNE</t>
  </si>
  <si>
    <r>
      <rPr>
        <u val="single"/>
        <sz val="10"/>
        <color indexed="8"/>
        <rFont val="American Typewriter"/>
      </rPr>
      <t>https://www.lcsc.com/datasheet/lcsc_datasheet_2304140030_Samsung-Electro-Mechanics-CL31A106KBHNNNE_C13585.pdf</t>
    </r>
  </si>
  <si>
    <t>CAP_1uF_X5R_0603_50V</t>
  </si>
  <si>
    <t>1uF 10% X5R 50V</t>
  </si>
  <si>
    <t>1uF CAP 10% X5R 50V</t>
  </si>
  <si>
    <r>
      <rPr>
        <u val="single"/>
        <sz val="10"/>
        <color indexed="8"/>
        <rFont val="American Typewriter"/>
      </rPr>
      <t>C15849</t>
    </r>
  </si>
  <si>
    <t>1uF</t>
  </si>
  <si>
    <t>50V 1uF X5R ±10% 0603 Multilayer Ceramic Capacitors MLCC</t>
  </si>
  <si>
    <t>C15849</t>
  </si>
  <si>
    <t>CL10A105KB8NNNC</t>
  </si>
  <si>
    <r>
      <rPr>
        <u val="single"/>
        <sz val="10"/>
        <color indexed="8"/>
        <rFont val="American Typewriter"/>
      </rPr>
      <t>https://www.lcsc.com/datasheet/lcsc_datasheet_2304140030_Samsung-Electro-Mechanics-CL10A105KB8NNNC_C15849.pdf</t>
    </r>
  </si>
  <si>
    <t>CAP_1uF_X5R_0603_25V</t>
  </si>
  <si>
    <t>1uF 10% X5R 25V</t>
  </si>
  <si>
    <t>1uF CAP 10% X5R 25V</t>
  </si>
  <si>
    <r>
      <rPr>
        <u val="single"/>
        <sz val="10"/>
        <color indexed="8"/>
        <rFont val="American Typewriter"/>
      </rPr>
      <t>C2169859</t>
    </r>
  </si>
  <si>
    <t>35V 1uF X5R ±10% 0603 Multilayer Ceramic Capacitors MLCC</t>
  </si>
  <si>
    <t>C2169859</t>
  </si>
  <si>
    <t>Taiyo Yuden</t>
  </si>
  <si>
    <t>GMK107BJ105KAHT</t>
  </si>
  <si>
    <r>
      <rPr>
        <u val="single"/>
        <sz val="10"/>
        <color indexed="8"/>
        <rFont val="American Typewriter"/>
      </rPr>
      <t>https://wmsc.lcsc.com/wmsc/upload/file/pdf/v2/lcsc/2309051403_Taiyo-Yuden-GMK107BJ105KAHT_C2169859.pdf</t>
    </r>
  </si>
  <si>
    <t>CAP_220uF_Electrolytic_8x10</t>
  </si>
  <si>
    <t>220uF 20% Electrolytic 35V</t>
  </si>
  <si>
    <t>220uF CAP 20% Electrolytic 35V</t>
  </si>
  <si>
    <r>
      <rPr>
        <u val="single"/>
        <sz val="10"/>
        <color indexed="8"/>
        <rFont val="American Typewriter"/>
      </rPr>
      <t>C136294</t>
    </r>
  </si>
  <si>
    <t>220uF</t>
  </si>
  <si>
    <t>220uF 35V 300mA@120Hz ±20% SMD D8xL10mm Aluminum Electrolytic Capacitor</t>
  </si>
  <si>
    <t>8x10</t>
  </si>
  <si>
    <t>35V</t>
  </si>
  <si>
    <t>SPCoast:CP_Elec_8x10</t>
  </si>
  <si>
    <t>C136294</t>
  </si>
  <si>
    <t>UCD1V221MNL1GS</t>
  </si>
  <si>
    <r>
      <rPr>
        <u val="single"/>
        <sz val="10"/>
        <color indexed="8"/>
        <rFont val="American Typewriter"/>
      </rPr>
      <t>https://www.lcsc.com/datasheet/lcsc_datasheet_1808312007_Nichicon-UCD1V221MNL1GS_C136294.pdf</t>
    </r>
  </si>
  <si>
    <t>CON</t>
  </si>
  <si>
    <t>CON_1x02-0.100</t>
  </si>
  <si>
    <t>1x02-0.100 Male Header 250V 3A</t>
  </si>
  <si>
    <t>1x02-0.100 CON Male Header 250V 3A</t>
  </si>
  <si>
    <r>
      <rPr>
        <u val="single"/>
        <sz val="10"/>
        <color indexed="8"/>
        <rFont val="American Typewriter"/>
      </rPr>
      <t>C492401</t>
    </r>
  </si>
  <si>
    <t>1x02-0.100</t>
  </si>
  <si>
    <t>Male Header</t>
  </si>
  <si>
    <t>1x02 0.100 / 2.54mm Header</t>
  </si>
  <si>
    <t>1x02</t>
  </si>
  <si>
    <t>2.54mm</t>
  </si>
  <si>
    <t>250V</t>
  </si>
  <si>
    <t>3A</t>
  </si>
  <si>
    <t>SPCoast:Conn_01x02</t>
  </si>
  <si>
    <t>SPCoast:Connector_01x02_V</t>
  </si>
  <si>
    <t>C492401</t>
  </si>
  <si>
    <t>XFCN</t>
  </si>
  <si>
    <t>PZ254V-11-02P</t>
  </si>
  <si>
    <t>https://jlc-prod-smt.oss-eu-central-1.aliyuncs.com/smtDataManualFile/8588888828375945216-C492401.pdf?response-content-disposition=attachment; filename=C492401.pdf; filename*=UTF-8''C492401.pdf&amp;x-oss-date=20260414T214310Z&amp;x-oss-expires=1800&amp;x-oss-security-token=CAISgAN1q6Ft5B2yfSjIr5rlEc6NqZNz+pCeckDbtHIZVdpDqa38kzz2IHhMdHJsAOodtv0/mmhT6PkclqRLcbhpcmfjV+ZHzLB8qao++xJx4J7b16cNrbH4M4H6aXeirtuwDsz9SNTCALjPD3nPii50x5bjaDymRCbLGJaViJlhHLN1Ow6jdmhpCctxLAlvo9NgFxm3D/u2NQPwiWf9FVdhvhEG6Vly8qOi2MaRmFy8yFTx0b0SvJ+jYMrmPctoN9JnSdC5mfdzau3a1TJ84gRD0a5wkaVA1zbDs5bfISEIuUzebreLqY03dV4mOvdqIcMe8qigz88fk/fIioH6xyxKOexoSCnFTOiiupCcQLPyao9jLu6iayqViY7QaIOTqQohZmkAMwVOasAsI3Ngh4zF97Qt0cVNkXO9gWfLI8DtuMleWsql0NpbjnSgc5lCkRRYwGs1287ugXlSQzo890KPDAEovaKCnZ2ZSfh7Y4sNknI6i+fc2Se2MIkI4lr+FqKWD5sagAG1tTGzfb+fc+lggj5aXoBFmxmsBA2nPlzdIzv8O+UGggLC1RqhD3o8RgN7aoVwoBgbsdOyrcf9FZoVphXVN5USxrYSq/mppL8gg+Cxl6UC1sEAuiqMC68x3/uQLjVIl+eqoG0tE08O344fHDZs8SvHN6yr8Yqy6PxILK0022QXhSAA&amp;x-oss-signature-version=OSS4-HMAC-SHA256&amp;x-oss-credential=STS.NYPZt9DLRMRupfjPrLYUoFhWq/20260414/eu-central-1/oss/aliyun_v4_request&amp;x-oss-signature=07b3f1f520ec9c0154e77ef2f92d2f0931b043895b89301dc1abee4d1463e478</t>
  </si>
  <si>
    <t>CON_1x02-0.100-screw</t>
  </si>
  <si>
    <t>1x02-0.100-screw</t>
  </si>
  <si>
    <t>1x02-0.100-screw CON</t>
  </si>
  <si>
    <r>
      <rPr>
        <u val="single"/>
        <sz val="10"/>
        <color indexed="8"/>
        <rFont val="American Typewriter"/>
      </rPr>
      <t>C3029316</t>
    </r>
  </si>
  <si>
    <t>1x02 0.100 / 2.54mm Terminal Block</t>
  </si>
  <si>
    <t>C3029316</t>
  </si>
  <si>
    <t>CON_1x02-2.54-socket</t>
  </si>
  <si>
    <t>1x02-2.54-socket Female Header 3A</t>
  </si>
  <si>
    <t>1x02-2.54-socket CON Female Header 3A</t>
  </si>
  <si>
    <r>
      <rPr>
        <u val="single"/>
        <sz val="10"/>
        <color indexed="8"/>
        <rFont val="American Typewriter"/>
      </rPr>
      <t>C429966</t>
    </r>
  </si>
  <si>
    <t>1x02-2.54-socket</t>
  </si>
  <si>
    <t>Female Header</t>
  </si>
  <si>
    <t>1x02 0.100 / 2.54mm 8.5mm Square Hole Top Female Header Brass Gold</t>
  </si>
  <si>
    <t>8.5mm</t>
  </si>
  <si>
    <t>C429966</t>
  </si>
  <si>
    <t>JILN</t>
  </si>
  <si>
    <t>22850102ANG1SYA02</t>
  </si>
  <si>
    <r>
      <rPr>
        <u val="single"/>
        <sz val="10"/>
        <color indexed="8"/>
        <rFont val="American Typewriter"/>
      </rPr>
      <t>C49661</t>
    </r>
  </si>
  <si>
    <t>1x02 0.100 / 2.54mm Brass Square Hole Through Hole Top Female Headers</t>
  </si>
  <si>
    <t>2.54 mm</t>
  </si>
  <si>
    <t>C49661</t>
  </si>
  <si>
    <t>BOOMELE(Boom Precision Elec)</t>
  </si>
  <si>
    <t>2.54-1*2P</t>
  </si>
  <si>
    <t>CON_1x02-0.200-block</t>
  </si>
  <si>
    <t>1x02-0.200-block Push-Pull 300V 15A</t>
  </si>
  <si>
    <t>1x02-0.200-block CON Push-Pull 300V 15A</t>
  </si>
  <si>
    <r>
      <rPr>
        <u val="single"/>
        <sz val="10"/>
        <color indexed="8"/>
        <rFont val="American Typewriter"/>
      </rPr>
      <t>C42378069</t>
    </r>
  </si>
  <si>
    <t>1x02-0.200-block</t>
  </si>
  <si>
    <t>MSTB</t>
  </si>
  <si>
    <t>Push-Pull</t>
  </si>
  <si>
    <t>1x02 0.200 / 5.08mm Board Side/Socket - Closed Green Right-Angle Push-Pull, Pluggable System Terminal Block</t>
  </si>
  <si>
    <t>5.08mm</t>
  </si>
  <si>
    <t>300V</t>
  </si>
  <si>
    <t>15A</t>
  </si>
  <si>
    <t>Connector_Phoenix_MSTB:PhoenixContact_MSTBA_2,5_2-G-5,08_1x02_P5.08mm_Horizontal</t>
  </si>
  <si>
    <t>C42378069</t>
  </si>
  <si>
    <t>Megastar</t>
  </si>
  <si>
    <t>ZX-DGRC-5.08-2P</t>
  </si>
  <si>
    <t>CON_1x03-0.100</t>
  </si>
  <si>
    <t>1x03-0.100 Male Header</t>
  </si>
  <si>
    <t>1x03-0.100 CON Male Header</t>
  </si>
  <si>
    <r>
      <rPr>
        <u val="single"/>
        <sz val="10"/>
        <color indexed="8"/>
        <rFont val="American Typewriter"/>
      </rPr>
      <t>C2937625</t>
    </r>
  </si>
  <si>
    <t>1x03-0.100</t>
  </si>
  <si>
    <t>1x03 0.100 / 2.54mm Header</t>
  </si>
  <si>
    <t>1x03</t>
  </si>
  <si>
    <t>SPCoast:Conn_01x03</t>
  </si>
  <si>
    <t>SPCoast:Connector_01x03_V</t>
  </si>
  <si>
    <t>C2937625</t>
  </si>
  <si>
    <t>PZ254V-11-03P</t>
  </si>
  <si>
    <r>
      <rPr>
        <u val="single"/>
        <sz val="10"/>
        <color indexed="8"/>
        <rFont val="American Typewriter"/>
      </rPr>
      <t>https://jlcpcb.com/api/file/downloadByFileSystemAccessId/8588954567287443456</t>
    </r>
  </si>
  <si>
    <t>CON_1x04-0.100</t>
  </si>
  <si>
    <t>1x04-0.100 Male Header</t>
  </si>
  <si>
    <t>1x04-0.100 CON Male Header</t>
  </si>
  <si>
    <r>
      <rPr>
        <u val="single"/>
        <sz val="10"/>
        <color indexed="8"/>
        <rFont val="American Typewriter"/>
      </rPr>
      <t>C2691448</t>
    </r>
  </si>
  <si>
    <t>1x04-0.100</t>
  </si>
  <si>
    <t>1x04 0.100 / 2.54mm Header</t>
  </si>
  <si>
    <t>1x04</t>
  </si>
  <si>
    <t>SPCoast:Conn_01x04</t>
  </si>
  <si>
    <t>SPCoast:Connector_01x04_V</t>
  </si>
  <si>
    <t>C2691448</t>
  </si>
  <si>
    <t>PZ254V-11-04P</t>
  </si>
  <si>
    <t>CON_1x04-0.100-RA</t>
  </si>
  <si>
    <t>1x04-0.100-RA Male Header</t>
  </si>
  <si>
    <t>1x04-0.100-RA CON Male Header</t>
  </si>
  <si>
    <r>
      <rPr>
        <u val="single"/>
        <sz val="10"/>
        <color indexed="8"/>
        <rFont val="American Typewriter"/>
      </rPr>
      <t>C18214184</t>
    </r>
  </si>
  <si>
    <t>1x04-0.100-RA</t>
  </si>
  <si>
    <t>1x04 0.100 / 2.54mm  Right Angle</t>
  </si>
  <si>
    <t>C18214184</t>
  </si>
  <si>
    <t>CST</t>
  </si>
  <si>
    <t>1110-1x4(L11.5)PA6T</t>
  </si>
  <si>
    <t>CON_1x04-0.100-screw</t>
  </si>
  <si>
    <t>1x04-0.100-screw Screw Header</t>
  </si>
  <si>
    <t>1x04-0.100-screw CON Screw Header</t>
  </si>
  <si>
    <r>
      <rPr>
        <u val="single"/>
        <sz val="10"/>
        <color indexed="8"/>
        <rFont val="American Typewriter"/>
      </rPr>
      <t>C3816889</t>
    </r>
  </si>
  <si>
    <t>1x04-0.100-screw</t>
  </si>
  <si>
    <t>Screw Header</t>
  </si>
  <si>
    <t>1x04 0.100 / 2.54mm Terminal Block</t>
  </si>
  <si>
    <t>C3816889</t>
  </si>
  <si>
    <t>CON_1x04-0.100-SSD1306</t>
  </si>
  <si>
    <t>1x04-0.100-SSD1306 Female Header 3A</t>
  </si>
  <si>
    <t>1x04-0.100-SSD1306 CON Female Header 3A</t>
  </si>
  <si>
    <r>
      <rPr>
        <u val="single"/>
        <sz val="10"/>
        <color indexed="8"/>
        <rFont val="American Typewriter"/>
      </rPr>
      <t>C2718488</t>
    </r>
  </si>
  <si>
    <t>1x04-0.100-SSD1306</t>
  </si>
  <si>
    <t>1x04 0.100 / 2.54mm Female I2C SSD1306 OLED Connector</t>
  </si>
  <si>
    <t>SPCoast:Conn_I2C-OLED</t>
  </si>
  <si>
    <t>SPCoast:Connector_I2C-OLED</t>
  </si>
  <si>
    <t>C2718488</t>
  </si>
  <si>
    <t>BOOMLE</t>
  </si>
  <si>
    <t>2.54-1*4PFemale</t>
  </si>
  <si>
    <t>CON_1x04-0.200-block</t>
  </si>
  <si>
    <t>1x04-0.200-block Push-Pull 300V 15A</t>
  </si>
  <si>
    <t>1x04-0.200-block CON Push-Pull 300V 15A</t>
  </si>
  <si>
    <r>
      <rPr>
        <u val="single"/>
        <sz val="10"/>
        <color indexed="8"/>
        <rFont val="American Typewriter"/>
      </rPr>
      <t>C42378071</t>
    </r>
  </si>
  <si>
    <t>1x04-0.200-block</t>
  </si>
  <si>
    <t>1x04 0.200 / 5.08mm Board Side/Socket - Closed Green Right-Angle Push-Pull, Pluggable System Terminal Block</t>
  </si>
  <si>
    <t>Connector_Phoenix_MSTB:PhoenixContact_MSTBA_2,5_4-G-5,08_1x04_P5.08mm_Horizontal</t>
  </si>
  <si>
    <t>C42378071</t>
  </si>
  <si>
    <t>ZX-DGRC-5.08-4P</t>
  </si>
  <si>
    <t>CON_1x04-2.54-socket</t>
  </si>
  <si>
    <t>1x04-2.54-socket Female Header 3A</t>
  </si>
  <si>
    <t>1x04-2.54-socket CON Female Header 3A</t>
  </si>
  <si>
    <t>1x04-2.54-socket</t>
  </si>
  <si>
    <t>1x04 0.100 / 2.54mm Bronze Square Hole Through Hole Top Female Headers</t>
  </si>
  <si>
    <t>2.54-1*4P</t>
  </si>
  <si>
    <t>CON_1x05-2.54-socket</t>
  </si>
  <si>
    <t>1x05-2.54-socket Female Header 3A</t>
  </si>
  <si>
    <t>1x05-2.54-socket CON Female Header 3A</t>
  </si>
  <si>
    <r>
      <rPr>
        <u val="single"/>
        <sz val="10"/>
        <color indexed="8"/>
        <rFont val="American Typewriter"/>
      </rPr>
      <t>C50950</t>
    </r>
  </si>
  <si>
    <t>1x05-2.54-socket</t>
  </si>
  <si>
    <t>1x05 0.100 / 2.54mm 8.5mm Brass Gold Square Hole Through Hole Top Female Headers</t>
  </si>
  <si>
    <t>1x05</t>
  </si>
  <si>
    <t>C50950</t>
  </si>
  <si>
    <t>2.54-1*5P</t>
  </si>
  <si>
    <t>CON_1x05-3.5-screw</t>
  </si>
  <si>
    <t>1x05-3.5-screw Screw Header</t>
  </si>
  <si>
    <t>1x05-3.5-screw CON Screw Header</t>
  </si>
  <si>
    <r>
      <rPr>
        <u val="single"/>
        <sz val="10"/>
        <color indexed="8"/>
        <rFont val="American Typewriter"/>
      </rPr>
      <t>C3646874</t>
    </r>
  </si>
  <si>
    <t>1x05-3.5-screw</t>
  </si>
  <si>
    <t>1x05 3.5mm Terminal Block</t>
  </si>
  <si>
    <t>3.5mm</t>
  </si>
  <si>
    <t>C3646874</t>
  </si>
  <si>
    <t>CON_1x06-0.100</t>
  </si>
  <si>
    <t>1x06-0.100 Male Header</t>
  </si>
  <si>
    <t>1x06-0.100 CON Male Header</t>
  </si>
  <si>
    <r>
      <rPr>
        <u val="single"/>
        <sz val="10"/>
        <color indexed="8"/>
        <rFont val="American Typewriter"/>
      </rPr>
      <t>C37208</t>
    </r>
  </si>
  <si>
    <t>1x06-0.100</t>
  </si>
  <si>
    <t>1x06 0.100 / 2.54mm Male Header</t>
  </si>
  <si>
    <t>1x06</t>
  </si>
  <si>
    <t>SPCoast:Conn_01x06</t>
  </si>
  <si>
    <t>SPCoast:Connector_01x06_V</t>
  </si>
  <si>
    <t>C37208</t>
  </si>
  <si>
    <t>2.54-1x6PStraight pin</t>
  </si>
  <si>
    <t>CON_1x06-2.54-socket</t>
  </si>
  <si>
    <t>1x06-2.54-socket Female Header</t>
  </si>
  <si>
    <t>1x06-2.54-socket CON Female Header</t>
  </si>
  <si>
    <r>
      <rPr>
        <u val="single"/>
        <sz val="10"/>
        <color indexed="8"/>
        <rFont val="American Typewriter"/>
      </rPr>
      <t>C2905416</t>
    </r>
  </si>
  <si>
    <t>1x06-2.54-socket</t>
  </si>
  <si>
    <t>1x06 0.100 / 2.54mm 8.5mm Square Hole Top Female Header</t>
  </si>
  <si>
    <t>C2905416</t>
  </si>
  <si>
    <t>Shenzhen Kinghelm Elec</t>
  </si>
  <si>
    <t>KH-2.54FH-1X6P-H8.5</t>
  </si>
  <si>
    <t>1x06-2.54-socket Female Header 3A</t>
  </si>
  <si>
    <t>1x06-2.54-socket CON Female Header 3A</t>
  </si>
  <si>
    <r>
      <rPr>
        <u val="single"/>
        <sz val="10"/>
        <color indexed="8"/>
        <rFont val="American Typewriter"/>
      </rPr>
      <t>C40877</t>
    </r>
  </si>
  <si>
    <t>1x6-2.54-M5</t>
  </si>
  <si>
    <t>1x06 0.100 / 2.54mm Brass Square Hole Through Hole Top Female Headers</t>
  </si>
  <si>
    <t>C40877</t>
  </si>
  <si>
    <t>2.54-1*6P</t>
  </si>
  <si>
    <t>CON_1x07-2.54-socket</t>
  </si>
  <si>
    <t>1x07-2.54-socket Female Header</t>
  </si>
  <si>
    <t>1x07-2.54-socket CON Female Header</t>
  </si>
  <si>
    <r>
      <rPr>
        <u val="single"/>
        <sz val="10"/>
        <color indexed="8"/>
        <rFont val="American Typewriter"/>
      </rPr>
      <t>C22438157</t>
    </r>
  </si>
  <si>
    <t>1x07-2.54-socket</t>
  </si>
  <si>
    <t>1x07 0.100 / 2.54mm 8.5mm Through Hole Top Female Headers</t>
  </si>
  <si>
    <t>1x07</t>
  </si>
  <si>
    <t>C22438157</t>
  </si>
  <si>
    <t>Hanxia</t>
  </si>
  <si>
    <t>HX PM2.54-1x7P ZC-Y</t>
  </si>
  <si>
    <r>
      <rPr>
        <u val="single"/>
        <sz val="10"/>
        <color indexed="8"/>
        <rFont val="American Typewriter"/>
      </rPr>
      <t>https://www.lcsc.com/datasheet/C22438157.pdf</t>
    </r>
  </si>
  <si>
    <t>CON_1x08-2.54-socket</t>
  </si>
  <si>
    <t>1x08-2.54-socket Female Header 3A</t>
  </si>
  <si>
    <t>1x08-2.54-socket CON Female Header 3A</t>
  </si>
  <si>
    <r>
      <rPr>
        <u val="single"/>
        <sz val="10"/>
        <color indexed="8"/>
        <rFont val="American Typewriter"/>
      </rPr>
      <t>C27438</t>
    </r>
  </si>
  <si>
    <t>1x08-2.54-socket</t>
  </si>
  <si>
    <t>1x08 0.100 / 2.54mm 8.5mm 8P Brass Gold Square Hole Through Hole Top Female Headers</t>
  </si>
  <si>
    <t>1x08</t>
  </si>
  <si>
    <t>C27438</t>
  </si>
  <si>
    <t>2.54-1*8P</t>
  </si>
  <si>
    <t>CON_1x10-2.54-socket</t>
  </si>
  <si>
    <t>1x10-2.54-socket Female Header 3A</t>
  </si>
  <si>
    <t>1x10-2.54-socket CON Female Header 3A</t>
  </si>
  <si>
    <r>
      <rPr>
        <u val="single"/>
        <sz val="10"/>
        <color indexed="8"/>
        <rFont val="American Typewriter"/>
      </rPr>
      <t>C35445</t>
    </r>
  </si>
  <si>
    <t>1x10-2.54-socket</t>
  </si>
  <si>
    <t>1x10 0.100 / 2.54mm 8.5mm Brass Gold Square Hole Through Hole Top Female Headers</t>
  </si>
  <si>
    <t>1x10</t>
  </si>
  <si>
    <t>C35445</t>
  </si>
  <si>
    <t>2.54-1*10P</t>
  </si>
  <si>
    <t>CON_1x12-2.54-socket</t>
  </si>
  <si>
    <t>1x12-2.54-socket Female Header 3A</t>
  </si>
  <si>
    <t>1x12-2.54-socket CON Female Header 3A</t>
  </si>
  <si>
    <r>
      <rPr>
        <u val="single"/>
        <sz val="10"/>
        <color indexed="8"/>
        <rFont val="American Typewriter"/>
      </rPr>
      <t>C2905419</t>
    </r>
  </si>
  <si>
    <t>1x12-2.54-socket</t>
  </si>
  <si>
    <t>1x12 0.100 / 2.54mm 8.5mm Square Hole Top Female Header</t>
  </si>
  <si>
    <t>1x12</t>
  </si>
  <si>
    <t>C2905419</t>
  </si>
  <si>
    <t>KH-2.54FH-1X12P-H8.5</t>
  </si>
  <si>
    <t>CON_1x13-2.54-socket</t>
  </si>
  <si>
    <t>1x13-2.54-socket Female Header 3A</t>
  </si>
  <si>
    <t>1x13-2.54-socket CON Female Header 3A</t>
  </si>
  <si>
    <r>
      <rPr>
        <u val="single"/>
        <sz val="10"/>
        <color indexed="8"/>
        <rFont val="American Typewriter"/>
      </rPr>
      <t>C2685211</t>
    </r>
  </si>
  <si>
    <t>1x13-2.54-socket</t>
  </si>
  <si>
    <t>1x13 0.100 / 2.54mm 8.5mm Square Hole Top Female Header</t>
  </si>
  <si>
    <t>1x13</t>
  </si>
  <si>
    <t>C2685211</t>
  </si>
  <si>
    <t>Liansheng</t>
  </si>
  <si>
    <t>FH-00780</t>
  </si>
  <si>
    <t>CON_1x14-2.54-socket</t>
  </si>
  <si>
    <t>1x14-2.54-socket Female Header 3A</t>
  </si>
  <si>
    <t>1x14-2.54-socket CON Female Header 3A</t>
  </si>
  <si>
    <r>
      <rPr>
        <u val="single"/>
        <sz val="10"/>
        <color indexed="8"/>
        <rFont val="American Typewriter"/>
      </rPr>
      <t>C52711</t>
    </r>
  </si>
  <si>
    <t>1x14-2.54-socket</t>
  </si>
  <si>
    <t>1x14 0.100 / 2.54mm Brass Square Hole Through Hole Top Female Headers</t>
  </si>
  <si>
    <t>1x14</t>
  </si>
  <si>
    <t>C52711</t>
  </si>
  <si>
    <t>2.54-1*14P</t>
  </si>
  <si>
    <t>CON_1x15-2.54-socket</t>
  </si>
  <si>
    <t>1x15-2.54-socket Female Header 3A</t>
  </si>
  <si>
    <t>1x15-2.54-socket CON Female Header 3A</t>
  </si>
  <si>
    <r>
      <rPr>
        <u val="single"/>
        <sz val="10"/>
        <color indexed="8"/>
        <rFont val="American Typewriter"/>
      </rPr>
      <t>C7499333</t>
    </r>
  </si>
  <si>
    <t>1x15-2.54-socket</t>
  </si>
  <si>
    <t>1x15 0.100 / 2.54mm 8.5mm Square Hole Top Female Header</t>
  </si>
  <si>
    <t>1x15</t>
  </si>
  <si>
    <t>C7499333</t>
  </si>
  <si>
    <t>ZX-PM2.54-1-15PY</t>
  </si>
  <si>
    <t>CON_1x16-2.54-socket</t>
  </si>
  <si>
    <t>1x16-2.54-socket Female Header 3A</t>
  </si>
  <si>
    <t>1x16-2.54-socket CON Female Header 3A</t>
  </si>
  <si>
    <r>
      <rPr>
        <u val="single"/>
        <sz val="10"/>
        <color indexed="8"/>
        <rFont val="American Typewriter"/>
      </rPr>
      <t>C66987</t>
    </r>
  </si>
  <si>
    <t>1x16-2.54-socket</t>
  </si>
  <si>
    <t>1x16 0.100 / 2.54mm 8.5mm Brass Gold Square Hole Through Hole Top Female Headers</t>
  </si>
  <si>
    <t>1x16</t>
  </si>
  <si>
    <t>C66987</t>
  </si>
  <si>
    <t>2.54-1*16P</t>
  </si>
  <si>
    <t>CON_1x6-0.100-FTDI</t>
  </si>
  <si>
    <t>1x6-0.100-FTDI Male Header</t>
  </si>
  <si>
    <t>1x6-0.100-FTDI CON Male Header</t>
  </si>
  <si>
    <t>1x6-0.100-FTDI</t>
  </si>
  <si>
    <t>1x06 0.100 / 2.54mm FTDI Programming Connector</t>
  </si>
  <si>
    <t>SPCoast:Conn_Programmer-FTDI</t>
  </si>
  <si>
    <t>SPCoast:Connector_FTDI-DEVICE-SIDE</t>
  </si>
  <si>
    <t>CON_DCJ0202</t>
  </si>
  <si>
    <t>DCJ0202 Power Connector</t>
  </si>
  <si>
    <t>DCJ0202 CON Power Connector</t>
  </si>
  <si>
    <t>DCJ0202</t>
  </si>
  <si>
    <t>Power Connector</t>
  </si>
  <si>
    <t>DC Jack 0202</t>
  </si>
  <si>
    <t>3x</t>
  </si>
  <si>
    <t>SPCoast:Conn_DC_POWER</t>
  </si>
  <si>
    <t>SPCoast:DCJ0202</t>
  </si>
  <si>
    <t>CON_DIP-14</t>
  </si>
  <si>
    <t>DIP-14 Socket</t>
  </si>
  <si>
    <t>DIP-14 CON Socket</t>
  </si>
  <si>
    <r>
      <rPr>
        <u val="single"/>
        <sz val="10"/>
        <color indexed="8"/>
        <rFont val="American Typewriter"/>
      </rPr>
      <t>C2325</t>
    </r>
  </si>
  <si>
    <t>DIP-14</t>
  </si>
  <si>
    <t>Socket</t>
  </si>
  <si>
    <t>14P DIP Tin Square Hole 0.300 / 7.62mm 0.100 / 2.54mm DIP-14 IC Socket</t>
  </si>
  <si>
    <t>0.3"</t>
  </si>
  <si>
    <t>2x7</t>
  </si>
  <si>
    <t>Package_DIP:DIP-14_W7.62mm_Socket</t>
  </si>
  <si>
    <t>C2325</t>
  </si>
  <si>
    <t>IC-14P</t>
  </si>
  <si>
    <t>CON_RJ12</t>
  </si>
  <si>
    <t>RJ12 RJ12</t>
  </si>
  <si>
    <t>RJ12 CON RJ12</t>
  </si>
  <si>
    <r>
      <rPr>
        <u val="single"/>
        <sz val="10"/>
        <color indexed="8"/>
        <rFont val="American Typewriter"/>
      </rPr>
      <t>C3097718</t>
    </r>
  </si>
  <si>
    <t>RJ12</t>
  </si>
  <si>
    <t>RJ11 RJ11-6P6C RJ12-6P6C RJ25 RJ25-6P6C</t>
  </si>
  <si>
    <t>Jack Modular Connector RJ12 Through Hole 0.250 / 6.35mm</t>
  </si>
  <si>
    <t>6.35mm</t>
  </si>
  <si>
    <t>6/6</t>
  </si>
  <si>
    <t>Connector:6P6C</t>
  </si>
  <si>
    <t>RJ12_Amphenol_54601-x06_Horizontal</t>
  </si>
  <si>
    <t>C3097718</t>
  </si>
  <si>
    <t>EVERCOM</t>
  </si>
  <si>
    <t>5303-6P6C</t>
  </si>
  <si>
    <r>
      <rPr>
        <u val="single"/>
        <sz val="10"/>
        <color indexed="8"/>
        <rFont val="American Typewriter"/>
      </rPr>
      <t>https://cdn.amphenol-cs.com/media/wysiwyg/files/drawing/c-bmj-0082.pdf</t>
    </r>
  </si>
  <si>
    <t>Jack Modular Connector RJ12 Through Hole 0.350 / 8.89mm</t>
  </si>
  <si>
    <t>8.89mm</t>
  </si>
  <si>
    <t>RJ25_Wayconn_MJEA-660X1_Horizontal</t>
  </si>
  <si>
    <t>MJEA-66</t>
  </si>
  <si>
    <r>
      <rPr>
        <u val="single"/>
        <sz val="10"/>
        <color indexed="8"/>
        <rFont val="American Typewriter"/>
      </rPr>
      <t>https://www.wayconn.com/wp-content/uploads/datasheet/MJIC-660XXX-RJ11-RJ12-RJ25-PCB-Jack-without-Panel.pdf</t>
    </r>
  </si>
  <si>
    <t>CON_RJ45</t>
  </si>
  <si>
    <t>RJ45 RJ45</t>
  </si>
  <si>
    <t>RJ45 CON RJ45</t>
  </si>
  <si>
    <r>
      <rPr>
        <u val="single"/>
        <sz val="10"/>
        <color indexed="8"/>
        <rFont val="American Typewriter"/>
      </rPr>
      <t>C7205130</t>
    </r>
  </si>
  <si>
    <t>RJ45</t>
  </si>
  <si>
    <t>RJ45-8P8C</t>
  </si>
  <si>
    <t>Jack Modular Connector RJ45 Through Hole</t>
  </si>
  <si>
    <t>8/8</t>
  </si>
  <si>
    <t>Connector:8P8C</t>
  </si>
  <si>
    <t>Connector_RJ:RJ45_OST_PJ012-8P8CX_Vertical</t>
  </si>
  <si>
    <t>C7205130</t>
  </si>
  <si>
    <t>FG</t>
  </si>
  <si>
    <t>RJ-052-1-6</t>
  </si>
  <si>
    <r>
      <rPr>
        <u val="single"/>
        <sz val="10"/>
        <color indexed="8"/>
        <rFont val="American Typewriter"/>
      </rPr>
      <t>https://www.lcsc.com/datasheet/C7205130.pdf?spm=wm.sxq.inf.ggs___wm.ssy.bg.20.cbh&amp;lcsc_vid=QVZeA1dfQFALX1AFTlJbVAcFR1ldAgAEQVILVlZfRwcxVlNRQ1hXUFBQQVNdUzsOAxUeFF5JWBYZEEoKFBINSQcJGk4eFQsCAgIaSgADAwAHC0slRVJcUkoOAwwC</t>
    </r>
  </si>
  <si>
    <t>CON_TC2030-FP</t>
  </si>
  <si>
    <t>TC2030-FP SilkScreen &amp; Pads</t>
  </si>
  <si>
    <t>TC2030-FP CON SilkScreen &amp; Pads</t>
  </si>
  <si>
    <t>TC2030-FP</t>
  </si>
  <si>
    <t>Other</t>
  </si>
  <si>
    <t>SilkScreen &amp; Pads</t>
  </si>
  <si>
    <t>Tag Connect “With Legs” 6-pin Plug-of-Nails™ programming cable with a 6-pin 0.1″ pitch ribbon connector.</t>
  </si>
  <si>
    <t>Legs</t>
  </si>
  <si>
    <t>2x3</t>
  </si>
  <si>
    <t>SPCoast:TC2030-IDC</t>
  </si>
  <si>
    <t>SPCoast:Tag-Connect_TC2030-IDC-FP_2x03_P1.27mm_Vertical</t>
  </si>
  <si>
    <t>Tag Connect</t>
  </si>
  <si>
    <t>CON_TC2030-NL</t>
  </si>
  <si>
    <t>TC2030-NL SilkScreen &amp; Pads</t>
  </si>
  <si>
    <t>TC2030-NL CON SilkScreen &amp; Pads</t>
  </si>
  <si>
    <t>TC2030-NL</t>
  </si>
  <si>
    <t>Tag Connect “No Legs” 6-pin Plug-of-Nails™ programming cable with a 6-pin 0.1″ pitch ribbon connector.</t>
  </si>
  <si>
    <t>NL</t>
  </si>
  <si>
    <t>SPCoast:Tag-Connect_TC2030-IDC-NL_2x03_P1.27mm_Vertical</t>
  </si>
  <si>
    <t>CON_TC2050-FP</t>
  </si>
  <si>
    <t>TC2050-FP SilkScreen &amp; Pads</t>
  </si>
  <si>
    <t>TC2050-FP CON SilkScreen &amp; Pads</t>
  </si>
  <si>
    <t>TC2050-FP</t>
  </si>
  <si>
    <t>Tag Connect “With Legs” 10-pin Plug-of-Nails™ programming cable with a10-pin 0.1″ pitch ribbon connector.</t>
  </si>
  <si>
    <t>2x5</t>
  </si>
  <si>
    <t>SPCoast:TC2050-IDC</t>
  </si>
  <si>
    <t>SPCoast:Tag-Connect_TC2050-IDC-FP_2x05_P1.27mm_Vertical</t>
  </si>
  <si>
    <t>CON_TC2050-NL</t>
  </si>
  <si>
    <t>TC2050-NL SilkScreen &amp; Pads</t>
  </si>
  <si>
    <t>TC2050-NL CON SilkScreen &amp; Pads</t>
  </si>
  <si>
    <t>TC2050-NL</t>
  </si>
  <si>
    <t>Tag Connect “No Legs”10-pin Plug-of-Nails™ programming cable with a 10-pin 0.1″ pitch ribbon connector.</t>
  </si>
  <si>
    <t>SPCoast:Tag-Connect_TC2050-IDC-NL_2x05_P1.27mm_Vertical</t>
  </si>
  <si>
    <t>CON_TC2070-FP</t>
  </si>
  <si>
    <t>TC2070-FP SilkScreen &amp; Pads</t>
  </si>
  <si>
    <t>TC2070-FP CON SilkScreen &amp; Pads</t>
  </si>
  <si>
    <t>TC2070-FP</t>
  </si>
  <si>
    <t>Tag Connect “With Legs” 14-pin Plug-of-Nails™ programming cable with a 14-pin 0.1″ pitch ribbon connector.</t>
  </si>
  <si>
    <t>SPCoast:TC2070-IDC</t>
  </si>
  <si>
    <t>SPCoast:Tag-Connect_TC2070-IDC-FP_2x07_P1.27mm_Vertical</t>
  </si>
  <si>
    <t>DIO</t>
  </si>
  <si>
    <t>DIO_4.7V_SOD-323</t>
  </si>
  <si>
    <t>4.7V zener 4.7V 5mA 200mW</t>
  </si>
  <si>
    <t>4.7V DIO zener 4.7V 5mA 200mW</t>
  </si>
  <si>
    <r>
      <rPr>
        <u val="single"/>
        <sz val="10"/>
        <color indexed="8"/>
        <rFont val="American Typewriter"/>
      </rPr>
      <t>C353517</t>
    </r>
  </si>
  <si>
    <t>4.7V</t>
  </si>
  <si>
    <t>zener</t>
  </si>
  <si>
    <t>4.7V SOD-323 Zener Diode -W7</t>
  </si>
  <si>
    <t>SOD-323</t>
  </si>
  <si>
    <t>5mA</t>
  </si>
  <si>
    <t>200mW</t>
  </si>
  <si>
    <t>SPCoast:D_Zener_Filled</t>
  </si>
  <si>
    <t>SPCoast:SOD-323</t>
  </si>
  <si>
    <t>C353517</t>
  </si>
  <si>
    <t>Shandong Jingdao</t>
  </si>
  <si>
    <t>BZT52C4V7S</t>
  </si>
  <si>
    <r>
      <rPr>
        <u val="single"/>
        <sz val="10"/>
        <color indexed="8"/>
        <rFont val="American Typewriter"/>
      </rPr>
      <t>https://www.lcsc.com/datasheet/lcsc_datasheet_2304140030_Shandong-Jingdao-Microelectronics-BZT52C4V7S_C353517.pdf</t>
    </r>
  </si>
  <si>
    <t>DIO_BAT54_SOT-23</t>
  </si>
  <si>
    <t>BAT54 single Schottkey 30V</t>
  </si>
  <si>
    <t>BAT54 DIO single Schottkey 30V</t>
  </si>
  <si>
    <r>
      <rPr>
        <u val="single"/>
        <sz val="10"/>
        <color indexed="8"/>
        <rFont val="American Typewriter"/>
      </rPr>
      <t>C5261070</t>
    </r>
  </si>
  <si>
    <t>BAT54</t>
  </si>
  <si>
    <t>single Schottkey</t>
  </si>
  <si>
    <t>BAT54  Single Schottky 30V 200mA</t>
  </si>
  <si>
    <t>SOT-23</t>
  </si>
  <si>
    <t>30V</t>
  </si>
  <si>
    <t>Diode:BAT54</t>
  </si>
  <si>
    <t>SPCoast:SOT-23</t>
  </si>
  <si>
    <t>C5261070</t>
  </si>
  <si>
    <t>HXY</t>
  </si>
  <si>
    <r>
      <rPr>
        <u val="single"/>
        <sz val="10"/>
        <color indexed="8"/>
        <rFont val="American Typewriter"/>
      </rPr>
      <t>https://wmsc.lcsc.com/wmsc/upload/file/pdf/v2/lcsc/2406051353_HXY-MOSFET-BAT54_C5261070.pdf</t>
    </r>
  </si>
  <si>
    <t>DIO_BAT54A_SOT-23</t>
  </si>
  <si>
    <t>BAT54A dual Schottkey common anode 30V</t>
  </si>
  <si>
    <t>BAT54A DIO dual Schottkey common anode 30V</t>
  </si>
  <si>
    <r>
      <rPr>
        <u val="single"/>
        <sz val="10"/>
        <color indexed="8"/>
        <rFont val="American Typewriter"/>
      </rPr>
      <t>C2926172</t>
    </r>
  </si>
  <si>
    <t>BAT54A</t>
  </si>
  <si>
    <t>dual Schottkey common anode</t>
  </si>
  <si>
    <t>BAT54A Dual Schottky 30V 200mA Common Anode</t>
  </si>
  <si>
    <t>Diode:BAT54A</t>
  </si>
  <si>
    <t>C2926172</t>
  </si>
  <si>
    <t>FOSAN</t>
  </si>
  <si>
    <r>
      <rPr>
        <u val="single"/>
        <sz val="10"/>
        <color indexed="8"/>
        <rFont val="American Typewriter"/>
      </rPr>
      <t>https://wmsc.lcsc.com/wmsc/upload/file/pdf/v2/lcsc/2112031830_FOSAN-BAT54A_C2926172.pdf</t>
    </r>
  </si>
  <si>
    <t>DIO_BAT54C_SOT-23</t>
  </si>
  <si>
    <t>BAT54C dual Schottkey common cathode 30V</t>
  </si>
  <si>
    <t>BAT54C DIO dual Schottkey common cathode 30V</t>
  </si>
  <si>
    <r>
      <rPr>
        <u val="single"/>
        <sz val="10"/>
        <color indexed="8"/>
        <rFont val="American Typewriter"/>
      </rPr>
      <t>C408388</t>
    </r>
  </si>
  <si>
    <t>BAT54C</t>
  </si>
  <si>
    <t>dual Schottkey common cathode</t>
  </si>
  <si>
    <t>30V 1 pair of common cathodes 1V@100mA 200mA SOT-23 Schottky Diodes</t>
  </si>
  <si>
    <t>Diode:BAT54C</t>
  </si>
  <si>
    <t>C408388</t>
  </si>
  <si>
    <t>Microdiode</t>
  </si>
  <si>
    <r>
      <rPr>
        <u val="single"/>
        <sz val="10"/>
        <color indexed="8"/>
        <rFont val="American Typewriter"/>
      </rPr>
      <t>https://www.lcsc.com/datasheet/lcsc_datasheet_2407101108_MDD-Microdiode-Semiconductor-BAT54C_C408388.pdf</t>
    </r>
  </si>
  <si>
    <t>DIO_BAT54S_SOT-23</t>
  </si>
  <si>
    <t>BAT54S dual Schottkey series 30V</t>
  </si>
  <si>
    <t>BAT54S DIO dual Schottkey series 30V</t>
  </si>
  <si>
    <r>
      <rPr>
        <u val="single"/>
        <sz val="10"/>
        <color indexed="8"/>
        <rFont val="American Typewriter"/>
      </rPr>
      <t>C2926174</t>
    </r>
  </si>
  <si>
    <t>BAT54S</t>
  </si>
  <si>
    <t>dual Schottkey series</t>
  </si>
  <si>
    <t>BAT54S Dual Schottky 30V 200mA Series</t>
  </si>
  <si>
    <t>Diode:BAT54S</t>
  </si>
  <si>
    <t>C2926174</t>
  </si>
  <si>
    <r>
      <rPr>
        <u val="single"/>
        <sz val="10"/>
        <color indexed="8"/>
        <rFont val="American Typewriter"/>
      </rPr>
      <t>https://wmsc.lcsc.com/wmsc/upload/file/pdf/v2/lcsc/2112031830_FOSAN-BAT54S_C2926174.pdf</t>
    </r>
  </si>
  <si>
    <t>DIO_BAV99_SOT-23</t>
  </si>
  <si>
    <t>BAV99 dual switching diode 100V</t>
  </si>
  <si>
    <t>BAV99 DIO dual switching diode 100V</t>
  </si>
  <si>
    <r>
      <rPr>
        <u val="single"/>
        <sz val="10"/>
        <color indexed="8"/>
        <rFont val="American Typewriter"/>
      </rPr>
      <t>C2500</t>
    </r>
  </si>
  <si>
    <t>BAV99</t>
  </si>
  <si>
    <t>dual switching diode</t>
  </si>
  <si>
    <t xml:space="preserve">1 Pair Series Connection 1.25V@150mA 100V 215mA 250mW 4A 4ns 500nA@80V SOT-23 Switching Diodes </t>
  </si>
  <si>
    <t>100V</t>
  </si>
  <si>
    <t>Diode:BAV99</t>
  </si>
  <si>
    <t>C2500</t>
  </si>
  <si>
    <t>Nexperia</t>
  </si>
  <si>
    <t>BAV99,215</t>
  </si>
  <si>
    <t>https://www.lcsc.com/datasheet/lcsc_datasheet_2407250951_Nexperia-BAV99-215_C2500.pdf</t>
  </si>
  <si>
    <t>IC</t>
  </si>
  <si>
    <t>IC_SMD-6P_4N28SM</t>
  </si>
  <si>
    <t>4N28SM Phototransistor 0 0.010A</t>
  </si>
  <si>
    <t>4N28SM IC Phototransistor 0 0.010A</t>
  </si>
  <si>
    <r>
      <rPr>
        <u val="single"/>
        <sz val="10"/>
        <color indexed="8"/>
        <rFont val="American Typewriter"/>
      </rPr>
      <t>C898949</t>
    </r>
  </si>
  <si>
    <t>4N28SM</t>
  </si>
  <si>
    <t>Phototransistor</t>
  </si>
  <si>
    <t>4.17kV 6V Phototransistor SMD-6P Transistor Photovoltaic Output Optoisolators -40c+10c 1 1.18V 10% 10mA 30V</t>
  </si>
  <si>
    <t>SMD-6P</t>
  </si>
  <si>
    <t>6</t>
  </si>
  <si>
    <t>0.100</t>
  </si>
  <si>
    <t>0</t>
  </si>
  <si>
    <t>0.010A</t>
  </si>
  <si>
    <t>Isolator:4N28</t>
  </si>
  <si>
    <t>Package_DIP:SMDIP-6_W7.62mm</t>
  </si>
  <si>
    <t>C898949</t>
  </si>
  <si>
    <t>ONSemi</t>
  </si>
  <si>
    <r>
      <rPr>
        <u val="single"/>
        <sz val="10"/>
        <color indexed="8"/>
        <rFont val="American Typewriter"/>
      </rPr>
      <t>https://jlcpcb.com/api/file/downloadByFileSystemAccessId/8588917274006720512</t>
    </r>
  </si>
  <si>
    <t>IC_LM358D_SOP-8</t>
  </si>
  <si>
    <t>LM358D dual OpAmp ±15V or +30V</t>
  </si>
  <si>
    <t>LM358D IC dual OpAmp ±15V or +30V</t>
  </si>
  <si>
    <r>
      <rPr>
        <u val="single"/>
        <sz val="10"/>
        <color indexed="8"/>
        <rFont val="American Typewriter"/>
      </rPr>
      <t>C2683482</t>
    </r>
  </si>
  <si>
    <t>LM358D</t>
  </si>
  <si>
    <t>LM6132A TLV272CS-13</t>
  </si>
  <si>
    <t>dual OpAmp</t>
  </si>
  <si>
    <t>SOP-8 Operational Amplifier</t>
  </si>
  <si>
    <t>SOP-8</t>
  </si>
  <si>
    <t>±15V or +30V</t>
  </si>
  <si>
    <t>SPCoast:LM358</t>
  </si>
  <si>
    <t>SPCoast:SOIC-8_3.9x4.9mm_P1.27mm;Package_SO:SOIC-8_3.9x4.9mm_P1.27mm</t>
  </si>
  <si>
    <t>C2683482</t>
  </si>
  <si>
    <t>IDCHIP</t>
  </si>
  <si>
    <r>
      <rPr>
        <u val="single"/>
        <sz val="10"/>
        <color indexed="8"/>
        <rFont val="American Typewriter"/>
      </rPr>
      <t>https://www.lcsc.com/datasheet/lcsc_datasheet_2403081523_IDCHIP-LM358D_C2683482.pdf</t>
    </r>
  </si>
  <si>
    <t>IC_MAX3491EPD+_PDIP14</t>
  </si>
  <si>
    <t>MAX3491EPD+ RS485 3v3</t>
  </si>
  <si>
    <t>MAX3491EPD+ IC RS485 3v3</t>
  </si>
  <si>
    <r>
      <rPr>
        <u val="single"/>
        <sz val="10"/>
        <color indexed="8"/>
        <rFont val="American Typewriter"/>
      </rPr>
      <t>C3231480</t>
    </r>
  </si>
  <si>
    <t>MAX3491EPD+</t>
  </si>
  <si>
    <t>MAX3491</t>
  </si>
  <si>
    <t>RS485</t>
  </si>
  <si>
    <t>RS-422/RS-485 Interface IC 3.3V Powered, 10Mbps and Slew-Rate Limit</t>
  </si>
  <si>
    <t>PDIP14</t>
  </si>
  <si>
    <t>14</t>
  </si>
  <si>
    <t>3v3</t>
  </si>
  <si>
    <t>SPCoast:MAX3491</t>
  </si>
  <si>
    <t>SPCoast:DIL14</t>
  </si>
  <si>
    <t>C3231480</t>
  </si>
  <si>
    <t>Analog Devices / Maxim Integrated</t>
  </si>
  <si>
    <t>IC_MCP23017_SOIC-28-300mil</t>
  </si>
  <si>
    <t>MCP23017 I2C 16-bit I/O Expander</t>
  </si>
  <si>
    <t>MCP23017 IC I2C 16-bit I/O Expander</t>
  </si>
  <si>
    <r>
      <rPr>
        <u val="single"/>
        <sz val="10"/>
        <color indexed="8"/>
        <rFont val="American Typewriter"/>
      </rPr>
      <t>C629440</t>
    </r>
  </si>
  <si>
    <t>MCP23017</t>
  </si>
  <si>
    <t>I2C 16-bit I/O Expander</t>
  </si>
  <si>
    <t>MCP23017 I2C 16 bit I/O Expander</t>
  </si>
  <si>
    <t>SOIC-28-300mil</t>
  </si>
  <si>
    <t>SPCoast:MCP23017_SO</t>
  </si>
  <si>
    <t>SPCoast:SOIC-28W_7.5x17.9mm</t>
  </si>
  <si>
    <t>C629440</t>
  </si>
  <si>
    <t>Microchip</t>
  </si>
  <si>
    <t>MCP23017T-E/SO</t>
  </si>
  <si>
    <r>
      <rPr>
        <u val="single"/>
        <sz val="10"/>
        <color indexed="8"/>
        <rFont val="American Typewriter"/>
      </rPr>
      <t>https://wmsc.lcsc.com/wmsc/upload/file/pdf/v2/lcsc/2203221230_Microchip-Tech-MCP23017T-E-SO_C629440.pdf</t>
    </r>
  </si>
  <si>
    <t>IC_NE555D_SOP-8</t>
  </si>
  <si>
    <t>NE555D 16v</t>
  </si>
  <si>
    <t>NE555D IC 16v</t>
  </si>
  <si>
    <r>
      <rPr>
        <u val="single"/>
        <sz val="10"/>
        <color indexed="8"/>
        <rFont val="American Typewriter"/>
      </rPr>
      <t>C695838</t>
    </r>
  </si>
  <si>
    <t>NE555D</t>
  </si>
  <si>
    <t>100kHz 4.5V~16V SOP-8 555 Timers / Counters</t>
  </si>
  <si>
    <t>16v</t>
  </si>
  <si>
    <t>Timer:NE555</t>
  </si>
  <si>
    <t>Package_SO:SOIC-8_3.9x4.9mm_P1.27mm</t>
  </si>
  <si>
    <t>C695838</t>
  </si>
  <si>
    <t>UMW(Youtai Semiconductor Co., Ltd.)</t>
  </si>
  <si>
    <t>NE555DR</t>
  </si>
  <si>
    <t>https://www.lcsc.com/datasheet/lcsc_datasheet_2311091107_UMW-Youtai-Semiconductor-Co---Ltd--NE555DR_C695838.pdf</t>
  </si>
  <si>
    <t>IC_NE556_SOP-14</t>
  </si>
  <si>
    <t>NE556 Dual Timer 16V 600mW</t>
  </si>
  <si>
    <t>NE556 IC Dual Timer 16V 600mW</t>
  </si>
  <si>
    <r>
      <rPr>
        <u val="single"/>
        <sz val="10"/>
        <color indexed="8"/>
        <rFont val="American Typewriter"/>
      </rPr>
      <t>C5145392</t>
    </r>
  </si>
  <si>
    <t>NE556</t>
  </si>
  <si>
    <t>Dual Timer</t>
  </si>
  <si>
    <t>NE556 100kHz Dual Timer</t>
  </si>
  <si>
    <t>SOP-14</t>
  </si>
  <si>
    <t>600mW</t>
  </si>
  <si>
    <t>Timer:NE556</t>
  </si>
  <si>
    <t>SPCoast:SOP_14;Package_SO:SOIC-14_3.9x8.7mm_P1.27mm</t>
  </si>
  <si>
    <t>C5145392</t>
  </si>
  <si>
    <t>HANSCHIP</t>
  </si>
  <si>
    <t>NE556DRG</t>
  </si>
  <si>
    <r>
      <rPr>
        <u val="single"/>
        <sz val="10"/>
        <color indexed="8"/>
        <rFont val="American Typewriter"/>
      </rPr>
      <t>https://wmsc.lcsc.com/wmsc/upload/file/pdf/v2/lcsc/2209290930_HANSCHIP-semiconductor-NE556DRG_C5145392.pdf</t>
    </r>
  </si>
  <si>
    <t>IC_PCA9685_TSSOP-28</t>
  </si>
  <si>
    <t>PCA9685 I2C 16-bit PWM LED Driver</t>
  </si>
  <si>
    <t>PCA9685 IC I2C 16-bit PWM LED Driver</t>
  </si>
  <si>
    <r>
      <rPr>
        <u val="single"/>
        <sz val="10"/>
        <color indexed="8"/>
        <rFont val="American Typewriter"/>
      </rPr>
      <t>C2678753</t>
    </r>
  </si>
  <si>
    <t>PCA9685</t>
  </si>
  <si>
    <t>I2C 16-bit PWM LED Driver</t>
  </si>
  <si>
    <t>5.5V 100kHz~1MHz PWM 16 25mA 2.3V~5.5V TSSOP-28 LED Driver</t>
  </si>
  <si>
    <t>TSSOP-28</t>
  </si>
  <si>
    <t>SPCoast:PCA9685PW</t>
  </si>
  <si>
    <t>Package_SO:TSSOP-28_4.4x9.7mm_P0.65mm</t>
  </si>
  <si>
    <t>C2678753</t>
  </si>
  <si>
    <t>NXP</t>
  </si>
  <si>
    <t>PCA9685PW,118</t>
  </si>
  <si>
    <r>
      <rPr>
        <u val="single"/>
        <sz val="10"/>
        <color indexed="8"/>
        <rFont val="American Typewriter"/>
      </rPr>
      <t>https://www.lcsc.com/datasheet/lcsc_datasheet_2405281434_NXP-Semicon-PCA9685PW-118_C2678753.pdf</t>
    </r>
  </si>
  <si>
    <t>IND</t>
  </si>
  <si>
    <t>IND_17.2x9.5mm_FIS121NL</t>
  </si>
  <si>
    <t>FIS121NL Pulse Transformer</t>
  </si>
  <si>
    <t>FIS121NL IND Pulse Transformer</t>
  </si>
  <si>
    <r>
      <rPr>
        <u val="single"/>
        <sz val="10"/>
        <color indexed="8"/>
        <rFont val="American Typewriter"/>
      </rPr>
      <t>C6555619</t>
    </r>
  </si>
  <si>
    <t>FIS121NL</t>
  </si>
  <si>
    <t>FIS121</t>
  </si>
  <si>
    <t>Pulse Transformer</t>
  </si>
  <si>
    <t>Current Sense Transformer 1:200 4.5 ohm</t>
  </si>
  <si>
    <t>4.5</t>
  </si>
  <si>
    <t>17.2x9.5mm</t>
  </si>
  <si>
    <t>1/200</t>
  </si>
  <si>
    <t>0.500</t>
  </si>
  <si>
    <t>&lt;200kHz</t>
  </si>
  <si>
    <t>C6555619</t>
  </si>
  <si>
    <t>Pulse Elec</t>
  </si>
  <si>
    <r>
      <rPr>
        <u val="single"/>
        <sz val="10"/>
        <color indexed="8"/>
        <rFont val="American Typewriter"/>
      </rPr>
      <t>https://wmsc.lcsc.com/wmsc/upload/file/pdf/v2/lcsc/2312131723_Pulse-Elec-FIS121NL_C6555619.pdf</t>
    </r>
  </si>
  <si>
    <t>LED</t>
  </si>
  <si>
    <t>LED_Blue_0603_20mA</t>
  </si>
  <si>
    <t>Blue LED clear 3.3V 20mA 240mcd</t>
  </si>
  <si>
    <r>
      <rPr>
        <u val="single"/>
        <sz val="10"/>
        <color indexed="8"/>
        <rFont val="American Typewriter"/>
      </rPr>
      <t>C965807</t>
    </r>
  </si>
  <si>
    <t>Blue</t>
  </si>
  <si>
    <t>B</t>
  </si>
  <si>
    <t>clear</t>
  </si>
  <si>
    <t>20mA 240mcd Colorless and transparent -20℃~+85℃ Positive Stick 455nm~475nm Blue 120° 70mW 3.3V 0603 LED Indication</t>
  </si>
  <si>
    <t>3.3V</t>
  </si>
  <si>
    <t>20mA</t>
  </si>
  <si>
    <t>120°</t>
  </si>
  <si>
    <t>455nm~475nm</t>
  </si>
  <si>
    <t>240</t>
  </si>
  <si>
    <t>Device:LED</t>
  </si>
  <si>
    <t>SPCoast:0603-LED</t>
  </si>
  <si>
    <t>C965807</t>
  </si>
  <si>
    <t>XINGLIGHT</t>
  </si>
  <si>
    <t>XL-1608UBC-04</t>
  </si>
  <si>
    <r>
      <rPr>
        <u val="single"/>
        <sz val="10"/>
        <color indexed="8"/>
        <rFont val="American Typewriter"/>
      </rPr>
      <t>https://wmsc.lcsc.com/wmsc/upload/file/pdf/v2/lcsc/2402181505_XINGLIGHT-XL-1608UBC-04_C965807.pdf</t>
    </r>
  </si>
  <si>
    <t>LED_Green Emerald_0603_20mA</t>
  </si>
  <si>
    <t>Green Emerald LED clear 3.3V 20mA 810mcd</t>
  </si>
  <si>
    <r>
      <rPr>
        <u val="single"/>
        <sz val="10"/>
        <color indexed="8"/>
        <rFont val="American Typewriter"/>
      </rPr>
      <t>C965804</t>
    </r>
  </si>
  <si>
    <t>Green Emerald</t>
  </si>
  <si>
    <t>G</t>
  </si>
  <si>
    <t>20mA 810mcd Colorless transparent  515nm~535nm -20℃~+85℃ Positive Stick Emerald Green 120° 70mW 3.3V 0603 LED Indication</t>
  </si>
  <si>
    <t>515nm~535nm</t>
  </si>
  <si>
    <t>810</t>
  </si>
  <si>
    <t>C965804</t>
  </si>
  <si>
    <t>XL-1608UGC-04</t>
  </si>
  <si>
    <r>
      <rPr>
        <u val="single"/>
        <sz val="10"/>
        <color indexed="8"/>
        <rFont val="American Typewriter"/>
      </rPr>
      <t>https://wmsc.lcsc.com/wmsc/upload/file/pdf/v2/lcsc/2402181505_XINGLIGHT-XL-1608UGC-04_C965804.pdf</t>
    </r>
  </si>
  <si>
    <t>LED_Orange_0603_10mA</t>
  </si>
  <si>
    <t>Orange LED clear 2.2V 10mA 70mcd</t>
  </si>
  <si>
    <r>
      <rPr>
        <u val="single"/>
        <sz val="10"/>
        <color indexed="8"/>
        <rFont val="American Typewriter"/>
      </rPr>
      <t>C22371303</t>
    </r>
  </si>
  <si>
    <t>Orange</t>
  </si>
  <si>
    <t>O</t>
  </si>
  <si>
    <t>10mA Orange 0603 LED Indication</t>
  </si>
  <si>
    <t>2.2V</t>
  </si>
  <si>
    <t>10mA</t>
  </si>
  <si>
    <t>600nm~612nm</t>
  </si>
  <si>
    <t>70</t>
  </si>
  <si>
    <t>C22371303</t>
  </si>
  <si>
    <t>HONGLITRONIC</t>
  </si>
  <si>
    <t>HL-PSC-1608S25OC-G4</t>
  </si>
  <si>
    <r>
      <rPr>
        <u val="single"/>
        <sz val="10"/>
        <color indexed="8"/>
        <rFont val="American Typewriter"/>
      </rPr>
      <t>https://wmsc.lcsc.com/wmsc/upload/file/pdf/v2/lcsc/2403281522_HONGLITRONIC-Hongli-Zhihui--HONGLITRONIC-HL-PSC-1608S25OC-G4_C22371303.pdf</t>
    </r>
  </si>
  <si>
    <t>LED_Orange_0603_20mA</t>
  </si>
  <si>
    <t>Orange LED clear 2.3V 20mA 315mcd</t>
  </si>
  <si>
    <r>
      <rPr>
        <u val="single"/>
        <sz val="10"/>
        <color indexed="8"/>
        <rFont val="American Typewriter"/>
      </rPr>
      <t>C965800</t>
    </r>
  </si>
  <si>
    <t>20mA 315mcd Colorless transparent -20℃~+85℃ 600nm~610nm Positive Stick Orange 120° 50mW 2.3V 0603 LED Indication</t>
  </si>
  <si>
    <t>2.3V</t>
  </si>
  <si>
    <t>315</t>
  </si>
  <si>
    <t>C965800</t>
  </si>
  <si>
    <t>XL-1608UOC-06</t>
  </si>
  <si>
    <r>
      <rPr>
        <u val="single"/>
        <sz val="10"/>
        <color indexed="8"/>
        <rFont val="American Typewriter"/>
      </rPr>
      <t>https://wmsc.lcsc.com/wmsc/upload/file/pdf/v2/lcsc/2402181505_XINGLIGHT-XL-1608UOC-06_C965800.pdf</t>
    </r>
  </si>
  <si>
    <r>
      <rPr>
        <u val="single"/>
        <sz val="10"/>
        <color indexed="8"/>
        <rFont val="American Typewriter"/>
      </rPr>
      <t>C965801</t>
    </r>
  </si>
  <si>
    <t>600nm~610nm</t>
  </si>
  <si>
    <t>C965801</t>
  </si>
  <si>
    <t>XL-1608UOC-04</t>
  </si>
  <si>
    <t>LED_Red_0603_20mA</t>
  </si>
  <si>
    <t>Red LED clear 2.2V 20mA 150mcd</t>
  </si>
  <si>
    <r>
      <rPr>
        <u val="single"/>
        <sz val="10"/>
        <color indexed="8"/>
        <rFont val="American Typewriter"/>
      </rPr>
      <t>C7288939</t>
    </r>
  </si>
  <si>
    <t>Red</t>
  </si>
  <si>
    <t>R</t>
  </si>
  <si>
    <t>20mA 150mcd 622nm Red 120° 2.2V 0603 LED Indication</t>
  </si>
  <si>
    <t>150</t>
  </si>
  <si>
    <t>C7288939</t>
  </si>
  <si>
    <t>Inolux</t>
  </si>
  <si>
    <t>IN-S63ASR</t>
  </si>
  <si>
    <r>
      <rPr>
        <u val="single"/>
        <sz val="10"/>
        <color indexed="8"/>
        <rFont val="American Typewriter"/>
      </rPr>
      <t>https://wmsc.lcsc.com/wmsc/upload/file/pdf/v2/lcsc/2404241146_Inolux-IN-S63ASR_C7288939.pdf</t>
    </r>
  </si>
  <si>
    <t>Red LED clear 2.4V 20mA 360mcd</t>
  </si>
  <si>
    <r>
      <rPr>
        <u val="single"/>
        <sz val="10"/>
        <color indexed="8"/>
        <rFont val="American Typewriter"/>
      </rPr>
      <t>C965798</t>
    </r>
  </si>
  <si>
    <t>20mA 360mcd Colorless transparent 615nm~625nm -20℃~+85℃ Positive Stick Red 120° 50mW 2.4V 0603 LED Indication</t>
  </si>
  <si>
    <t>2.4V</t>
  </si>
  <si>
    <t>615nm~625nm</t>
  </si>
  <si>
    <t>360</t>
  </si>
  <si>
    <t>C965798</t>
  </si>
  <si>
    <t xml:space="preserve">XL-1608SURC-04
</t>
  </si>
  <si>
    <r>
      <rPr>
        <u val="single"/>
        <sz val="10"/>
        <color indexed="8"/>
        <rFont val="American Typewriter"/>
      </rPr>
      <t>https://wmsc.lcsc.com/wmsc/upload/file/pdf/v2/lcsc/2402181505_XINGLIGHT-XL-1608SURC-04_C965798.pdf</t>
    </r>
  </si>
  <si>
    <t>Red LED clear 2.3V 20mA 330mcd</t>
  </si>
  <si>
    <r>
      <rPr>
        <u val="single"/>
        <sz val="10"/>
        <color indexed="8"/>
        <rFont val="American Typewriter"/>
      </rPr>
      <t>C965799</t>
    </r>
  </si>
  <si>
    <t>20mA 330mcd Colorless transparent -20℃~+85℃ Positive Stick 620nm~630nm Red 120° 50mW 2.3V 0603 LED Indication</t>
  </si>
  <si>
    <t>330</t>
  </si>
  <si>
    <t>C965799</t>
  </si>
  <si>
    <t>XL-1608SURC-06</t>
  </si>
  <si>
    <r>
      <rPr>
        <u val="single"/>
        <sz val="10"/>
        <color indexed="8"/>
        <rFont val="American Typewriter"/>
      </rPr>
      <t>https://wmsc.lcsc.com/wmsc/upload/file/pdf/v2/lcsc/2402181505_XINGLIGHT-XL-1608SURC-06_C965799.pdf</t>
    </r>
  </si>
  <si>
    <t>LED_UltraViolet_0603_</t>
  </si>
  <si>
    <t>UltraViolet LED clear 3.4V</t>
  </si>
  <si>
    <r>
      <rPr>
        <u val="single"/>
        <sz val="10"/>
        <color indexed="8"/>
        <rFont val="American Typewriter"/>
      </rPr>
      <t>C7371898</t>
    </r>
  </si>
  <si>
    <t>UltraViolet</t>
  </si>
  <si>
    <t>UV</t>
  </si>
  <si>
    <t>5mA 60mcd  Purple Top-mount Water Clear -40℃~+85℃ 120° 3.4V 390nm~429nm 405nm 100mW 0603 LED Indication</t>
  </si>
  <si>
    <t>3.4V</t>
  </si>
  <si>
    <t>390nm~429nm</t>
  </si>
  <si>
    <t>C7371898</t>
  </si>
  <si>
    <t>XL-1608UVC-04</t>
  </si>
  <si>
    <r>
      <rPr>
        <u val="single"/>
        <sz val="10"/>
        <color indexed="8"/>
        <rFont val="American Typewriter"/>
      </rPr>
      <t>https://wmsc.lcsc.com/wmsc/upload/file/pdf/v2/lcsc/2402181501_XINGLIGHT-XL-1608UVC-04_C7371898.pdf</t>
    </r>
  </si>
  <si>
    <t>LED_White_0603_20mA</t>
  </si>
  <si>
    <t>White LED warm 2.7V 20mA 130mcd</t>
  </si>
  <si>
    <r>
      <rPr>
        <u val="single"/>
        <sz val="10"/>
        <color indexed="8"/>
        <rFont val="American Typewriter"/>
      </rPr>
      <t>C965808</t>
    </r>
  </si>
  <si>
    <t>White</t>
  </si>
  <si>
    <t>W WW</t>
  </si>
  <si>
    <t>warm</t>
  </si>
  <si>
    <t>20mA 13700K~33000K 130mcd WarmWhite -20℃~+85℃ Positive Stick White 120° 70mW 2.7V 0603 LED Indication</t>
  </si>
  <si>
    <t>2.7V</t>
  </si>
  <si>
    <t>13700 - 33000 K</t>
  </si>
  <si>
    <t>130</t>
  </si>
  <si>
    <t>C965808</t>
  </si>
  <si>
    <t>XL-1608UWC-04</t>
  </si>
  <si>
    <r>
      <rPr>
        <u val="single"/>
        <sz val="10"/>
        <color indexed="8"/>
        <rFont val="American Typewriter"/>
      </rPr>
      <t>https://wmsc.lcsc.com/wmsc/upload/file/pdf/v2/lcsc/2402181505_XINGLIGHT-XL-1608UWC-04_C965808.pdf</t>
    </r>
  </si>
  <si>
    <t>LED_WS2812B_SMD5050</t>
  </si>
  <si>
    <t>WS2812B LED WS2812B-WS2812B5050 5v 12mA</t>
  </si>
  <si>
    <r>
      <rPr>
        <u val="single"/>
        <sz val="10"/>
        <color indexed="8"/>
        <rFont val="American Typewriter"/>
      </rPr>
      <t>C2843785</t>
    </r>
  </si>
  <si>
    <t>WS2812B</t>
  </si>
  <si>
    <t>RGB NeoPixel</t>
  </si>
  <si>
    <t>WS2812B-WS2812B5050</t>
  </si>
  <si>
    <t>SMD5050 RGB LEDs(Built-in IC) NeoPixel</t>
  </si>
  <si>
    <t>SMD5050</t>
  </si>
  <si>
    <t>5v</t>
  </si>
  <si>
    <t>12mA</t>
  </si>
  <si>
    <t>SPCoast:WS2812B</t>
  </si>
  <si>
    <t>C2843785</t>
  </si>
  <si>
    <t>XL-5050RGBC-WS2812B</t>
  </si>
  <si>
    <r>
      <rPr>
        <u val="single"/>
        <sz val="10"/>
        <color indexed="8"/>
        <rFont val="American Typewriter"/>
      </rPr>
      <t>https://www.lcsc.com/datasheet/lcsc_datasheet_2404120946_XINGLIGHT-XL-5050RGBC-WS2812B_C2843785.pdf</t>
    </r>
  </si>
  <si>
    <t>LED_Yellow_0603_20mA</t>
  </si>
  <si>
    <t>Yellow LED clear 2.3V 20mA 450mcd</t>
  </si>
  <si>
    <r>
      <rPr>
        <u val="single"/>
        <sz val="10"/>
        <color indexed="8"/>
        <rFont val="American Typewriter"/>
      </rPr>
      <t>C965803</t>
    </r>
  </si>
  <si>
    <t>Yellow</t>
  </si>
  <si>
    <t>Y</t>
  </si>
  <si>
    <t>20mA 450mcd Colorless transparent -20℃~+85℃ 585nm~595nm Positive Stick Yellow 120° 50mW 2.3V 0603 LED Indication</t>
  </si>
  <si>
    <t>585nm~595nm</t>
  </si>
  <si>
    <t>450</t>
  </si>
  <si>
    <t>C965803</t>
  </si>
  <si>
    <t>XL-1608UYC-04</t>
  </si>
  <si>
    <r>
      <rPr>
        <u val="single"/>
        <sz val="10"/>
        <color indexed="8"/>
        <rFont val="American Typewriter"/>
      </rPr>
      <t>https://wmsc.lcsc.com/wmsc/upload/file/pdf/v2/lcsc/2402181505_XINGLIGHT-XL-1608UOC-04_C965801.pdf</t>
    </r>
  </si>
  <si>
    <t>LED_Yellow Green_0603_20mA</t>
  </si>
  <si>
    <t>Yellow Green LED clear 2.4V 20mA 240mcd</t>
  </si>
  <si>
    <r>
      <rPr>
        <u val="single"/>
        <sz val="10"/>
        <color indexed="8"/>
        <rFont val="American Typewriter"/>
      </rPr>
      <t>C965806</t>
    </r>
  </si>
  <si>
    <t>Yellow Green</t>
  </si>
  <si>
    <t>Lime</t>
  </si>
  <si>
    <t>20mA 240mcd Colorless transparent 565nm~575nm -20℃~+85℃ Positive Stick Yellow Green 120° 50mW 2.4V 0603 LED Indication</t>
  </si>
  <si>
    <t>565nm~575nm</t>
  </si>
  <si>
    <t>C965806</t>
  </si>
  <si>
    <t>XL-1608SYGC-04</t>
  </si>
  <si>
    <r>
      <rPr>
        <u val="single"/>
        <sz val="10"/>
        <color indexed="8"/>
        <rFont val="American Typewriter"/>
      </rPr>
      <t>https://wmsc.lcsc.com/wmsc/upload/file/pdf/v2/lcsc/2402181505_XINGLIGHT-XL-1608SYGC-04_C965806.pdf</t>
    </r>
  </si>
  <si>
    <t>MCU</t>
  </si>
  <si>
    <t>MCU_ESP32-DevKit_V1</t>
  </si>
  <si>
    <t>ESP32-DevKit_V1 ESP32</t>
  </si>
  <si>
    <t>ESP32-DevKit_V1 MCU ESP32</t>
  </si>
  <si>
    <t>ESP32-DevKit_V1</t>
  </si>
  <si>
    <t>ESP32</t>
  </si>
  <si>
    <t>ESP32-DevKit_V1 WROOM32</t>
  </si>
  <si>
    <t>2x15</t>
  </si>
  <si>
    <t>0.1x0.9</t>
  </si>
  <si>
    <t>SPCoast:ESP32-DevKit_V1</t>
  </si>
  <si>
    <t>Espressif</t>
  </si>
  <si>
    <r>
      <rPr>
        <u val="single"/>
        <sz val="10"/>
        <color indexed="8"/>
        <rFont val="American Typewriter"/>
      </rPr>
      <t>https://mischianti.org/wp-content/uploads/2020/11/ESP32-DOIT-DEV-KIT-v1-pinout-mischianti.png</t>
    </r>
  </si>
  <si>
    <t>MCU_WT32-ETH01</t>
  </si>
  <si>
    <t>WT32-ETH01 ESP32</t>
  </si>
  <si>
    <t>WT32-ETH01 MCU ESP32</t>
  </si>
  <si>
    <t>WT32-ETH01</t>
  </si>
  <si>
    <t>2x13</t>
  </si>
  <si>
    <t>SPCoast:WT32-ETH01</t>
  </si>
  <si>
    <t>WT</t>
  </si>
  <si>
    <r>
      <rPr>
        <u val="single"/>
        <sz val="10"/>
        <color indexed="8"/>
        <rFont val="American Typewriter"/>
      </rPr>
      <t>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</t>
    </r>
  </si>
  <si>
    <t>Q</t>
  </si>
  <si>
    <t>Q_P-FET_2.3A_SOT-23_2301V</t>
  </si>
  <si>
    <t>2301V P-FET 20V 2.3A</t>
  </si>
  <si>
    <t>2301V Q P-FET 20V 2.3A</t>
  </si>
  <si>
    <r>
      <rPr>
        <u val="single"/>
        <sz val="10"/>
        <color indexed="8"/>
        <rFont val="American Typewriter"/>
      </rPr>
      <t>C7499856</t>
    </r>
  </si>
  <si>
    <t>2301V</t>
  </si>
  <si>
    <t>P-FET</t>
  </si>
  <si>
    <t>20V 2.3A 95m 1V 1 Piece P-Channel SOT-23 MOSFET</t>
  </si>
  <si>
    <t>GSD</t>
  </si>
  <si>
    <t>20V</t>
  </si>
  <si>
    <t>2.3A</t>
  </si>
  <si>
    <t>Device:Q_PMOS_GSD</t>
  </si>
  <si>
    <t>C7499856</t>
  </si>
  <si>
    <t>HL</t>
  </si>
  <si>
    <r>
      <rPr>
        <u val="single"/>
        <sz val="10"/>
        <color indexed="8"/>
        <rFont val="American Typewriter"/>
      </rPr>
      <t>https://wmsc.lcsc.com/wmsc/upload/file/pdf/v2/lcsc/2310251707_HL-2301V_C7499856.pdf</t>
    </r>
  </si>
  <si>
    <t>Q_N-FET_300mA_SOT-23_2N7002</t>
  </si>
  <si>
    <t>2N7002 N-FET 60V 300mA</t>
  </si>
  <si>
    <t>2N7002 Q N-FET 60V 300mA</t>
  </si>
  <si>
    <r>
      <rPr>
        <u val="single"/>
        <sz val="10"/>
        <color indexed="8"/>
        <rFont val="American Typewriter"/>
      </rPr>
      <t>C5224215</t>
    </r>
  </si>
  <si>
    <t>2N7002</t>
  </si>
  <si>
    <t>N-FET</t>
  </si>
  <si>
    <t>60V 300mA 1.5@10V 500mA 200mW 1.5V@250uA N-Channel SOT-23 MOSFETs</t>
  </si>
  <si>
    <t>60V</t>
  </si>
  <si>
    <t>300mA</t>
  </si>
  <si>
    <t>Device:Q_NMOS_GSD</t>
  </si>
  <si>
    <t>C5224215</t>
  </si>
  <si>
    <t>ElecSuper</t>
  </si>
  <si>
    <r>
      <rPr>
        <u val="single"/>
        <sz val="10"/>
        <color indexed="8"/>
        <rFont val="American Typewriter"/>
      </rPr>
      <t>https://wmsc.lcsc.com/wmsc/upload/file/pdf/v2/lcsc/2210271630_ElecSuper-2N7002_C5224215.pdf</t>
    </r>
  </si>
  <si>
    <t>Q_P-FET_8A_SOP-8_A04443</t>
  </si>
  <si>
    <t>A04443 P-FET 40v 8A</t>
  </si>
  <si>
    <t>A04443 Q P-FET 40v 8A</t>
  </si>
  <si>
    <r>
      <rPr>
        <u val="single"/>
        <sz val="10"/>
        <color indexed="8"/>
        <rFont val="American Typewriter"/>
      </rPr>
      <t>C2944309</t>
    </r>
  </si>
  <si>
    <t>A04443</t>
  </si>
  <si>
    <t>MOSFET P-CH 40V 8A SOP-8</t>
  </si>
  <si>
    <t>40v</t>
  </si>
  <si>
    <t>8A</t>
  </si>
  <si>
    <t>SPCoast:MOSFET-P_AO4443</t>
  </si>
  <si>
    <t>Package_SO:HTSOP-8-1EP_3.9x4.9mm_P1.27mm_EP2.4x3.2mm</t>
  </si>
  <si>
    <t>C2944309</t>
  </si>
  <si>
    <t>UMW</t>
  </si>
  <si>
    <t>AO4443</t>
  </si>
  <si>
    <t>https://www.lcsc.com/datasheet/C2944309.pdf</t>
  </si>
  <si>
    <t>Q_PNP_500mA_SOT-23_BC807</t>
  </si>
  <si>
    <t>BC807 PNP 45V 500mA 300mW</t>
  </si>
  <si>
    <t>BC807 Q PNP 45V 500mA 300mW</t>
  </si>
  <si>
    <r>
      <rPr>
        <u val="single"/>
        <sz val="10"/>
        <color indexed="8"/>
        <rFont val="American Typewriter"/>
      </rPr>
      <t>C5184433</t>
    </r>
  </si>
  <si>
    <t>BC807</t>
  </si>
  <si>
    <t>PNP</t>
  </si>
  <si>
    <t>PNP 45V 300mW 250@100mA 1V 500mA PNP SOT-23</t>
  </si>
  <si>
    <t>45V</t>
  </si>
  <si>
    <t>500mA</t>
  </si>
  <si>
    <t>300mW</t>
  </si>
  <si>
    <t>SPCoast:PNP</t>
  </si>
  <si>
    <t>C5184433</t>
  </si>
  <si>
    <t>BC807-40</t>
  </si>
  <si>
    <r>
      <rPr>
        <u val="single"/>
        <sz val="10"/>
        <color indexed="8"/>
        <rFont val="American Typewriter"/>
      </rPr>
      <t>https://wmsc.lcsc.com/wmsc/upload/file/pdf/v2/lcsc/2303091430_HXY-MOSFET-BC807-40_C5184433.pdf</t>
    </r>
  </si>
  <si>
    <t>Q_BSS138</t>
  </si>
  <si>
    <t>BSS138 N-FET 60V 400mA</t>
  </si>
  <si>
    <r>
      <rPr>
        <u val="single"/>
        <sz val="10"/>
        <color indexed="8"/>
        <rFont val="American Typewriter"/>
      </rPr>
      <t>C5224269</t>
    </r>
  </si>
  <si>
    <t>BSS138</t>
  </si>
  <si>
    <t>-55℃~+150℃ 1 N-channel 1.5Ω@10V 1V 2.2pF 25pF 400mA 417mW 60V 650pC@4.5V 9.7pF N-Channel MOSFET</t>
  </si>
  <si>
    <t>400mA</t>
  </si>
  <si>
    <t>C5224269</t>
  </si>
  <si>
    <t>BSS138P</t>
  </si>
  <si>
    <r>
      <rPr>
        <u val="single"/>
        <sz val="10"/>
        <color indexed="8"/>
        <rFont val="American Typewriter"/>
      </rPr>
      <t>https://wmsc.lcsc.com/wmsc/upload/file/pdf/v2/lcsc/2301091730_ElecSuper-BSS138P_C5224269.pdf</t>
    </r>
  </si>
  <si>
    <t>Q_N-FET_10A_SOT-23_DMN4468</t>
  </si>
  <si>
    <t>DMN4468 N-FET 30v 10A</t>
  </si>
  <si>
    <t>DMN4468 Q N-FET 30v 10A</t>
  </si>
  <si>
    <r>
      <rPr>
        <u val="single"/>
        <sz val="10"/>
        <color indexed="8"/>
        <rFont val="American Typewriter"/>
      </rPr>
      <t>C878901</t>
    </r>
  </si>
  <si>
    <t>DMN4468</t>
  </si>
  <si>
    <t>30V 10A 14m@10V00mA N-Channel SO-8 MOSFETs</t>
  </si>
  <si>
    <t>SO-8</t>
  </si>
  <si>
    <t>30v</t>
  </si>
  <si>
    <t>10A</t>
  </si>
  <si>
    <t>SPCoast:MOSFET-N</t>
  </si>
  <si>
    <t>SPCoast:SO-8</t>
  </si>
  <si>
    <t>C878901</t>
  </si>
  <si>
    <t>Diodes</t>
  </si>
  <si>
    <t>DMN4468LSS</t>
  </si>
  <si>
    <r>
      <rPr>
        <u val="single"/>
        <sz val="10"/>
        <color indexed="8"/>
        <rFont val="American Typewriter"/>
      </rPr>
      <t>https://www.diodes.com/assets/Datasheets/ds31773.pdf</t>
    </r>
  </si>
  <si>
    <t>Q_NPN_600mA_SOT-23_MMBT2222LT1G</t>
  </si>
  <si>
    <t>MMBT2222LT1G NPN 30V 600mA 300mW</t>
  </si>
  <si>
    <t>MMBT2222LT1G Q NPN 30V 600mA 300mW</t>
  </si>
  <si>
    <t>MMBT2222LT1G</t>
  </si>
  <si>
    <t>NPN</t>
  </si>
  <si>
    <t>NPN 30 V 600 mA 250MHz 300 mW Surface Mount SOT-23-3 (TO-236)</t>
  </si>
  <si>
    <t>600mA</t>
  </si>
  <si>
    <t>SPCoast:NPN</t>
  </si>
  <si>
    <t>Q_NPN_200mA_TO-220_MMBT3904</t>
  </si>
  <si>
    <t>MMBT3904 NPN 40V 200mA 200mW</t>
  </si>
  <si>
    <t>MMBT3904 Q NPN 40V 200mA 200mW</t>
  </si>
  <si>
    <r>
      <rPr>
        <u val="single"/>
        <sz val="10"/>
        <color indexed="8"/>
        <rFont val="American Typewriter"/>
      </rPr>
      <t>C5184404</t>
    </r>
  </si>
  <si>
    <t>MMBT3904</t>
  </si>
  <si>
    <t>NPN 40V 200mW 100@10mA 1V 200mA NPN SOT-23</t>
  </si>
  <si>
    <t>40V</t>
  </si>
  <si>
    <t>200mA</t>
  </si>
  <si>
    <t>C5184404</t>
  </si>
  <si>
    <r>
      <rPr>
        <u val="single"/>
        <sz val="10"/>
        <color indexed="8"/>
        <rFont val="American Typewriter"/>
      </rPr>
      <t>https://wmsc.lcsc.com/wmsc/upload/file/pdf/v2/lcsc/2407151447_HXY-MOSFET-MMBT3904_C5184404.pdf</t>
    </r>
  </si>
  <si>
    <t>REG</t>
  </si>
  <si>
    <t>REG_78L05_TO-220</t>
  </si>
  <si>
    <t>78L05 Linear 5v 1A</t>
  </si>
  <si>
    <t>78L05 REG Linear 5v 1A</t>
  </si>
  <si>
    <t>78L05</t>
  </si>
  <si>
    <t>Linear</t>
  </si>
  <si>
    <t>Linear Voltage Regulator IC Positive Fixed 1 Output 1A TO-220</t>
  </si>
  <si>
    <t>TO-220</t>
  </si>
  <si>
    <t>1A</t>
  </si>
  <si>
    <t>REG_78M05_TO-252-2</t>
  </si>
  <si>
    <t>78M05 Linear 5v 1A</t>
  </si>
  <si>
    <t>78M05 REG Linear 5v 1A</t>
  </si>
  <si>
    <r>
      <rPr>
        <u val="single"/>
        <sz val="10"/>
        <color indexed="8"/>
        <rFont val="American Typewriter"/>
      </rPr>
      <t>C347278</t>
    </r>
  </si>
  <si>
    <t>78M05</t>
  </si>
  <si>
    <t>Linear Voltage Regulator IC Positive Fixed 1 Output 1A TO-252</t>
  </si>
  <si>
    <t>TO-252-2</t>
  </si>
  <si>
    <t>Regulator_Linear:LM78M05_TO252</t>
  </si>
  <si>
    <t>Package_TO_SOT_SMD:TO-252-2</t>
  </si>
  <si>
    <t>C347278</t>
  </si>
  <si>
    <r>
      <rPr>
        <u val="single"/>
        <sz val="10"/>
        <color indexed="8"/>
        <rFont val="American Typewriter"/>
      </rPr>
      <t>https://www.lcsc.com/datasheet/C347278.pdf?spm=wm.sxq.inf.ggs&amp;lcsc_vid=TlhaVVxSFQRdBQZVQVQPVAdWFABYBlFeRFMKUQcARlMxVlNRQ1hWVlFTTllbUDsOAxUeFF5JWBYZEEoKFBINSQcJGk4dAgUUFAk=</t>
    </r>
  </si>
  <si>
    <t>REG_AMS1117-3.3_SOT-223-3</t>
  </si>
  <si>
    <t>AMS1117-3.3 LDO 3v3 1A</t>
  </si>
  <si>
    <t>AMS1117-3.3 REG LDO 3v3 1A</t>
  </si>
  <si>
    <r>
      <rPr>
        <u val="single"/>
        <sz val="10"/>
        <color indexed="8"/>
        <rFont val="American Typewriter"/>
      </rPr>
      <t>C5345982</t>
    </r>
  </si>
  <si>
    <t>AMS1117-3.3</t>
  </si>
  <si>
    <t>LDO</t>
  </si>
  <si>
    <t>1A Low Dropout regulator positive fixed 3.3V</t>
  </si>
  <si>
    <t>SOT-223-3</t>
  </si>
  <si>
    <t>SPCoast:AMS1117</t>
  </si>
  <si>
    <t>SPCoast:SOT-223-3_TabPin2</t>
  </si>
  <si>
    <t>C5345982</t>
  </si>
  <si>
    <t>HXY MOSFET</t>
  </si>
  <si>
    <r>
      <rPr>
        <u val="single"/>
        <sz val="10"/>
        <color indexed="8"/>
        <rFont val="American Typewriter"/>
      </rPr>
      <t>https://wmsc.lcsc.com/wmsc/upload/file/pdf/v2/lcsc/2301120930_HXY-MOSFET-AMS1117-3-3_C5345982.pdf</t>
    </r>
  </si>
  <si>
    <t>REG_AMS1117-5.0_SOT-223-3</t>
  </si>
  <si>
    <t>AMS1117-5.0 LDO 5v 1A</t>
  </si>
  <si>
    <t>AMS1117-5.0 REG LDO 5v 1A</t>
  </si>
  <si>
    <r>
      <rPr>
        <u val="single"/>
        <sz val="10"/>
        <color indexed="8"/>
        <rFont val="American Typewriter"/>
      </rPr>
      <t>C5345984</t>
    </r>
  </si>
  <si>
    <t>AMS1117-5.0</t>
  </si>
  <si>
    <t>1A Low Dropout regulator positive fixed 5.0V</t>
  </si>
  <si>
    <t>C5345984</t>
  </si>
  <si>
    <r>
      <rPr>
        <u val="single"/>
        <sz val="10"/>
        <color indexed="8"/>
        <rFont val="American Typewriter"/>
      </rPr>
      <t>https://wmsc.lcsc.com/wmsc/upload/file/pdf/v2/lcsc/2301120930_HXY-MOSFET-AMS1117-5-0_C5345984.pdf</t>
    </r>
  </si>
  <si>
    <t>REG_AMS1117-ADJ_SOT-223-3</t>
  </si>
  <si>
    <t>AMS1117-ADJ LDO-ADJ 1.25-10.5v 1A</t>
  </si>
  <si>
    <t>AMS1117-ADJ REG LDO-ADJ 1.25-10.5v 1A</t>
  </si>
  <si>
    <r>
      <rPr>
        <u val="single"/>
        <sz val="10"/>
        <color indexed="8"/>
        <rFont val="American Typewriter"/>
      </rPr>
      <t>C5345985</t>
    </r>
  </si>
  <si>
    <t>AMS1117-ADJ</t>
  </si>
  <si>
    <t>LDO-ADJ</t>
  </si>
  <si>
    <r>
      <rPr>
        <sz val="10"/>
        <color indexed="8"/>
        <rFont val="American Typewriter"/>
      </rPr>
      <t>1A Low Dropout regulator positive adjustable output / fixed: 1.5V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(V</t>
    </r>
    <r>
      <rPr>
        <sz val="5"/>
        <color indexed="8"/>
        <rFont val="American Typewriter"/>
      </rPr>
      <t>IN</t>
    </r>
    <r>
      <rPr>
        <sz val="10"/>
        <color indexed="8"/>
        <rFont val="American Typewriter"/>
      </rPr>
      <t xml:space="preserve"> - V</t>
    </r>
    <r>
      <rPr>
        <sz val="5"/>
        <color indexed="8"/>
        <rFont val="American Typewriter"/>
      </rPr>
      <t>OUT</t>
    </r>
    <r>
      <rPr>
        <sz val="10"/>
        <color indexed="8"/>
        <rFont val="American Typewriter"/>
      </rPr>
      <t xml:space="preserve">) 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12V 1.5V 1.8V 2.5V 2.85V 3.3V and 5.0V</t>
    </r>
  </si>
  <si>
    <t>1.25-10.5v</t>
  </si>
  <si>
    <t>C5345985</t>
  </si>
  <si>
    <r>
      <rPr>
        <u val="single"/>
        <sz val="10"/>
        <color indexed="8"/>
        <rFont val="American Typewriter"/>
      </rPr>
      <t>https://wmsc.lcsc.com/wmsc/upload/file/pdf/v2/lcsc/2301120930_HXY-MOSFET-AMS1117-ADJ_C5345985.pdf</t>
    </r>
  </si>
  <si>
    <t>RES</t>
  </si>
  <si>
    <t>RES_5%_100mW_0603_100K</t>
  </si>
  <si>
    <t>100K 5% thick film 75V 100mW</t>
  </si>
  <si>
    <t>100K RES 5% thick film 75V 100mW</t>
  </si>
  <si>
    <r>
      <rPr>
        <u val="single"/>
        <sz val="10"/>
        <color indexed="8"/>
        <rFont val="American Typewriter"/>
      </rPr>
      <t>C15458</t>
    </r>
  </si>
  <si>
    <t>100K</t>
  </si>
  <si>
    <t>thick film</t>
  </si>
  <si>
    <t>100k 100mW  75V ±100ppm/℃ ±5% 0603</t>
  </si>
  <si>
    <t>5%</t>
  </si>
  <si>
    <t>75V</t>
  </si>
  <si>
    <t>100mW</t>
  </si>
  <si>
    <t>Device:R_US</t>
  </si>
  <si>
    <t>SPCoast:0603-RES</t>
  </si>
  <si>
    <t>C15458</t>
  </si>
  <si>
    <t>UNI-ROYAL</t>
  </si>
  <si>
    <t>0603WAJ0104T5E</t>
  </si>
  <si>
    <r>
      <rPr>
        <u val="single"/>
        <sz val="10"/>
        <color indexed="8"/>
        <rFont val="American Typewriter"/>
      </rPr>
      <t>https://www.lcsc.com/datasheet/lcsc_datasheet_2206010216_UNI-ROYAL-Uniroyal-Elec-0603WAJ0104T5E_C15458.pdf</t>
    </r>
  </si>
  <si>
    <t>RES_5%_100mW_0603_10K</t>
  </si>
  <si>
    <t>10K 5% thick film 75V 100mW</t>
  </si>
  <si>
    <t>10K RES 5% thick film 75V 100mW</t>
  </si>
  <si>
    <r>
      <rPr>
        <u val="single"/>
        <sz val="10"/>
        <color indexed="8"/>
        <rFont val="American Typewriter"/>
      </rPr>
      <t>C15401</t>
    </r>
  </si>
  <si>
    <t>10K</t>
  </si>
  <si>
    <t>10k 100mW  75V ±100ppm/℃ ±5% 0603</t>
  </si>
  <si>
    <t>C15401</t>
  </si>
  <si>
    <t>0603WAJ0103T5E</t>
  </si>
  <si>
    <r>
      <rPr>
        <u val="single"/>
        <sz val="10"/>
        <color indexed="8"/>
        <rFont val="American Typewriter"/>
      </rPr>
      <t>https://www.lcsc.com/datasheet/lcsc_datasheet_2206010216_UNI-ROYAL-Uniroyal-Elec-0603WAJ0103T5E_C15401.pdf</t>
    </r>
  </si>
  <si>
    <r>
      <rPr>
        <u val="single"/>
        <sz val="10"/>
        <color indexed="8"/>
        <rFont val="American Typewriter"/>
      </rPr>
      <t>C2930027</t>
    </r>
  </si>
  <si>
    <t>C2930027</t>
  </si>
  <si>
    <t>FOJAN</t>
  </si>
  <si>
    <t>FRC0603J103TS</t>
  </si>
  <si>
    <r>
      <rPr>
        <u val="single"/>
        <sz val="10"/>
        <color indexed="8"/>
        <rFont val="American Typewriter"/>
      </rPr>
      <t>https://wmsc.lcsc.com/wmsc/upload/file/pdf/v2/lcsc/2308241009_FOJAN-FRC0603J103TS_C2930027.pdf</t>
    </r>
  </si>
  <si>
    <t>10K 5% thick film 150V 100mW</t>
  </si>
  <si>
    <t>10K RES 5% thick film 150V 100mW</t>
  </si>
  <si>
    <r>
      <rPr>
        <u val="single"/>
        <sz val="10"/>
        <color indexed="8"/>
        <rFont val="American Typewriter"/>
      </rPr>
      <t>C4118381</t>
    </r>
  </si>
  <si>
    <t>10k 100mW s 150V ±100ppm/℃ ±5% 0603</t>
  </si>
  <si>
    <t>150V</t>
  </si>
  <si>
    <t>C4118381</t>
  </si>
  <si>
    <t>RC0603JR-1310KL</t>
  </si>
  <si>
    <r>
      <rPr>
        <u val="single"/>
        <sz val="10"/>
        <color indexed="8"/>
        <rFont val="American Typewriter"/>
      </rPr>
      <t>https://wmsc.lcsc.com/wmsc/upload/file/pdf/v2/lcsc/2404101024_YAGEO-RC0603JR-1310KL_C4118381.pdf</t>
    </r>
  </si>
  <si>
    <t>RES_5%_100mW_0603_12k</t>
  </si>
  <si>
    <t>12k 5% thick film 75V 100mW</t>
  </si>
  <si>
    <t>12k RES 5% thick film 75V 100mW</t>
  </si>
  <si>
    <r>
      <rPr>
        <u val="single"/>
        <sz val="10"/>
        <color indexed="8"/>
        <rFont val="American Typewriter"/>
      </rPr>
      <t>C25577</t>
    </r>
  </si>
  <si>
    <t>12k</t>
  </si>
  <si>
    <t>12k 100mW  75V ±100ppm/℃ ±5% 0603</t>
  </si>
  <si>
    <t>C25577</t>
  </si>
  <si>
    <t>0603WAJ0123T5E</t>
  </si>
  <si>
    <r>
      <rPr>
        <u val="single"/>
        <sz val="10"/>
        <color indexed="8"/>
        <rFont val="American Typewriter"/>
      </rPr>
      <t>https://www.lcsc.com/datasheet/lcsc_datasheet_2205311900_UNI-ROYAL-Uniroyal-Elec-0603WAJ0123T5E_C25577.pdf</t>
    </r>
  </si>
  <si>
    <t>RES_5%_100mW_0603_1K</t>
  </si>
  <si>
    <t>1K 5% thick film 75V 100mW</t>
  </si>
  <si>
    <t>1K RES 5% thick film 75V 100mW</t>
  </si>
  <si>
    <r>
      <rPr>
        <u val="single"/>
        <sz val="10"/>
        <color indexed="8"/>
        <rFont val="American Typewriter"/>
      </rPr>
      <t>C25585</t>
    </r>
  </si>
  <si>
    <t>1K</t>
  </si>
  <si>
    <t>1k 100mW  75V ±100ppm/℃ ±5% 0603</t>
  </si>
  <si>
    <t>C25585</t>
  </si>
  <si>
    <t>0603WAJ0102T5E</t>
  </si>
  <si>
    <r>
      <rPr>
        <u val="single"/>
        <sz val="10"/>
        <color indexed="8"/>
        <rFont val="American Typewriter"/>
      </rPr>
      <t>https://www.lcsc.com/datasheet/lcsc_datasheet_2206010100_UNI-ROYAL-Uniroyal-Elec-0603WAJ0102T5E_C25585.pdf</t>
    </r>
  </si>
  <si>
    <t>RES_1%_100mW_0603_1M</t>
  </si>
  <si>
    <t>1M 1% thick film 75V 100mW</t>
  </si>
  <si>
    <t>1M RES 1% thick film 75V 100mW</t>
  </si>
  <si>
    <r>
      <rPr>
        <u val="single"/>
        <sz val="10"/>
        <color indexed="8"/>
        <rFont val="American Typewriter"/>
      </rPr>
      <t>C22935</t>
    </r>
  </si>
  <si>
    <t>1M</t>
  </si>
  <si>
    <t>1.0M 100mW  75V ±100ppm/℃ ±1% 0603</t>
  </si>
  <si>
    <t>1%</t>
  </si>
  <si>
    <t>C22935</t>
  </si>
  <si>
    <t>0603WAF1004T5E</t>
  </si>
  <si>
    <r>
      <rPr>
        <u val="single"/>
        <sz val="10"/>
        <color indexed="8"/>
        <rFont val="American Typewriter"/>
      </rPr>
      <t>https://www.lcsc.com/datasheet/lcsc_datasheet_2206010130_UNI-ROYAL-Uniroyal-Elec-0603WAF1004T5E_C22935.pdf</t>
    </r>
  </si>
  <si>
    <t>RES_5%_100mW_0603_1M</t>
  </si>
  <si>
    <t>1M 5% thick film 75V 100mW</t>
  </si>
  <si>
    <t>1M RES 5% thick film 75V 100mW</t>
  </si>
  <si>
    <r>
      <rPr>
        <u val="single"/>
        <sz val="10"/>
        <color indexed="8"/>
        <rFont val="American Typewriter"/>
      </rPr>
      <t>C26098</t>
    </r>
  </si>
  <si>
    <t>1.0M 100mW  75V ±100ppm/℃ ±5% 0603</t>
  </si>
  <si>
    <t>C26098</t>
  </si>
  <si>
    <t>0603WAJ0105T5E</t>
  </si>
  <si>
    <r>
      <rPr>
        <u val="single"/>
        <sz val="10"/>
        <color indexed="8"/>
        <rFont val="American Typewriter"/>
      </rPr>
      <t>https://www.lcsc.com/datasheet/lcsc_datasheet_2206010030_UNI-ROYAL-Uniroyal-Elec-0603WAJ0105T5E_C26098.pdf</t>
    </r>
  </si>
  <si>
    <t>RES_5%_100mW_0603_2.2K</t>
  </si>
  <si>
    <t>2.2K 5% thick film 75V 100mW</t>
  </si>
  <si>
    <t>2.2K RES 5% thick film 75V 100mW</t>
  </si>
  <si>
    <r>
      <rPr>
        <u val="single"/>
        <sz val="10"/>
        <color indexed="8"/>
        <rFont val="American Typewriter"/>
      </rPr>
      <t>C25992</t>
    </r>
  </si>
  <si>
    <t>2.2K</t>
  </si>
  <si>
    <t>2.2k 100mW  75V ±100ppm/℃ ±5% 0603</t>
  </si>
  <si>
    <t>C25992</t>
  </si>
  <si>
    <t>0603WAJ0222T5E</t>
  </si>
  <si>
    <r>
      <rPr>
        <u val="single"/>
        <sz val="10"/>
        <color indexed="8"/>
        <rFont val="American Typewriter"/>
      </rPr>
      <t>https://www.lcsc.com/datasheet/lcsc_datasheet_2206010045_UNI-ROYAL-Uniroyal-Elec-0603WAJ0222T5E_C25992.pdf</t>
    </r>
  </si>
  <si>
    <t>RES_5%_100mW_0603_2.2M</t>
  </si>
  <si>
    <t>2.2M 5% thick film 75V 100mW</t>
  </si>
  <si>
    <t>2.2M RES 5% thick film 75V 100mW</t>
  </si>
  <si>
    <r>
      <rPr>
        <u val="single"/>
        <sz val="10"/>
        <color indexed="8"/>
        <rFont val="American Typewriter"/>
      </rPr>
      <t>C18679</t>
    </r>
  </si>
  <si>
    <t>2.2M</t>
  </si>
  <si>
    <t>2.2M 100mW  75V ±100ppm/℃ ±5% 0603</t>
  </si>
  <si>
    <t>C18679</t>
  </si>
  <si>
    <t>0603WAJ0225T5E</t>
  </si>
  <si>
    <r>
      <rPr>
        <u val="single"/>
        <sz val="10"/>
        <color indexed="8"/>
        <rFont val="American Typewriter"/>
      </rPr>
      <t>https://www.lcsc.com/datasheet/lcsc_datasheet_2206010145_UNI-ROYAL-Uniroyal-Elec-0603WAJ0225T5E_C18679.pdf</t>
    </r>
  </si>
  <si>
    <t>2.2M 5% thick film 50V 100mW</t>
  </si>
  <si>
    <t>2.2M RES 5% thick film 50V 100mW</t>
  </si>
  <si>
    <r>
      <rPr>
        <u val="single"/>
        <sz val="10"/>
        <color indexed="8"/>
        <rFont val="American Typewriter"/>
      </rPr>
      <t>C403986</t>
    </r>
  </si>
  <si>
    <t>2.2M 100mW  50V ±250ppm/℃ ±5% 0603</t>
  </si>
  <si>
    <t>C403986</t>
  </si>
  <si>
    <t>FH</t>
  </si>
  <si>
    <t>RS-03L225JJT</t>
  </si>
  <si>
    <r>
      <rPr>
        <u val="single"/>
        <sz val="10"/>
        <color indexed="8"/>
        <rFont val="American Typewriter"/>
      </rPr>
      <t>https://wmsc.lcsc.com/wmsc/upload/file/pdf/v2/lcsc/2304140030_FH--Guangdong-Fenghua-Advanced-Tech-RS-03L225JJT_C403986.pdf</t>
    </r>
  </si>
  <si>
    <t>RES_5%_100mW_0603_200</t>
  </si>
  <si>
    <t>200 5% thick film 75V 100mW</t>
  </si>
  <si>
    <t>200 RES 5% thick film 75V 100mW</t>
  </si>
  <si>
    <r>
      <rPr>
        <u val="single"/>
        <sz val="10"/>
        <color indexed="8"/>
        <rFont val="American Typewriter"/>
      </rPr>
      <t>C2907123</t>
    </r>
  </si>
  <si>
    <t>200</t>
  </si>
  <si>
    <t>200 100mW  75V ±100ppm/℃ ±5% 0603</t>
  </si>
  <si>
    <t>C2907123</t>
  </si>
  <si>
    <t>FRC0603J201 TS</t>
  </si>
  <si>
    <r>
      <rPr>
        <u val="single"/>
        <sz val="10"/>
        <color indexed="8"/>
        <rFont val="American Typewriter"/>
      </rPr>
      <t>https://wmsc.lcsc.com/wmsc/upload/file/pdf/v2/lcsc/2308241947_FOJAN-FRC0603J201-TS_C2907123.pdf</t>
    </r>
  </si>
  <si>
    <t>RES_5%_100mW_0603_220</t>
  </si>
  <si>
    <t>220 5% thick film 75V 100mW</t>
  </si>
  <si>
    <t>220 RES 5% thick film 75V 100mW</t>
  </si>
  <si>
    <r>
      <rPr>
        <u val="single"/>
        <sz val="10"/>
        <color indexed="8"/>
        <rFont val="American Typewriter"/>
      </rPr>
      <t>C1226</t>
    </r>
  </si>
  <si>
    <t>220</t>
  </si>
  <si>
    <t>220 100mW  75V ±100ppm/℃ ±5% 0603</t>
  </si>
  <si>
    <t>C1226</t>
  </si>
  <si>
    <t>0603WAJ0221T5E</t>
  </si>
  <si>
    <r>
      <rPr>
        <u val="single"/>
        <sz val="10"/>
        <color indexed="8"/>
        <rFont val="American Typewriter"/>
      </rPr>
      <t>https://www.lcsc.com/datasheet/lcsc_datasheet_2206010230_UNI-ROYAL-Uniroyal-Elec-0603WAJ0221T5E_C1226.pdf</t>
    </r>
  </si>
  <si>
    <t>RES_1%_100mW_0603_220</t>
  </si>
  <si>
    <t>220 1% thick film 150V 100mW</t>
  </si>
  <si>
    <t>220 RES 1% thick film 150V 100mW</t>
  </si>
  <si>
    <r>
      <rPr>
        <u val="single"/>
        <sz val="10"/>
        <color indexed="8"/>
        <rFont val="American Typewriter"/>
      </rPr>
      <t>C5842375</t>
    </r>
  </si>
  <si>
    <t>220 100mW s 150V ±100ppm/℃ ±1% 0603</t>
  </si>
  <si>
    <t>C5842375</t>
  </si>
  <si>
    <t>RC0603FR-13220RL</t>
  </si>
  <si>
    <r>
      <rPr>
        <u val="single"/>
        <sz val="10"/>
        <color indexed="8"/>
        <rFont val="American Typewriter"/>
      </rPr>
      <t>https://wmsc.lcsc.com/wmsc/upload/file/pdf/v2/lcsc/2312030915_YAGEO-RC0603FR-13220RL_C5842375.pdf</t>
    </r>
  </si>
  <si>
    <t>RES_5%_100mW_0603_22K</t>
  </si>
  <si>
    <t>22K 5% thick film 75V 100mW</t>
  </si>
  <si>
    <t>22K RES 5% thick film 75V 100mW</t>
  </si>
  <si>
    <r>
      <rPr>
        <u val="single"/>
        <sz val="10"/>
        <color indexed="8"/>
        <rFont val="American Typewriter"/>
      </rPr>
      <t>C23344</t>
    </r>
  </si>
  <si>
    <t>22K</t>
  </si>
  <si>
    <t>22k 100mW  75V ±100ppm/℃ ±5% 0603</t>
  </si>
  <si>
    <t>C23344</t>
  </si>
  <si>
    <t>0603WAJ0223T5E</t>
  </si>
  <si>
    <r>
      <rPr>
        <u val="single"/>
        <sz val="10"/>
        <color indexed="8"/>
        <rFont val="American Typewriter"/>
      </rPr>
      <t>https://www.lcsc.com/datasheet/lcsc_datasheet_2206010100_UNI-ROYAL-Uniroyal-Elec-0603WAJ0223T5E_C23344.pdf</t>
    </r>
  </si>
  <si>
    <t>RES_5%_100mW_0603_3.3K</t>
  </si>
  <si>
    <t>3.3K 5% thick film 75V 100mW</t>
  </si>
  <si>
    <t>3.3K RES 5% thick film 75V 100mW</t>
  </si>
  <si>
    <r>
      <rPr>
        <u val="single"/>
        <sz val="10"/>
        <color indexed="8"/>
        <rFont val="American Typewriter"/>
      </rPr>
      <t>C25995</t>
    </r>
  </si>
  <si>
    <t>3.3K</t>
  </si>
  <si>
    <t>3.3k 100mW  75V ±100ppm/℃ ±5% 0603</t>
  </si>
  <si>
    <t>C25995</t>
  </si>
  <si>
    <t>0603WAJ0332T5E</t>
  </si>
  <si>
    <r>
      <rPr>
        <u val="single"/>
        <sz val="10"/>
        <color indexed="8"/>
        <rFont val="American Typewriter"/>
      </rPr>
      <t>https://www.lcsc.com/datasheet/lcsc_datasheet_2206010045_UNI-ROYAL-Uniroyal-Elec-0603WAJ0332T5E_C25995.pdf</t>
    </r>
  </si>
  <si>
    <t>RES_1%_100mW_0603_3.3K</t>
  </si>
  <si>
    <t>3.3K 1% thick film 75V 100mW</t>
  </si>
  <si>
    <t>3.3K RES 1% thick film 75V 100mW</t>
  </si>
  <si>
    <r>
      <rPr>
        <u val="single"/>
        <sz val="10"/>
        <color indexed="8"/>
        <rFont val="American Typewriter"/>
      </rPr>
      <t>C2907023</t>
    </r>
  </si>
  <si>
    <t>3.3k 100mW s 75V ±100ppm/℃ ±1% 0603</t>
  </si>
  <si>
    <t>C2907023</t>
  </si>
  <si>
    <t>FRC0603F3301TS</t>
  </si>
  <si>
    <r>
      <rPr>
        <u val="single"/>
        <sz val="10"/>
        <color indexed="8"/>
        <rFont val="American Typewriter"/>
      </rPr>
      <t>https://wmsc.lcsc.com/wmsc/upload/file/pdf/v2/lcsc/2308241947_FOJAN-FRC0603F3301TS_C2907023.pdf</t>
    </r>
  </si>
  <si>
    <t>RES_5%_100mW_0603_330</t>
  </si>
  <si>
    <t>330 5% thick film 75V 100mW</t>
  </si>
  <si>
    <t>330 RES 5% thick film 75V 100mW</t>
  </si>
  <si>
    <r>
      <rPr>
        <u val="single"/>
        <sz val="10"/>
        <color indexed="8"/>
        <rFont val="American Typewriter"/>
      </rPr>
      <t>C25231</t>
    </r>
  </si>
  <si>
    <t>330 100mW  75V ±100ppm/℃ ±5% 0603</t>
  </si>
  <si>
    <t>C25231</t>
  </si>
  <si>
    <t>0603WAJ0331T5E</t>
  </si>
  <si>
    <r>
      <rPr>
        <u val="single"/>
        <sz val="10"/>
        <color indexed="8"/>
        <rFont val="American Typewriter"/>
      </rPr>
      <t>https://www.lcsc.com/datasheet/lcsc_datasheet_2205311845_UNI-ROYAL-Uniroyal-Elec-0603WAJ0331T5E_C25231.pdf</t>
    </r>
  </si>
  <si>
    <t>RES_5%_100mW_0603_4.7K</t>
  </si>
  <si>
    <t>4.7K 5% thick film 75V 100mW</t>
  </si>
  <si>
    <t>4.7K RES 5% thick film 75V 100mW</t>
  </si>
  <si>
    <r>
      <rPr>
        <u val="single"/>
        <sz val="10"/>
        <color indexed="8"/>
        <rFont val="American Typewriter"/>
      </rPr>
      <t>C25999</t>
    </r>
  </si>
  <si>
    <t>4.7K</t>
  </si>
  <si>
    <t>4.7k 100mW  75V ±100ppm/℃ ±5% 0603</t>
  </si>
  <si>
    <t>C25999</t>
  </si>
  <si>
    <t>0603WAJ0472T5E</t>
  </si>
  <si>
    <r>
      <rPr>
        <u val="single"/>
        <sz val="10"/>
        <color indexed="8"/>
        <rFont val="American Typewriter"/>
      </rPr>
      <t>https://www.lcsc.com/datasheet/lcsc_datasheet_2206010045_UNI-ROYAL-Uniroyal-Elec-0603WAJ0472T5E_C25999.pdf</t>
    </r>
  </si>
  <si>
    <t>RES_5%_100mW_0603_470</t>
  </si>
  <si>
    <t>470 5% thick film 75V 100mW</t>
  </si>
  <si>
    <t>470 RES 5% thick film 75V 100mW</t>
  </si>
  <si>
    <r>
      <rPr>
        <u val="single"/>
        <sz val="10"/>
        <color indexed="8"/>
        <rFont val="American Typewriter"/>
      </rPr>
      <t>C25241</t>
    </r>
  </si>
  <si>
    <t>470</t>
  </si>
  <si>
    <t>470 100mW  75V ±100ppm/℃ ±5% 0603</t>
  </si>
  <si>
    <t>C25241</t>
  </si>
  <si>
    <t>0603WAJ0471T5E</t>
  </si>
  <si>
    <r>
      <rPr>
        <u val="single"/>
        <sz val="10"/>
        <color indexed="8"/>
        <rFont val="American Typewriter"/>
      </rPr>
      <t>https://www.lcsc.com/datasheet/lcsc_datasheet_2205311845_UNI-ROYAL-Uniroyal-Elec-0603WAJ0471T5E_C25241.pdf</t>
    </r>
  </si>
  <si>
    <t>RES_5%_100mW_0603_5.6K</t>
  </si>
  <si>
    <t>5.6K 5% thick film 75V 100mW</t>
  </si>
  <si>
    <t>5.6K RES 5% thick film 75V 100mW</t>
  </si>
  <si>
    <r>
      <rPr>
        <u val="single"/>
        <sz val="10"/>
        <color indexed="8"/>
        <rFont val="American Typewriter"/>
      </rPr>
      <t>C26001</t>
    </r>
  </si>
  <si>
    <t>5.6K</t>
  </si>
  <si>
    <t>5.6k 100mW  75V ±100ppm/℃ ±5% 0603</t>
  </si>
  <si>
    <t>C26001</t>
  </si>
  <si>
    <t>0603WAJ0562T5E</t>
  </si>
  <si>
    <r>
      <rPr>
        <u val="single"/>
        <sz val="10"/>
        <color indexed="8"/>
        <rFont val="American Typewriter"/>
      </rPr>
      <t>https://www.lcsc.com/datasheet/lcsc_datasheet_2206010045_UNI-ROYAL-Uniroyal-Elec-0603WAJ0562T5E_C26001.pdf</t>
    </r>
  </si>
  <si>
    <t>RLY</t>
  </si>
  <si>
    <t>RLY_ISOPLUS-264_CPC1709J</t>
  </si>
  <si>
    <t>CPC1709J SSR 1.42V 9A-22.8A</t>
  </si>
  <si>
    <t>CPC1709J RLY SSR 1.42V 9A-22.8A</t>
  </si>
  <si>
    <r>
      <rPr>
        <u val="single"/>
        <sz val="10"/>
        <color indexed="8"/>
        <rFont val="American Typewriter"/>
      </rPr>
      <t>C1525253</t>
    </r>
  </si>
  <si>
    <t>CPC1709J</t>
  </si>
  <si>
    <t>SSR</t>
  </si>
  <si>
    <t>2.5kV 220us 27mΩ 7ms DC ISOPLUS-264 Solid State Relays (MOS Output) -40c-+85c 1.42V 10mA</t>
  </si>
  <si>
    <t>ISOPLUS-264</t>
  </si>
  <si>
    <t>1.42V</t>
  </si>
  <si>
    <t>9A-22.8A</t>
  </si>
  <si>
    <t>SPCoast:Relay_CPC1709J</t>
  </si>
  <si>
    <t>C1525253</t>
  </si>
  <si>
    <t>Littelfuse/IXYS</t>
  </si>
  <si>
    <r>
      <rPr>
        <u val="single"/>
        <sz val="10"/>
        <color indexed="8"/>
        <rFont val="American Typewriter"/>
      </rPr>
      <t>https://jlcpcb.com/api/file/downloadByFileSystemAccessId/8589033743424368640</t>
    </r>
  </si>
  <si>
    <t>RLY_G2RL-2_29x12.7x15.7mm</t>
  </si>
  <si>
    <t>G2RL-2 24v DPDT 24v 8A</t>
  </si>
  <si>
    <t>G2RL-2 RLY 24v DPDT 24v 8A</t>
  </si>
  <si>
    <t>G2RL-2</t>
  </si>
  <si>
    <t>24v DPDT</t>
  </si>
  <si>
    <t>DPDT Low profile power relay 15.7mmH</t>
  </si>
  <si>
    <t>29x12.7x15.7mm</t>
  </si>
  <si>
    <t>24v</t>
  </si>
  <si>
    <t>SPCoast:G2RL-2</t>
  </si>
  <si>
    <t>SPCoast:Relay_DPDT_Omron_G2RL-2</t>
  </si>
  <si>
    <t>Omron</t>
  </si>
  <si>
    <t>G2RL-2 / 24v</t>
  </si>
  <si>
    <r>
      <rPr>
        <u val="single"/>
        <sz val="10"/>
        <color indexed="8"/>
        <rFont val="American Typewriter"/>
      </rPr>
      <t>https://omronfs.omron.com/en_US/ecb/products/pdf/en-g2rl.pdf</t>
    </r>
  </si>
  <si>
    <t>SLK</t>
  </si>
  <si>
    <t>SLK_BRD_100x100</t>
  </si>
  <si>
    <t>BRD_100x100 Board Outline &amp; Milling</t>
  </si>
  <si>
    <t>BRD_100x100 SLK Board Outline &amp; Milling</t>
  </si>
  <si>
    <t>BRD_100x100</t>
  </si>
  <si>
    <t>Board Outline &amp; Milling</t>
  </si>
  <si>
    <t>PCB Board outline with mounting holes</t>
  </si>
  <si>
    <t>SPCoast:Board</t>
  </si>
  <si>
    <t>SPCoast:Board_100x100</t>
  </si>
  <si>
    <t>SLK_BRD_100x150</t>
  </si>
  <si>
    <t>BRD_100x150 Board Outline &amp; Milling</t>
  </si>
  <si>
    <t>BRD_100x150 SLK Board Outline &amp; Milling</t>
  </si>
  <si>
    <t>BRD_100x150</t>
  </si>
  <si>
    <t>SPCoast:Board_100x150</t>
  </si>
  <si>
    <t>SLK_BRD_100x200</t>
  </si>
  <si>
    <t>BRD_100x200 Board Outline &amp; Milling</t>
  </si>
  <si>
    <t>BRD_100x200 SLK Board Outline &amp; Milling</t>
  </si>
  <si>
    <t>BRD_100x200</t>
  </si>
  <si>
    <t>SPCoast:Board_100x200</t>
  </si>
  <si>
    <t>SLK_BRD_100x25x2</t>
  </si>
  <si>
    <t>BRD_100x25x2 Board Outline &amp; Milling</t>
  </si>
  <si>
    <t>BRD_100x25x2 SLK Board Outline &amp; Milling</t>
  </si>
  <si>
    <t>BRD_100x25x2</t>
  </si>
  <si>
    <t>SPCoast:Board_100x050_2</t>
  </si>
  <si>
    <t>SLK_BRD_100x50</t>
  </si>
  <si>
    <t>BRD_100x50 Board Outline &amp; Milling</t>
  </si>
  <si>
    <t>BRD_100x50 SLK Board Outline &amp; Milling</t>
  </si>
  <si>
    <t>BRD_100x50</t>
  </si>
  <si>
    <t>SPCoast:Board_100x050</t>
  </si>
  <si>
    <t>SLK_BRD_100x75</t>
  </si>
  <si>
    <t>BRD_100x75 Board Outline &amp; Milling</t>
  </si>
  <si>
    <t>BRD_100x75 SLK Board Outline &amp; Milling</t>
  </si>
  <si>
    <t>BRD_100x75</t>
  </si>
  <si>
    <t>SPCoast:Board_100x075</t>
  </si>
  <si>
    <t>PCB Board outline with mounting holes  large radius corners</t>
  </si>
  <si>
    <t>SPCoast:Board_100x075_Rounded</t>
  </si>
  <si>
    <t>SLK_BRD_80x100</t>
  </si>
  <si>
    <t>BRD_80x100 Board Outline &amp; Milling</t>
  </si>
  <si>
    <t>SLK_BRD_80x100 BRD_80x100 SLK Board Outline &amp; Milling</t>
  </si>
  <si>
    <t>BRD_80x100</t>
  </si>
  <si>
    <t>PCB Board outline with mounting holes - fits Tyco 3 mounting rail</t>
  </si>
  <si>
    <t>SPCoast:Board_080x100</t>
  </si>
  <si>
    <t>SLK_CA65</t>
  </si>
  <si>
    <t>CA65 SilkScreen</t>
  </si>
  <si>
    <t>CA65 SLK SilkScreen</t>
  </si>
  <si>
    <t>CA65</t>
  </si>
  <si>
    <t>SilkScreen</t>
  </si>
  <si>
    <t>California Prop 65 warning</t>
  </si>
  <si>
    <t>SPCoast:DOC_Label-CA65</t>
  </si>
  <si>
    <t>SPCoast:SILK_Label-CA65</t>
  </si>
  <si>
    <t>SLK_CC-by-sa</t>
  </si>
  <si>
    <t>CC-by-sa SilkScreen</t>
  </si>
  <si>
    <t>CC-by-sa SLK SilkScreen</t>
  </si>
  <si>
    <t>CC-by-sa</t>
  </si>
  <si>
    <t>Creative Commons License 3.0</t>
  </si>
  <si>
    <t>SPCoast:DOC_License-CC-BY-SA</t>
  </si>
  <si>
    <t>SPCoast:SILK_License-CC-by-sa</t>
  </si>
  <si>
    <t>SLK_DCPower-</t>
  </si>
  <si>
    <t>DCPower- SilkScreen</t>
  </si>
  <si>
    <t>DCPower- SLK SilkScreen</t>
  </si>
  <si>
    <t>DCPower-</t>
  </si>
  <si>
    <t>DC Power Jack Label</t>
  </si>
  <si>
    <t>SPCoast:DOC_Label-Power_CN</t>
  </si>
  <si>
    <t>SPCoast:SILK_Label-Power_CN</t>
  </si>
  <si>
    <t>SLK_DCPower+</t>
  </si>
  <si>
    <t>DCPower+ SilkScreen</t>
  </si>
  <si>
    <t>DCPower+ SLK SilkScreen</t>
  </si>
  <si>
    <t>DCPower+</t>
  </si>
  <si>
    <t>SPCoast:DOC_Label-Power_CP</t>
  </si>
  <si>
    <t>SPCoast:SILK_Label-Power_CP</t>
  </si>
  <si>
    <t>SLK_Logo_MRCS</t>
  </si>
  <si>
    <t>Logo_MRCS SilkScreen</t>
  </si>
  <si>
    <t>Logo_MRCS SLK SilkScreen</t>
  </si>
  <si>
    <t>Logo_MRCS</t>
  </si>
  <si>
    <t>MRCS PCB Logo</t>
  </si>
  <si>
    <t>SPCoast:DOC_Logo-MRCS</t>
  </si>
  <si>
    <t>SPCoast:SILK_Logo-MRCS</t>
  </si>
  <si>
    <t>SLK_Logo_SPCoast</t>
  </si>
  <si>
    <t>Logo_SPCoast SilkScreen</t>
  </si>
  <si>
    <t>Logo_SPCoast SLK SilkScreen</t>
  </si>
  <si>
    <t>Logo_SPCoast</t>
  </si>
  <si>
    <t>SPCoast PCB Logo</t>
  </si>
  <si>
    <t>SPCoast:DOC_Logo-SPCoast</t>
  </si>
  <si>
    <t>SPCoast:SILK_Logo-SPCoast</t>
  </si>
  <si>
    <t>SLK_Power_Draw</t>
  </si>
  <si>
    <t>Power_Draw SilkScreen</t>
  </si>
  <si>
    <t>Power_Draw SLK SilkScreen</t>
  </si>
  <si>
    <t>Power_Draw</t>
  </si>
  <si>
    <t>SPCoast Power Consumption Label</t>
  </si>
  <si>
    <t>SPCoast:DOC_Label-Current-Sink</t>
  </si>
  <si>
    <t>SPCoast:SILK_Label-Current-Sink</t>
  </si>
  <si>
    <t>SLK_Power_Provide</t>
  </si>
  <si>
    <t>Power_Provide SilkScreen</t>
  </si>
  <si>
    <t>Power_Provide SLK SilkScreen</t>
  </si>
  <si>
    <t>Power_Provide</t>
  </si>
  <si>
    <t>SPCoast Power Provision Label</t>
  </si>
  <si>
    <t>SPCoast:DOC_Label-Current-Source</t>
  </si>
  <si>
    <t>SPCoast:SILK_Label-Current-Source</t>
  </si>
  <si>
    <t>SWI</t>
  </si>
  <si>
    <t>SWI_6x6x6mm_PTH</t>
  </si>
  <si>
    <t>6x6x6mm_PTH SPSTx1 6mm Momentary</t>
  </si>
  <si>
    <t>6x6x6mm_PTH SWI SPSTx1 6mm Momentary</t>
  </si>
  <si>
    <r>
      <rPr>
        <u val="single"/>
        <sz val="10"/>
        <color indexed="8"/>
        <rFont val="American Typewriter"/>
      </rPr>
      <t>C5340138</t>
    </r>
  </si>
  <si>
    <t>6x6x6mm_PTH</t>
  </si>
  <si>
    <t>SPSTx1 6mm Momentary</t>
  </si>
  <si>
    <t>Round Button Direct Insert SPST 6mm 5.5mm 50mA 100M 100 000 Times 12V 250gf Plugin Tactile Switch</t>
  </si>
  <si>
    <t>6mm button</t>
  </si>
  <si>
    <t>2x2</t>
  </si>
  <si>
    <t>SPCoast:SW_Push</t>
  </si>
  <si>
    <t>SPCoast:SW_Push_SPST_6mmx6mm_PTH</t>
  </si>
  <si>
    <t>C5340138</t>
  </si>
  <si>
    <t>hanxia</t>
  </si>
  <si>
    <t>HX TS666CJ 250gf 009</t>
  </si>
  <si>
    <r>
      <rPr>
        <u val="single"/>
        <sz val="10"/>
        <color indexed="8"/>
        <rFont val="American Typewriter"/>
      </rPr>
      <t>https://wmsc.lcsc.com/wmsc/upload/file/pdf/v2/lcsc/2212291730_hanxia-HX-TS666CJ-250gf-009_C5340138.pdf</t>
    </r>
  </si>
  <si>
    <t>SWI_6x6x6mm_SMD</t>
  </si>
  <si>
    <t>6x6x6mm_SMD SPSTx1 6mm Momentary</t>
  </si>
  <si>
    <t>6x6x6mm_SMD SWI SPSTx1 6mm Momentary</t>
  </si>
  <si>
    <r>
      <rPr>
        <u val="single"/>
        <sz val="10"/>
        <color indexed="8"/>
        <rFont val="American Typewriter"/>
      </rPr>
      <t>C5340123</t>
    </r>
  </si>
  <si>
    <t>6x6x6mm_SMD</t>
  </si>
  <si>
    <t>Round Button Standing paste SPST 6mm 6mm 6mm 50mA 100M 100 000 Times 12V 250gf SMD Tactile Switch</t>
  </si>
  <si>
    <t>SPCoast:SW_Push_SPST_6mmx6mm_SMT</t>
  </si>
  <si>
    <t>C5340123</t>
  </si>
  <si>
    <t>HX TS666TP 250gf 009</t>
  </si>
  <si>
    <r>
      <rPr>
        <u val="single"/>
        <sz val="10"/>
        <color indexed="8"/>
        <rFont val="American Typewriter"/>
      </rPr>
      <t>https://wmsc.lcsc.com/wmsc/upload/file/pdf/v2/lcsc/2212271430_hanxia-HX-TS666TP-250gf-009_C5340123.pdf</t>
    </r>
  </si>
  <si>
    <t>SWI_EDG104S</t>
  </si>
  <si>
    <t>EDG104S SPSTx4 DIP</t>
  </si>
  <si>
    <t>EDG104S SWI SPSTx4 DIP</t>
  </si>
  <si>
    <r>
      <rPr>
        <u val="single"/>
        <sz val="10"/>
        <color indexed="8"/>
        <rFont val="American Typewriter"/>
      </rPr>
      <t>C840579</t>
    </r>
  </si>
  <si>
    <t>EDG104S</t>
  </si>
  <si>
    <t>SPSTx4 DIP</t>
  </si>
  <si>
    <t>SPST x4 DIP Switch</t>
  </si>
  <si>
    <t>DIP-8</t>
  </si>
  <si>
    <t>2x4</t>
  </si>
  <si>
    <t>0.1"</t>
  </si>
  <si>
    <t>SPCoast:SW-EDG-04</t>
  </si>
  <si>
    <t>C840579</t>
  </si>
  <si>
    <t>ECE</t>
  </si>
  <si>
    <r>
      <rPr>
        <u val="single"/>
        <sz val="10"/>
        <color indexed="8"/>
        <rFont val="American Typewriter"/>
      </rPr>
      <t>https://wmsc.lcsc.com/wmsc/upload/file/pdf/v2/lcsc/2311231642_ECE-EDG104S33_C840579.pdf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</si>
</sst>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0"/>
      <color indexed="8"/>
      <name val="Helvetica Neue"/>
    </font>
    <font>
      <sz val="12"/>
      <color indexed="8"/>
      <name val="Helvetica Neue"/>
    </font>
    <font>
      <b val="1"/>
      <sz val="24"/>
      <color indexed="8"/>
      <name val="Helvetica Neue"/>
    </font>
    <font>
      <sz val="10"/>
      <color indexed="8"/>
      <name val="American Typewriter"/>
    </font>
    <font>
      <u val="single"/>
      <sz val="10"/>
      <color indexed="8"/>
      <name val="American Typewriter"/>
    </font>
    <font>
      <sz val="10"/>
      <color indexed="8"/>
      <name val="Symbol"/>
    </font>
    <font>
      <sz val="5"/>
      <color indexed="8"/>
      <name val="American Typewriter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27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vertical="center"/>
    </xf>
    <xf numFmtId="49" fontId="3" fillId="2" borderId="1" applyNumberFormat="1" applyFont="1" applyFill="1" applyBorder="1" applyAlignment="1" applyProtection="0">
      <alignment horizontal="left" vertical="center"/>
    </xf>
    <xf numFmtId="49" fontId="3" fillId="2" borderId="1" applyNumberFormat="1" applyFont="1" applyFill="1" applyBorder="1" applyAlignment="1" applyProtection="0">
      <alignment horizontal="center" vertical="center"/>
    </xf>
    <xf numFmtId="49" fontId="3" borderId="2" applyNumberFormat="1" applyFont="1" applyFill="0" applyBorder="1" applyAlignment="1" applyProtection="0">
      <alignment horizontal="left" vertical="center"/>
    </xf>
    <xf numFmtId="0" fontId="3" fillId="3" borderId="2" applyNumberFormat="0" applyFont="1" applyFill="1" applyBorder="1" applyAlignment="1" applyProtection="0">
      <alignment horizontal="left" vertical="center"/>
    </xf>
    <xf numFmtId="0" fontId="3" fillId="4" borderId="2" applyNumberFormat="0" applyFont="1" applyFill="1" applyBorder="1" applyAlignment="1" applyProtection="0">
      <alignment horizontal="left" vertical="center"/>
    </xf>
    <xf numFmtId="0" fontId="3" borderId="2" applyNumberFormat="1" applyFont="1" applyFill="0" applyBorder="1" applyAlignment="1" applyProtection="0">
      <alignment horizontal="center" vertical="center"/>
    </xf>
    <xf numFmtId="0" fontId="3" borderId="2" applyNumberFormat="0" applyFont="1" applyFill="0" applyBorder="1" applyAlignment="1" applyProtection="0">
      <alignment horizontal="left" vertical="center"/>
    </xf>
    <xf numFmtId="49" fontId="3" borderId="3" applyNumberFormat="1" applyFont="1" applyFill="0" applyBorder="1" applyAlignment="1" applyProtection="0">
      <alignment horizontal="left" vertical="center"/>
    </xf>
    <xf numFmtId="0" fontId="3" fillId="3" borderId="3" applyNumberFormat="0" applyFont="1" applyFill="1" applyBorder="1" applyAlignment="1" applyProtection="0">
      <alignment horizontal="left" vertical="center"/>
    </xf>
    <xf numFmtId="0" fontId="3" fillId="4" borderId="3" applyNumberFormat="0" applyFont="1" applyFill="1" applyBorder="1" applyAlignment="1" applyProtection="0">
      <alignment horizontal="left" vertical="center"/>
    </xf>
    <xf numFmtId="0" fontId="3" borderId="3" applyNumberFormat="1" applyFont="1" applyFill="0" applyBorder="1" applyAlignment="1" applyProtection="0">
      <alignment horizontal="center" vertical="center"/>
    </xf>
    <xf numFmtId="0" fontId="3" borderId="3" applyNumberFormat="0" applyFont="1" applyFill="0" applyBorder="1" applyAlignment="1" applyProtection="0">
      <alignment horizontal="left" vertical="center"/>
    </xf>
    <xf numFmtId="0" fontId="3" borderId="3" applyNumberFormat="0" applyFont="1" applyFill="0" applyBorder="1" applyAlignment="1" applyProtection="0">
      <alignment horizontal="center" vertical="center"/>
    </xf>
    <xf numFmtId="0" fontId="0" borderId="3" applyNumberFormat="0" applyFont="1" applyFill="0" applyBorder="1" applyAlignment="1" applyProtection="0">
      <alignment vertical="top" wrapText="1"/>
    </xf>
    <xf numFmtId="49" fontId="0" borderId="3" applyNumberFormat="1" applyFont="1" applyFill="0" applyBorder="1" applyAlignment="1" applyProtection="0">
      <alignment vertical="top" wrapText="1"/>
    </xf>
    <xf numFmtId="49" fontId="3" fillId="3" borderId="3" applyNumberFormat="1" applyFont="1" applyFill="1" applyBorder="1" applyAlignment="1" applyProtection="0">
      <alignment horizontal="left" vertical="center"/>
    </xf>
    <xf numFmtId="49" fontId="3" borderId="3" applyNumberFormat="1" applyFont="1" applyFill="0" applyBorder="1" applyAlignment="1" applyProtection="0">
      <alignment horizontal="left" vertical="center" wrapText="1"/>
    </xf>
    <xf numFmtId="0" fontId="3" borderId="3" applyNumberFormat="1" applyFont="1" applyFill="0" applyBorder="1" applyAlignment="1" applyProtection="0">
      <alignment horizontal="left" vertical="center"/>
    </xf>
    <xf numFmtId="49" fontId="3" borderId="1" applyNumberFormat="1" applyFont="1" applyFill="0" applyBorder="1" applyAlignment="1" applyProtection="0">
      <alignment horizontal="left" vertical="center"/>
    </xf>
    <xf numFmtId="0" fontId="3" fillId="3" borderId="1" applyNumberFormat="0" applyFont="1" applyFill="1" applyBorder="1" applyAlignment="1" applyProtection="0">
      <alignment horizontal="left" vertical="center"/>
    </xf>
    <xf numFmtId="0" fontId="3" fillId="4" borderId="1" applyNumberFormat="0" applyFont="1" applyFill="1" applyBorder="1" applyAlignment="1" applyProtection="0">
      <alignment horizontal="left" vertical="center"/>
    </xf>
    <xf numFmtId="0" fontId="3" borderId="1" applyNumberFormat="0" applyFont="1" applyFill="0" applyBorder="1" applyAlignment="1" applyProtection="0">
      <alignment horizontal="center" vertical="center"/>
    </xf>
    <xf numFmtId="0" fontId="3" borderId="1" applyNumberFormat="0" applyFont="1" applyFill="0" applyBorder="1" applyAlignment="1" applyProtection="0">
      <alignment horizontal="left" vertical="center"/>
    </xf>
    <xf numFmtId="0" fontId="3" borderId="2" applyNumberFormat="0" applyFont="1" applyFill="0" applyBorder="1" applyAlignment="1" applyProtection="0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e6f7e2"/>
      <rgbColor rgb="ffdfffd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0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merican Typewriter"/>
            <a:ea typeface="American Typewriter"/>
            <a:cs typeface="American Typewriter"/>
            <a:sym typeface="American Typewriter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lcpcb.com/partdetail/C100042" TargetMode="External"/><Relationship Id="rId2" Type="http://schemas.openxmlformats.org/officeDocument/2006/relationships/hyperlink" Target="https://www.lcsc.com/datasheet/lcsc_datasheet_2304140030_YAGEO-CC0603KRX7R9BB103_C100042.pdf" TargetMode="External"/><Relationship Id="rId3" Type="http://schemas.openxmlformats.org/officeDocument/2006/relationships/hyperlink" Target="https://jlcpcb.com/partdetail/C1852832" TargetMode="External"/><Relationship Id="rId4" Type="http://schemas.openxmlformats.org/officeDocument/2006/relationships/hyperlink" Target="https://wmsc.lcsc.com/wmsc/upload/file/pdf/v2/lcsc/2201271000_YAGEO-CC0603KPX7R8BB103_C1852832.pdf" TargetMode="External"/><Relationship Id="rId5" Type="http://schemas.openxmlformats.org/officeDocument/2006/relationships/hyperlink" Target="https://jlcpcb.com/partdetail/C3910010" TargetMode="External"/><Relationship Id="rId6" Type="http://schemas.openxmlformats.org/officeDocument/2006/relationships/hyperlink" Target="https://jlcpcb.com/partdetail/C14663" TargetMode="External"/><Relationship Id="rId7" Type="http://schemas.openxmlformats.org/officeDocument/2006/relationships/hyperlink" Target="https://www.lcsc.com/datasheet/lcsc_datasheet_2211101700_YAGEO-CC0603KRX7R9BB104_C14663.pdf" TargetMode="External"/><Relationship Id="rId8" Type="http://schemas.openxmlformats.org/officeDocument/2006/relationships/hyperlink" Target="https://jlcpcb.com/partdetail/C3853265" TargetMode="External"/><Relationship Id="rId9" Type="http://schemas.openxmlformats.org/officeDocument/2006/relationships/hyperlink" Target="https://www.mouser.com/datasheet/3/497/1/e_uvr.pdf" TargetMode="External"/><Relationship Id="rId10" Type="http://schemas.openxmlformats.org/officeDocument/2006/relationships/hyperlink" Target="https://jlcpcb.com/partdetail/C970714" TargetMode="External"/><Relationship Id="rId11" Type="http://schemas.openxmlformats.org/officeDocument/2006/relationships/hyperlink" Target="https://jlcpcb.com/api/file/downloadByFileSystemAccessId/8590911073887604736" TargetMode="External"/><Relationship Id="rId12" Type="http://schemas.openxmlformats.org/officeDocument/2006/relationships/hyperlink" Target="https://jlcpcb.com/partdetail/C13585" TargetMode="External"/><Relationship Id="rId13" Type="http://schemas.openxmlformats.org/officeDocument/2006/relationships/hyperlink" Target="https://www.lcsc.com/datasheet/lcsc_datasheet_2304140030_Samsung-Electro-Mechanics-CL31A106KBHNNNE_C13585.pdf" TargetMode="External"/><Relationship Id="rId14" Type="http://schemas.openxmlformats.org/officeDocument/2006/relationships/hyperlink" Target="https://jlcpcb.com/partdetail/C15849" TargetMode="External"/><Relationship Id="rId15" Type="http://schemas.openxmlformats.org/officeDocument/2006/relationships/hyperlink" Target="https://www.lcsc.com/datasheet/lcsc_datasheet_2304140030_Samsung-Electro-Mechanics-CL10A105KB8NNNC_C15849.pdf" TargetMode="External"/><Relationship Id="rId16" Type="http://schemas.openxmlformats.org/officeDocument/2006/relationships/hyperlink" Target="https://jlcpcb.com/partdetail/C2169859" TargetMode="External"/><Relationship Id="rId17" Type="http://schemas.openxmlformats.org/officeDocument/2006/relationships/hyperlink" Target="https://wmsc.lcsc.com/wmsc/upload/file/pdf/v2/lcsc/2309051403_Taiyo-Yuden-GMK107BJ105KAHT_C2169859.pdf" TargetMode="External"/><Relationship Id="rId18" Type="http://schemas.openxmlformats.org/officeDocument/2006/relationships/hyperlink" Target="https://jlcpcb.com/partdetail/C136294" TargetMode="External"/><Relationship Id="rId19" Type="http://schemas.openxmlformats.org/officeDocument/2006/relationships/hyperlink" Target="https://www.lcsc.com/datasheet/lcsc_datasheet_1808312007_Nichicon-UCD1V221MNL1GS_C136294.pdf" TargetMode="External"/><Relationship Id="rId20" Type="http://schemas.openxmlformats.org/officeDocument/2006/relationships/hyperlink" Target="https://jlcpcb.com/partdetail/C492401" TargetMode="External"/><Relationship Id="rId21" Type="http://schemas.openxmlformats.org/officeDocument/2006/relationships/hyperlink" Target="https://jlcpcb.com/partdetail/C3029316" TargetMode="External"/><Relationship Id="rId22" Type="http://schemas.openxmlformats.org/officeDocument/2006/relationships/hyperlink" Target="https://jlcpcb.com/partdetail/C429966" TargetMode="External"/><Relationship Id="rId23" Type="http://schemas.openxmlformats.org/officeDocument/2006/relationships/hyperlink" Target="https://jlcpcb.com/partdetail/C49661" TargetMode="External"/><Relationship Id="rId24" Type="http://schemas.openxmlformats.org/officeDocument/2006/relationships/hyperlink" Target="https://jlcpcb.com/partdetail/C42378069" TargetMode="External"/><Relationship Id="rId25" Type="http://schemas.openxmlformats.org/officeDocument/2006/relationships/hyperlink" Target="https://jlcpcb.com/partdetail/C2937625" TargetMode="External"/><Relationship Id="rId26" Type="http://schemas.openxmlformats.org/officeDocument/2006/relationships/hyperlink" Target="https://jlcpcb.com/api/file/downloadByFileSystemAccessId/8588954567287443456" TargetMode="External"/><Relationship Id="rId27" Type="http://schemas.openxmlformats.org/officeDocument/2006/relationships/hyperlink" Target="https://jlcpcb.com/partdetail/C2691448" TargetMode="External"/><Relationship Id="rId28" Type="http://schemas.openxmlformats.org/officeDocument/2006/relationships/hyperlink" Target="https://jlcpcb.com/partdetail/C18214184" TargetMode="External"/><Relationship Id="rId29" Type="http://schemas.openxmlformats.org/officeDocument/2006/relationships/hyperlink" Target="https://jlcpcb.com/partdetail/C3816889" TargetMode="External"/><Relationship Id="rId30" Type="http://schemas.openxmlformats.org/officeDocument/2006/relationships/hyperlink" Target="https://jlcpcb.com/partdetail/C2718488" TargetMode="External"/><Relationship Id="rId31" Type="http://schemas.openxmlformats.org/officeDocument/2006/relationships/hyperlink" Target="https://jlcpcb.com/partdetail/C42378071" TargetMode="External"/><Relationship Id="rId32" Type="http://schemas.openxmlformats.org/officeDocument/2006/relationships/hyperlink" Target="https://jlcpcb.com/partdetail/C2718488" TargetMode="External"/><Relationship Id="rId33" Type="http://schemas.openxmlformats.org/officeDocument/2006/relationships/hyperlink" Target="https://jlcpcb.com/partdetail/C50950" TargetMode="External"/><Relationship Id="rId34" Type="http://schemas.openxmlformats.org/officeDocument/2006/relationships/hyperlink" Target="https://jlcpcb.com/partdetail/C3646874" TargetMode="External"/><Relationship Id="rId35" Type="http://schemas.openxmlformats.org/officeDocument/2006/relationships/hyperlink" Target="https://jlcpcb.com/partdetail/C37208" TargetMode="External"/><Relationship Id="rId36" Type="http://schemas.openxmlformats.org/officeDocument/2006/relationships/hyperlink" Target="https://jlcpcb.com/partdetail/C2905416" TargetMode="External"/><Relationship Id="rId37" Type="http://schemas.openxmlformats.org/officeDocument/2006/relationships/hyperlink" Target="https://jlcpcb.com/partdetail/C40877" TargetMode="External"/><Relationship Id="rId38" Type="http://schemas.openxmlformats.org/officeDocument/2006/relationships/hyperlink" Target="https://jlcpcb.com/partdetail/C22438157" TargetMode="External"/><Relationship Id="rId39" Type="http://schemas.openxmlformats.org/officeDocument/2006/relationships/hyperlink" Target="https://www.lcsc.com/datasheet/C22438157.pdf" TargetMode="External"/><Relationship Id="rId40" Type="http://schemas.openxmlformats.org/officeDocument/2006/relationships/hyperlink" Target="https://jlcpcb.com/partdetail/C27438" TargetMode="External"/><Relationship Id="rId41" Type="http://schemas.openxmlformats.org/officeDocument/2006/relationships/hyperlink" Target="https://jlcpcb.com/partdetail/C35445" TargetMode="External"/><Relationship Id="rId42" Type="http://schemas.openxmlformats.org/officeDocument/2006/relationships/hyperlink" Target="https://jlcpcb.com/partdetail/C2905419" TargetMode="External"/><Relationship Id="rId43" Type="http://schemas.openxmlformats.org/officeDocument/2006/relationships/hyperlink" Target="https://jlcpcb.com/partdetail/C2685211" TargetMode="External"/><Relationship Id="rId44" Type="http://schemas.openxmlformats.org/officeDocument/2006/relationships/hyperlink" Target="https://jlcpcb.com/partdetail/C52711" TargetMode="External"/><Relationship Id="rId45" Type="http://schemas.openxmlformats.org/officeDocument/2006/relationships/hyperlink" Target="https://jlcpcb.com/partdetail/C7499333" TargetMode="External"/><Relationship Id="rId46" Type="http://schemas.openxmlformats.org/officeDocument/2006/relationships/hyperlink" Target="https://jlcpcb.com/partdetail/C66987" TargetMode="External"/><Relationship Id="rId47" Type="http://schemas.openxmlformats.org/officeDocument/2006/relationships/hyperlink" Target="https://jlcpcb.com/partdetail/C37208" TargetMode="External"/><Relationship Id="rId48" Type="http://schemas.openxmlformats.org/officeDocument/2006/relationships/hyperlink" Target="https://jlcpcb.com/partdetail/C2325" TargetMode="External"/><Relationship Id="rId49" Type="http://schemas.openxmlformats.org/officeDocument/2006/relationships/hyperlink" Target="https://jlcpcb.com/partdetail/C3097718" TargetMode="External"/><Relationship Id="rId50" Type="http://schemas.openxmlformats.org/officeDocument/2006/relationships/hyperlink" Target="https://cdn.amphenol-cs.com/media/wysiwyg/files/drawing/c-bmj-0082.pdf" TargetMode="External"/><Relationship Id="rId51" Type="http://schemas.openxmlformats.org/officeDocument/2006/relationships/hyperlink" Target="https://www.wayconn.com/wp-content/uploads/datasheet/MJIC-660XXX-RJ11-RJ12-RJ25-PCB-Jack-without-Panel.pdf" TargetMode="External"/><Relationship Id="rId52" Type="http://schemas.openxmlformats.org/officeDocument/2006/relationships/hyperlink" Target="https://jlcpcb.com/partdetail/C7205130" TargetMode="External"/><Relationship Id="rId53" Type="http://schemas.openxmlformats.org/officeDocument/2006/relationships/hyperlink" Target="https://www.lcsc.com/datasheet/C7205130.pdf?spm=wm.sxq.inf.ggs___wm.ssy.bg.20.cbh&amp;lcsc_vid=QVZeA1dfQFALX1AFTlJbVAcFR1ldAgAEQVILVlZfRwcxVlNRQ1hXUFBQQVNdUzsOAxUeFF5JWBYZEEoKFBINSQcJGk4eFQsCAgIaSgADAwAHC0slRVJcUkoOAwwC" TargetMode="External"/><Relationship Id="rId54" Type="http://schemas.openxmlformats.org/officeDocument/2006/relationships/hyperlink" Target="https://jlcpcb.com/partdetail/C353517" TargetMode="External"/><Relationship Id="rId55" Type="http://schemas.openxmlformats.org/officeDocument/2006/relationships/hyperlink" Target="https://www.lcsc.com/datasheet/lcsc_datasheet_2304140030_Shandong-Jingdao-Microelectronics-BZT52C4V7S_C353517.pdf" TargetMode="External"/><Relationship Id="rId56" Type="http://schemas.openxmlformats.org/officeDocument/2006/relationships/hyperlink" Target="https://jlcpcb.com/partdetail/C5261070" TargetMode="External"/><Relationship Id="rId57" Type="http://schemas.openxmlformats.org/officeDocument/2006/relationships/hyperlink" Target="https://wmsc.lcsc.com/wmsc/upload/file/pdf/v2/lcsc/2406051353_HXY-MOSFET-BAT54_C5261070.pdf" TargetMode="External"/><Relationship Id="rId58" Type="http://schemas.openxmlformats.org/officeDocument/2006/relationships/hyperlink" Target="https://jlcpcb.com/partdetail/C2926172" TargetMode="External"/><Relationship Id="rId59" Type="http://schemas.openxmlformats.org/officeDocument/2006/relationships/hyperlink" Target="https://wmsc.lcsc.com/wmsc/upload/file/pdf/v2/lcsc/2112031830_FOSAN-BAT54A_C2926172.pdf" TargetMode="External"/><Relationship Id="rId60" Type="http://schemas.openxmlformats.org/officeDocument/2006/relationships/hyperlink" Target="https://jlcpcb.com/partdetail/C408388" TargetMode="External"/><Relationship Id="rId61" Type="http://schemas.openxmlformats.org/officeDocument/2006/relationships/hyperlink" Target="https://www.lcsc.com/datasheet/lcsc_datasheet_2407101108_MDD-Microdiode-Semiconductor-BAT54C_C408388.pdf" TargetMode="External"/><Relationship Id="rId62" Type="http://schemas.openxmlformats.org/officeDocument/2006/relationships/hyperlink" Target="https://jlcpcb.com/partdetail/C2926174" TargetMode="External"/><Relationship Id="rId63" Type="http://schemas.openxmlformats.org/officeDocument/2006/relationships/hyperlink" Target="https://wmsc.lcsc.com/wmsc/upload/file/pdf/v2/lcsc/2112031830_FOSAN-BAT54S_C2926174.pdf" TargetMode="External"/><Relationship Id="rId64" Type="http://schemas.openxmlformats.org/officeDocument/2006/relationships/hyperlink" Target="https://jlcpcb.com/partdetail/C2500" TargetMode="External"/><Relationship Id="rId65" Type="http://schemas.openxmlformats.org/officeDocument/2006/relationships/hyperlink" Target="https://jlcpcb.com/partdetail/C898949" TargetMode="External"/><Relationship Id="rId66" Type="http://schemas.openxmlformats.org/officeDocument/2006/relationships/hyperlink" Target="https://jlcpcb.com/api/file/downloadByFileSystemAccessId/8588917274006720512" TargetMode="External"/><Relationship Id="rId67" Type="http://schemas.openxmlformats.org/officeDocument/2006/relationships/hyperlink" Target="https://jlcpcb.com/partdetail/C2683482" TargetMode="External"/><Relationship Id="rId68" Type="http://schemas.openxmlformats.org/officeDocument/2006/relationships/hyperlink" Target="https://www.lcsc.com/datasheet/lcsc_datasheet_2403081523_IDCHIP-LM358D_C2683482.pdf" TargetMode="External"/><Relationship Id="rId69" Type="http://schemas.openxmlformats.org/officeDocument/2006/relationships/hyperlink" Target="https://jlcpcb.com/partdetail/C3231480" TargetMode="External"/><Relationship Id="rId70" Type="http://schemas.openxmlformats.org/officeDocument/2006/relationships/hyperlink" Target="https://jlcpcb.com/partdetail/C629440" TargetMode="External"/><Relationship Id="rId71" Type="http://schemas.openxmlformats.org/officeDocument/2006/relationships/hyperlink" Target="https://wmsc.lcsc.com/wmsc/upload/file/pdf/v2/lcsc/2203221230_Microchip-Tech-MCP23017T-E-SO_C629440.pdf" TargetMode="External"/><Relationship Id="rId72" Type="http://schemas.openxmlformats.org/officeDocument/2006/relationships/hyperlink" Target="https://jlcpcb.com/partdetail/C695838" TargetMode="External"/><Relationship Id="rId73" Type="http://schemas.openxmlformats.org/officeDocument/2006/relationships/hyperlink" Target="https://jlcpcb.com/partdetail/C5145392" TargetMode="External"/><Relationship Id="rId74" Type="http://schemas.openxmlformats.org/officeDocument/2006/relationships/hyperlink" Target="https://wmsc.lcsc.com/wmsc/upload/file/pdf/v2/lcsc/2209290930_HANSCHIP-semiconductor-NE556DRG_C5145392.pdf" TargetMode="External"/><Relationship Id="rId75" Type="http://schemas.openxmlformats.org/officeDocument/2006/relationships/hyperlink" Target="https://jlcpcb.com/partdetail/C2678753" TargetMode="External"/><Relationship Id="rId76" Type="http://schemas.openxmlformats.org/officeDocument/2006/relationships/hyperlink" Target="https://www.lcsc.com/datasheet/lcsc_datasheet_2405281434_NXP-Semicon-PCA9685PW-118_C2678753.pdf" TargetMode="External"/><Relationship Id="rId77" Type="http://schemas.openxmlformats.org/officeDocument/2006/relationships/hyperlink" Target="https://jlcpcb.com/partdetail/C6555619" TargetMode="External"/><Relationship Id="rId78" Type="http://schemas.openxmlformats.org/officeDocument/2006/relationships/hyperlink" Target="https://wmsc.lcsc.com/wmsc/upload/file/pdf/v2/lcsc/2312131723_Pulse-Elec-FIS121NL_C6555619.pdf" TargetMode="External"/><Relationship Id="rId79" Type="http://schemas.openxmlformats.org/officeDocument/2006/relationships/hyperlink" Target="https://jlcpcb.com/partdetail/C965807" TargetMode="External"/><Relationship Id="rId80" Type="http://schemas.openxmlformats.org/officeDocument/2006/relationships/hyperlink" Target="https://wmsc.lcsc.com/wmsc/upload/file/pdf/v2/lcsc/2402181505_XINGLIGHT-XL-1608UBC-04_C965807.pdf" TargetMode="External"/><Relationship Id="rId81" Type="http://schemas.openxmlformats.org/officeDocument/2006/relationships/hyperlink" Target="https://jlcpcb.com/partdetail/C965804" TargetMode="External"/><Relationship Id="rId82" Type="http://schemas.openxmlformats.org/officeDocument/2006/relationships/hyperlink" Target="https://wmsc.lcsc.com/wmsc/upload/file/pdf/v2/lcsc/2402181505_XINGLIGHT-XL-1608UGC-04_C965804.pdf" TargetMode="External"/><Relationship Id="rId83" Type="http://schemas.openxmlformats.org/officeDocument/2006/relationships/hyperlink" Target="https://jlcpcb.com/partdetail/C22371303" TargetMode="External"/><Relationship Id="rId84" Type="http://schemas.openxmlformats.org/officeDocument/2006/relationships/hyperlink" Target="https://wmsc.lcsc.com/wmsc/upload/file/pdf/v2/lcsc/2403281522_HONGLITRONIC-Hongli-Zhihui--HONGLITRONIC-HL-PSC-1608S25OC-G4_C22371303.pdf" TargetMode="External"/><Relationship Id="rId85" Type="http://schemas.openxmlformats.org/officeDocument/2006/relationships/hyperlink" Target="https://jlcpcb.com/partdetail/C965800" TargetMode="External"/><Relationship Id="rId86" Type="http://schemas.openxmlformats.org/officeDocument/2006/relationships/hyperlink" Target="https://wmsc.lcsc.com/wmsc/upload/file/pdf/v2/lcsc/2402181505_XINGLIGHT-XL-1608UOC-06_C965800.pdf" TargetMode="External"/><Relationship Id="rId87" Type="http://schemas.openxmlformats.org/officeDocument/2006/relationships/hyperlink" Target="https://jlcpcb.com/partdetail/C965801" TargetMode="External"/><Relationship Id="rId88" Type="http://schemas.openxmlformats.org/officeDocument/2006/relationships/hyperlink" Target="https://wmsc.lcsc.com/wmsc/upload/file/pdf/v2/lcsc/2402181505_XINGLIGHT-XL-1608UOC-06_C965800.pdf" TargetMode="External"/><Relationship Id="rId89" Type="http://schemas.openxmlformats.org/officeDocument/2006/relationships/hyperlink" Target="https://jlcpcb.com/partdetail/C7288939" TargetMode="External"/><Relationship Id="rId90" Type="http://schemas.openxmlformats.org/officeDocument/2006/relationships/hyperlink" Target="https://wmsc.lcsc.com/wmsc/upload/file/pdf/v2/lcsc/2404241146_Inolux-IN-S63ASR_C7288939.pdf" TargetMode="External"/><Relationship Id="rId91" Type="http://schemas.openxmlformats.org/officeDocument/2006/relationships/hyperlink" Target="https://jlcpcb.com/partdetail/C965798" TargetMode="External"/><Relationship Id="rId92" Type="http://schemas.openxmlformats.org/officeDocument/2006/relationships/hyperlink" Target="https://wmsc.lcsc.com/wmsc/upload/file/pdf/v2/lcsc/2402181505_XINGLIGHT-XL-1608SURC-04_C965798.pdf" TargetMode="External"/><Relationship Id="rId93" Type="http://schemas.openxmlformats.org/officeDocument/2006/relationships/hyperlink" Target="https://jlcpcb.com/partdetail/C965799" TargetMode="External"/><Relationship Id="rId94" Type="http://schemas.openxmlformats.org/officeDocument/2006/relationships/hyperlink" Target="https://wmsc.lcsc.com/wmsc/upload/file/pdf/v2/lcsc/2402181505_XINGLIGHT-XL-1608SURC-06_C965799.pdf" TargetMode="External"/><Relationship Id="rId95" Type="http://schemas.openxmlformats.org/officeDocument/2006/relationships/hyperlink" Target="https://jlcpcb.com/partdetail/C7371898" TargetMode="External"/><Relationship Id="rId96" Type="http://schemas.openxmlformats.org/officeDocument/2006/relationships/hyperlink" Target="https://wmsc.lcsc.com/wmsc/upload/file/pdf/v2/lcsc/2402181501_XINGLIGHT-XL-1608UVC-04_C7371898.pdf" TargetMode="External"/><Relationship Id="rId97" Type="http://schemas.openxmlformats.org/officeDocument/2006/relationships/hyperlink" Target="https://jlcpcb.com/partdetail/C965808" TargetMode="External"/><Relationship Id="rId98" Type="http://schemas.openxmlformats.org/officeDocument/2006/relationships/hyperlink" Target="https://wmsc.lcsc.com/wmsc/upload/file/pdf/v2/lcsc/2402181505_XINGLIGHT-XL-1608UWC-04_C965808.pdf" TargetMode="External"/><Relationship Id="rId99" Type="http://schemas.openxmlformats.org/officeDocument/2006/relationships/hyperlink" Target="https://jlcpcb.com/partdetail/C2843785" TargetMode="External"/><Relationship Id="rId100" Type="http://schemas.openxmlformats.org/officeDocument/2006/relationships/hyperlink" Target="https://www.lcsc.com/datasheet/lcsc_datasheet_2404120946_XINGLIGHT-XL-5050RGBC-WS2812B_C2843785.pdf" TargetMode="External"/><Relationship Id="rId101" Type="http://schemas.openxmlformats.org/officeDocument/2006/relationships/hyperlink" Target="https://jlcpcb.com/partdetail/C965803" TargetMode="External"/><Relationship Id="rId102" Type="http://schemas.openxmlformats.org/officeDocument/2006/relationships/hyperlink" Target="https://wmsc.lcsc.com/wmsc/upload/file/pdf/v2/lcsc/2402181505_XINGLIGHT-XL-1608UOC-04_C965801.pdf" TargetMode="External"/><Relationship Id="rId103" Type="http://schemas.openxmlformats.org/officeDocument/2006/relationships/hyperlink" Target="https://jlcpcb.com/partdetail/C965806" TargetMode="External"/><Relationship Id="rId104" Type="http://schemas.openxmlformats.org/officeDocument/2006/relationships/hyperlink" Target="https://wmsc.lcsc.com/wmsc/upload/file/pdf/v2/lcsc/2402181505_XINGLIGHT-XL-1608SYGC-04_C965806.pdf" TargetMode="External"/><Relationship Id="rId105" Type="http://schemas.openxmlformats.org/officeDocument/2006/relationships/hyperlink" Target="https://mischianti.org/wp-content/uploads/2020/11/ESP32-DOIT-DEV-KIT-v1-pinout-mischianti.png" TargetMode="External"/><Relationship Id="rId106" Type="http://schemas.openxmlformats.org/officeDocument/2006/relationships/hyperlink" Target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 TargetMode="External"/><Relationship Id="rId107" Type="http://schemas.openxmlformats.org/officeDocument/2006/relationships/hyperlink" Target="https://jlcpcb.com/partdetail/C7499856" TargetMode="External"/><Relationship Id="rId108" Type="http://schemas.openxmlformats.org/officeDocument/2006/relationships/hyperlink" Target="https://wmsc.lcsc.com/wmsc/upload/file/pdf/v2/lcsc/2310251707_HL-2301V_C7499856.pdf" TargetMode="External"/><Relationship Id="rId109" Type="http://schemas.openxmlformats.org/officeDocument/2006/relationships/hyperlink" Target="https://jlcpcb.com/partdetail/C5224215" TargetMode="External"/><Relationship Id="rId110" Type="http://schemas.openxmlformats.org/officeDocument/2006/relationships/hyperlink" Target="https://wmsc.lcsc.com/wmsc/upload/file/pdf/v2/lcsc/2210271630_ElecSuper-2N7002_C5224215.pdf" TargetMode="External"/><Relationship Id="rId111" Type="http://schemas.openxmlformats.org/officeDocument/2006/relationships/hyperlink" Target="https://jlcpcb.com/partdetail/C2944309" TargetMode="External"/><Relationship Id="rId112" Type="http://schemas.openxmlformats.org/officeDocument/2006/relationships/hyperlink" Target="https://jlcpcb.com/partdetail/C5184433" TargetMode="External"/><Relationship Id="rId113" Type="http://schemas.openxmlformats.org/officeDocument/2006/relationships/hyperlink" Target="https://wmsc.lcsc.com/wmsc/upload/file/pdf/v2/lcsc/2303091430_HXY-MOSFET-BC807-40_C5184433.pdf" TargetMode="External"/><Relationship Id="rId114" Type="http://schemas.openxmlformats.org/officeDocument/2006/relationships/hyperlink" Target="https://jlcpcb.com/partdetail/C5224269" TargetMode="External"/><Relationship Id="rId115" Type="http://schemas.openxmlformats.org/officeDocument/2006/relationships/hyperlink" Target="https://wmsc.lcsc.com/wmsc/upload/file/pdf/v2/lcsc/2301091730_ElecSuper-BSS138P_C5224269.pdf" TargetMode="External"/><Relationship Id="rId116" Type="http://schemas.openxmlformats.org/officeDocument/2006/relationships/hyperlink" Target="https://jlcpcb.com/partdetail/C878901" TargetMode="External"/><Relationship Id="rId117" Type="http://schemas.openxmlformats.org/officeDocument/2006/relationships/hyperlink" Target="https://www.diodes.com/assets/Datasheets/ds31773.pdf" TargetMode="External"/><Relationship Id="rId118" Type="http://schemas.openxmlformats.org/officeDocument/2006/relationships/hyperlink" Target="https://jlcpcb.com/partdetail/C5184404" TargetMode="External"/><Relationship Id="rId119" Type="http://schemas.openxmlformats.org/officeDocument/2006/relationships/hyperlink" Target="https://wmsc.lcsc.com/wmsc/upload/file/pdf/v2/lcsc/2407151447_HXY-MOSFET-MMBT3904_C5184404.pdf" TargetMode="External"/><Relationship Id="rId120" Type="http://schemas.openxmlformats.org/officeDocument/2006/relationships/hyperlink" Target="https://jlcpcb.com/partdetail/C347278" TargetMode="External"/><Relationship Id="rId121" Type="http://schemas.openxmlformats.org/officeDocument/2006/relationships/hyperlink" Target="https://www.lcsc.com/datasheet/C347278.pdf?spm=wm.sxq.inf.ggs&amp;lcsc_vid=TlhaVVxSFQRdBQZVQVQPVAdWFABYBlFeRFMKUQcARlMxVlNRQ1hWVlFTTllbUDsOAxUeFF5JWBYZEEoKFBINSQcJGk4dAgUUFAk=" TargetMode="External"/><Relationship Id="rId122" Type="http://schemas.openxmlformats.org/officeDocument/2006/relationships/hyperlink" Target="https://jlcpcb.com/partdetail/C5345982" TargetMode="External"/><Relationship Id="rId123" Type="http://schemas.openxmlformats.org/officeDocument/2006/relationships/hyperlink" Target="https://wmsc.lcsc.com/wmsc/upload/file/pdf/v2/lcsc/2301120930_HXY-MOSFET-AMS1117-3-3_C5345982.pdf" TargetMode="External"/><Relationship Id="rId124" Type="http://schemas.openxmlformats.org/officeDocument/2006/relationships/hyperlink" Target="https://jlcpcb.com/partdetail/C5345984" TargetMode="External"/><Relationship Id="rId125" Type="http://schemas.openxmlformats.org/officeDocument/2006/relationships/hyperlink" Target="https://wmsc.lcsc.com/wmsc/upload/file/pdf/v2/lcsc/2301120930_HXY-MOSFET-AMS1117-5-0_C5345984.pdf" TargetMode="External"/><Relationship Id="rId126" Type="http://schemas.openxmlformats.org/officeDocument/2006/relationships/hyperlink" Target="https://jlcpcb.com/partdetail/C5345985" TargetMode="External"/><Relationship Id="rId127" Type="http://schemas.openxmlformats.org/officeDocument/2006/relationships/hyperlink" Target="https://wmsc.lcsc.com/wmsc/upload/file/pdf/v2/lcsc/2301120930_HXY-MOSFET-AMS1117-ADJ_C5345985.pdf" TargetMode="External"/><Relationship Id="rId128" Type="http://schemas.openxmlformats.org/officeDocument/2006/relationships/hyperlink" Target="https://jlcpcb.com/partdetail/C15458" TargetMode="External"/><Relationship Id="rId129" Type="http://schemas.openxmlformats.org/officeDocument/2006/relationships/hyperlink" Target="https://www.lcsc.com/datasheet/lcsc_datasheet_2206010216_UNI-ROYAL-Uniroyal-Elec-0603WAJ0104T5E_C15458.pdf" TargetMode="External"/><Relationship Id="rId130" Type="http://schemas.openxmlformats.org/officeDocument/2006/relationships/hyperlink" Target="https://jlcpcb.com/partdetail/C15401" TargetMode="External"/><Relationship Id="rId131" Type="http://schemas.openxmlformats.org/officeDocument/2006/relationships/hyperlink" Target="https://www.lcsc.com/datasheet/lcsc_datasheet_2206010216_UNI-ROYAL-Uniroyal-Elec-0603WAJ0103T5E_C15401.pdf" TargetMode="External"/><Relationship Id="rId132" Type="http://schemas.openxmlformats.org/officeDocument/2006/relationships/hyperlink" Target="https://jlcpcb.com/partdetail/C2930027" TargetMode="External"/><Relationship Id="rId133" Type="http://schemas.openxmlformats.org/officeDocument/2006/relationships/hyperlink" Target="https://wmsc.lcsc.com/wmsc/upload/file/pdf/v2/lcsc/2308241009_FOJAN-FRC0603J103TS_C2930027.pdf" TargetMode="External"/><Relationship Id="rId134" Type="http://schemas.openxmlformats.org/officeDocument/2006/relationships/hyperlink" Target="https://jlcpcb.com/partdetail/C4118381" TargetMode="External"/><Relationship Id="rId135" Type="http://schemas.openxmlformats.org/officeDocument/2006/relationships/hyperlink" Target="https://wmsc.lcsc.com/wmsc/upload/file/pdf/v2/lcsc/2404101024_YAGEO-RC0603JR-1310KL_C4118381.pdf" TargetMode="External"/><Relationship Id="rId136" Type="http://schemas.openxmlformats.org/officeDocument/2006/relationships/hyperlink" Target="https://jlcpcb.com/partdetail/C25577" TargetMode="External"/><Relationship Id="rId137" Type="http://schemas.openxmlformats.org/officeDocument/2006/relationships/hyperlink" Target="https://www.lcsc.com/datasheet/lcsc_datasheet_2205311900_UNI-ROYAL-Uniroyal-Elec-0603WAJ0123T5E_C25577.pdf" TargetMode="External"/><Relationship Id="rId138" Type="http://schemas.openxmlformats.org/officeDocument/2006/relationships/hyperlink" Target="https://jlcpcb.com/partdetail/C25585" TargetMode="External"/><Relationship Id="rId139" Type="http://schemas.openxmlformats.org/officeDocument/2006/relationships/hyperlink" Target="https://www.lcsc.com/datasheet/lcsc_datasheet_2206010100_UNI-ROYAL-Uniroyal-Elec-0603WAJ0102T5E_C25585.pdf" TargetMode="External"/><Relationship Id="rId140" Type="http://schemas.openxmlformats.org/officeDocument/2006/relationships/hyperlink" Target="https://jlcpcb.com/partdetail/C22935" TargetMode="External"/><Relationship Id="rId141" Type="http://schemas.openxmlformats.org/officeDocument/2006/relationships/hyperlink" Target="https://www.lcsc.com/datasheet/lcsc_datasheet_2206010130_UNI-ROYAL-Uniroyal-Elec-0603WAF1004T5E_C22935.pdf" TargetMode="External"/><Relationship Id="rId142" Type="http://schemas.openxmlformats.org/officeDocument/2006/relationships/hyperlink" Target="https://jlcpcb.com/partdetail/C26098" TargetMode="External"/><Relationship Id="rId143" Type="http://schemas.openxmlformats.org/officeDocument/2006/relationships/hyperlink" Target="https://www.lcsc.com/datasheet/lcsc_datasheet_2206010030_UNI-ROYAL-Uniroyal-Elec-0603WAJ0105T5E_C26098.pdf" TargetMode="External"/><Relationship Id="rId144" Type="http://schemas.openxmlformats.org/officeDocument/2006/relationships/hyperlink" Target="https://jlcpcb.com/partdetail/C25992" TargetMode="External"/><Relationship Id="rId145" Type="http://schemas.openxmlformats.org/officeDocument/2006/relationships/hyperlink" Target="https://www.lcsc.com/datasheet/lcsc_datasheet_2206010045_UNI-ROYAL-Uniroyal-Elec-0603WAJ0222T5E_C25992.pdf" TargetMode="External"/><Relationship Id="rId146" Type="http://schemas.openxmlformats.org/officeDocument/2006/relationships/hyperlink" Target="https://jlcpcb.com/partdetail/C18679" TargetMode="External"/><Relationship Id="rId147" Type="http://schemas.openxmlformats.org/officeDocument/2006/relationships/hyperlink" Target="https://www.lcsc.com/datasheet/lcsc_datasheet_2206010145_UNI-ROYAL-Uniroyal-Elec-0603WAJ0225T5E_C18679.pdf" TargetMode="External"/><Relationship Id="rId148" Type="http://schemas.openxmlformats.org/officeDocument/2006/relationships/hyperlink" Target="https://jlcpcb.com/partdetail/C18679" TargetMode="External"/><Relationship Id="rId149" Type="http://schemas.openxmlformats.org/officeDocument/2006/relationships/hyperlink" Target="https://www.lcsc.com/datasheet/lcsc_datasheet_2206010145_UNI-ROYAL-Uniroyal-Elec-0603WAJ0225T5E_C18679.pdf" TargetMode="External"/><Relationship Id="rId150" Type="http://schemas.openxmlformats.org/officeDocument/2006/relationships/hyperlink" Target="https://jlcpcb.com/partdetail/C403986" TargetMode="External"/><Relationship Id="rId151" Type="http://schemas.openxmlformats.org/officeDocument/2006/relationships/hyperlink" Target="https://wmsc.lcsc.com/wmsc/upload/file/pdf/v2/lcsc/2304140030_FH--Guangdong-Fenghua-Advanced-Tech-RS-03L225JJT_C403986.pdf" TargetMode="External"/><Relationship Id="rId152" Type="http://schemas.openxmlformats.org/officeDocument/2006/relationships/hyperlink" Target="https://jlcpcb.com/partdetail/C2907123" TargetMode="External"/><Relationship Id="rId153" Type="http://schemas.openxmlformats.org/officeDocument/2006/relationships/hyperlink" Target="https://wmsc.lcsc.com/wmsc/upload/file/pdf/v2/lcsc/2308241947_FOJAN-FRC0603J201-TS_C2907123.pdf" TargetMode="External"/><Relationship Id="rId154" Type="http://schemas.openxmlformats.org/officeDocument/2006/relationships/hyperlink" Target="https://jlcpcb.com/partdetail/C1226" TargetMode="External"/><Relationship Id="rId155" Type="http://schemas.openxmlformats.org/officeDocument/2006/relationships/hyperlink" Target="https://www.lcsc.com/datasheet/lcsc_datasheet_2206010230_UNI-ROYAL-Uniroyal-Elec-0603WAJ0221T5E_C1226.pdf" TargetMode="External"/><Relationship Id="rId156" Type="http://schemas.openxmlformats.org/officeDocument/2006/relationships/hyperlink" Target="https://jlcpcb.com/partdetail/C5842375" TargetMode="External"/><Relationship Id="rId157" Type="http://schemas.openxmlformats.org/officeDocument/2006/relationships/hyperlink" Target="https://wmsc.lcsc.com/wmsc/upload/file/pdf/v2/lcsc/2312030915_YAGEO-RC0603FR-13220RL_C5842375.pdf" TargetMode="External"/><Relationship Id="rId158" Type="http://schemas.openxmlformats.org/officeDocument/2006/relationships/hyperlink" Target="https://jlcpcb.com/partdetail/C23344" TargetMode="External"/><Relationship Id="rId159" Type="http://schemas.openxmlformats.org/officeDocument/2006/relationships/hyperlink" Target="https://www.lcsc.com/datasheet/lcsc_datasheet_2206010100_UNI-ROYAL-Uniroyal-Elec-0603WAJ0223T5E_C23344.pdf" TargetMode="External"/><Relationship Id="rId160" Type="http://schemas.openxmlformats.org/officeDocument/2006/relationships/hyperlink" Target="https://jlcpcb.com/partdetail/C25995" TargetMode="External"/><Relationship Id="rId161" Type="http://schemas.openxmlformats.org/officeDocument/2006/relationships/hyperlink" Target="https://www.lcsc.com/datasheet/lcsc_datasheet_2206010045_UNI-ROYAL-Uniroyal-Elec-0603WAJ0332T5E_C25995.pdf" TargetMode="External"/><Relationship Id="rId162" Type="http://schemas.openxmlformats.org/officeDocument/2006/relationships/hyperlink" Target="https://jlcpcb.com/partdetail/C2907023" TargetMode="External"/><Relationship Id="rId163" Type="http://schemas.openxmlformats.org/officeDocument/2006/relationships/hyperlink" Target="https://wmsc.lcsc.com/wmsc/upload/file/pdf/v2/lcsc/2308241947_FOJAN-FRC0603F3301TS_C2907023.pdf" TargetMode="External"/><Relationship Id="rId164" Type="http://schemas.openxmlformats.org/officeDocument/2006/relationships/hyperlink" Target="https://jlcpcb.com/partdetail/C25231" TargetMode="External"/><Relationship Id="rId165" Type="http://schemas.openxmlformats.org/officeDocument/2006/relationships/hyperlink" Target="https://www.lcsc.com/datasheet/lcsc_datasheet_2205311845_UNI-ROYAL-Uniroyal-Elec-0603WAJ0331T5E_C25231.pdf" TargetMode="External"/><Relationship Id="rId166" Type="http://schemas.openxmlformats.org/officeDocument/2006/relationships/hyperlink" Target="https://jlcpcb.com/partdetail/C25999" TargetMode="External"/><Relationship Id="rId167" Type="http://schemas.openxmlformats.org/officeDocument/2006/relationships/hyperlink" Target="https://www.lcsc.com/datasheet/lcsc_datasheet_2206010045_UNI-ROYAL-Uniroyal-Elec-0603WAJ0472T5E_C25999.pdf" TargetMode="External"/><Relationship Id="rId168" Type="http://schemas.openxmlformats.org/officeDocument/2006/relationships/hyperlink" Target="https://jlcpcb.com/partdetail/C25241" TargetMode="External"/><Relationship Id="rId169" Type="http://schemas.openxmlformats.org/officeDocument/2006/relationships/hyperlink" Target="https://www.lcsc.com/datasheet/lcsc_datasheet_2205311845_UNI-ROYAL-Uniroyal-Elec-0603WAJ0471T5E_C25241.pdf" TargetMode="External"/><Relationship Id="rId170" Type="http://schemas.openxmlformats.org/officeDocument/2006/relationships/hyperlink" Target="https://jlcpcb.com/partdetail/C26001" TargetMode="External"/><Relationship Id="rId171" Type="http://schemas.openxmlformats.org/officeDocument/2006/relationships/hyperlink" Target="https://www.lcsc.com/datasheet/lcsc_datasheet_2206010045_UNI-ROYAL-Uniroyal-Elec-0603WAJ0562T5E_C26001.pdf" TargetMode="External"/><Relationship Id="rId172" Type="http://schemas.openxmlformats.org/officeDocument/2006/relationships/hyperlink" Target="https://jlcpcb.com/partdetail/C1525253" TargetMode="External"/><Relationship Id="rId173" Type="http://schemas.openxmlformats.org/officeDocument/2006/relationships/hyperlink" Target="https://jlcpcb.com/api/file/downloadByFileSystemAccessId/8589033743424368640" TargetMode="External"/><Relationship Id="rId174" Type="http://schemas.openxmlformats.org/officeDocument/2006/relationships/hyperlink" Target="https://omronfs.omron.com/en_US/ecb/products/pdf/en-g2rl.pdf" TargetMode="External"/><Relationship Id="rId175" Type="http://schemas.openxmlformats.org/officeDocument/2006/relationships/hyperlink" Target="https://jlcpcb.com/partdetail/C5340138" TargetMode="External"/><Relationship Id="rId176" Type="http://schemas.openxmlformats.org/officeDocument/2006/relationships/hyperlink" Target="https://wmsc.lcsc.com/wmsc/upload/file/pdf/v2/lcsc/2212291730_hanxia-HX-TS666CJ-250gf-009_C5340138.pdf" TargetMode="External"/><Relationship Id="rId177" Type="http://schemas.openxmlformats.org/officeDocument/2006/relationships/hyperlink" Target="https://jlcpcb.com/partdetail/C5340123" TargetMode="External"/><Relationship Id="rId178" Type="http://schemas.openxmlformats.org/officeDocument/2006/relationships/hyperlink" Target="https://wmsc.lcsc.com/wmsc/upload/file/pdf/v2/lcsc/2212271430_hanxia-HX-TS666TP-250gf-009_C5340123.pdf" TargetMode="External"/><Relationship Id="rId179" Type="http://schemas.openxmlformats.org/officeDocument/2006/relationships/hyperlink" Target="https://jlcpcb.com/partdetail/C840579" TargetMode="External"/><Relationship Id="rId180" Type="http://schemas.openxmlformats.org/officeDocument/2006/relationships/hyperlink" Target="https://wmsc.lcsc.com/wmsc/upload/file/pdf/v2/lcsc/2311231642_ECE-EDG104S33_C840579.pdf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B3:AK136"/>
  <sheetViews>
    <sheetView workbookViewId="0" showGridLines="0" defaultGridColor="1">
      <pane topLeftCell="A4" xSplit="0" ySplit="3" activePane="bottomLeft" state="frozen"/>
    </sheetView>
  </sheetViews>
  <sheetFormatPr defaultColWidth="16.6667" defaultRowHeight="19.9" customHeight="1" outlineLevelRow="0" outlineLevelCol="0"/>
  <cols>
    <col min="1" max="1" width="13.0625" style="1" customWidth="1"/>
    <col min="2" max="2" width="11.9766" style="1" customWidth="1"/>
    <col min="3" max="3" width="36.4141" style="1" customWidth="1"/>
    <col min="4" max="4" width="41.3906" style="1" customWidth="1"/>
    <col min="5" max="5" width="38.6719" style="1" customWidth="1"/>
    <col min="6" max="6" width="13.9453" style="1" customWidth="1"/>
    <col min="7" max="7" width="17.1328" style="1" customWidth="1"/>
    <col min="8" max="8" width="13.9453" style="1" customWidth="1"/>
    <col min="9" max="9" width="5.07812" style="1" customWidth="1"/>
    <col min="10" max="11" width="18.5547" style="1" customWidth="1"/>
    <col min="12" max="12" width="5.40625" style="1" customWidth="1"/>
    <col min="13" max="13" width="26.6797" style="1" customWidth="1"/>
    <col min="14" max="14" width="102.211" style="1" customWidth="1"/>
    <col min="15" max="15" width="10.2266" style="1" customWidth="1"/>
    <col min="16" max="16" width="11.2266" style="1" customWidth="1"/>
    <col min="17" max="17" width="10.5781" style="1" customWidth="1"/>
    <col min="18" max="18" width="14.0781" style="1" customWidth="1"/>
    <col min="19" max="19" width="10.0703" style="1" customWidth="1"/>
    <col min="20" max="20" width="7.70312" style="1" customWidth="1"/>
    <col min="21" max="21" width="10.3672" style="1" customWidth="1"/>
    <col min="22" max="22" width="12.4062" style="1" customWidth="1"/>
    <col min="23" max="23" width="7.70312" style="1" customWidth="1"/>
    <col min="24" max="24" width="5.9375" style="1" customWidth="1"/>
    <col min="25" max="25" width="5.86719" style="1" customWidth="1"/>
    <col min="26" max="26" width="6.22656" style="1" customWidth="1"/>
    <col min="27" max="27" width="10.6953" style="1" customWidth="1"/>
    <col min="28" max="28" width="8.54688" style="1" customWidth="1"/>
    <col min="29" max="29" width="11.3359" style="1" customWidth="1"/>
    <col min="30" max="30" width="30.0781" style="1" customWidth="1"/>
    <col min="31" max="31" width="39.5312" style="1" customWidth="1"/>
    <col min="32" max="34" width="16.6719" style="1" customWidth="1"/>
    <col min="35" max="35" width="24.6953" style="1" customWidth="1"/>
    <col min="36" max="36" width="37.9375" style="1" customWidth="1"/>
    <col min="37" max="37" width="204.914" style="1" customWidth="1"/>
    <col min="38" max="16384" width="16.6719" style="1" customWidth="1"/>
  </cols>
  <sheetData>
    <row r="1" ht="53.75" customHeight="1"/>
    <row r="2" ht="48.3" customHeight="1">
      <c r="B2" t="s" s="2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ht="20.55" customHeight="1">
      <c r="B3" t="s" s="3">
        <v>1</v>
      </c>
      <c r="C3" t="s" s="3">
        <v>2</v>
      </c>
      <c r="D3" t="s" s="3">
        <v>3</v>
      </c>
      <c r="E3" t="s" s="3">
        <v>4</v>
      </c>
      <c r="F3" t="s" s="3">
        <v>5</v>
      </c>
      <c r="G3" t="s" s="3">
        <v>6</v>
      </c>
      <c r="H3" t="s" s="4">
        <v>7</v>
      </c>
      <c r="I3" t="s" s="3">
        <v>8</v>
      </c>
      <c r="J3" t="s" s="3">
        <v>9</v>
      </c>
      <c r="K3" t="s" s="3">
        <v>10</v>
      </c>
      <c r="L3" t="s" s="3">
        <v>11</v>
      </c>
      <c r="M3" t="s" s="3">
        <v>12</v>
      </c>
      <c r="N3" t="s" s="3">
        <v>13</v>
      </c>
      <c r="O3" t="s" s="3">
        <v>14</v>
      </c>
      <c r="P3" t="s" s="3">
        <v>15</v>
      </c>
      <c r="Q3" t="s" s="3">
        <v>16</v>
      </c>
      <c r="R3" t="s" s="3">
        <v>17</v>
      </c>
      <c r="S3" t="s" s="3">
        <v>18</v>
      </c>
      <c r="T3" t="s" s="3">
        <v>19</v>
      </c>
      <c r="U3" t="s" s="3">
        <v>20</v>
      </c>
      <c r="V3" t="s" s="3">
        <v>21</v>
      </c>
      <c r="W3" t="s" s="3">
        <v>22</v>
      </c>
      <c r="X3" t="s" s="3">
        <v>23</v>
      </c>
      <c r="Y3" t="s" s="3">
        <v>24</v>
      </c>
      <c r="Z3" t="s" s="3">
        <v>25</v>
      </c>
      <c r="AA3" t="s" s="3">
        <v>26</v>
      </c>
      <c r="AB3" t="s" s="3">
        <v>27</v>
      </c>
      <c r="AC3" t="s" s="3">
        <v>28</v>
      </c>
      <c r="AD3" t="s" s="3">
        <v>29</v>
      </c>
      <c r="AE3" t="s" s="3">
        <v>30</v>
      </c>
      <c r="AF3" t="s" s="3">
        <v>31</v>
      </c>
      <c r="AG3" t="s" s="3">
        <v>32</v>
      </c>
      <c r="AH3" t="s" s="3">
        <v>33</v>
      </c>
      <c r="AI3" t="s" s="3">
        <v>34</v>
      </c>
      <c r="AJ3" t="s" s="3">
        <v>35</v>
      </c>
      <c r="AK3" t="s" s="3">
        <v>36</v>
      </c>
    </row>
    <row r="4" ht="20.8" customHeight="1">
      <c r="B4" t="s" s="5">
        <v>37</v>
      </c>
      <c r="C4" t="str" s="6" cm="1">
        <f t="array" ref="C4">B4&amp;"_"&amp;G4&amp;"_"&amp;M4&amp;"_"&amp;R4&amp;"_"&amp;W4</f>
        <v>CAP_0.01uF_X7R_0603_50V</v>
      </c>
      <c r="D4" t="str" s="7" cm="1">
        <f t="array" ref="D4">$G4&amp;IF($B4="LED"," LED","")&amp;IF($V4="",""," ")&amp;$V4&amp;IF($M4="",""," ")&amp;$M4&amp;IF($W4="",""," ")&amp;$W4&amp;IF($X4="",""," ")&amp;$X4&amp;IF($Y4="",""," ")&amp;$Y4&amp;IF($AB4="",""," ")&amp;$AB4&amp;IF($AB4="","","mcd")</f>
        <v>0.01uF 10% X7R 50V</v>
      </c>
      <c r="E4" t="str" s="7" cm="1">
        <f t="array" ref="E4">$G4&amp;" "&amp;B4&amp;IF($V4="",""," ")&amp;$V4&amp;IF($M4="",""," ")&amp;$M4&amp;IF($W4="",""," ")&amp;$W4&amp;IF($X4="",""," ")&amp;$X4&amp;IF($Y4="",""," ")&amp;$Y4&amp;IF($AB4="",""," ")&amp;$AB4&amp;IF($AB4="","","mcd")</f>
        <v>0.01uF CAP 10% X7R 50V</v>
      </c>
      <c r="F4" t="str" s="6" cm="1">
        <f t="array" ref="F4">IF(ISBLANK(AH4),"",IF(AG4="LCSC",HYPERLINK("https://jlcpcb.com/partdetail/"&amp;$AH4,$AH4),IF(AG4="Mouser",$AH4,$AH4)))</f>
        <v>C100042</v>
      </c>
      <c r="G4" t="str" s="6" cm="1">
        <f t="array" ref="G4">P4</f>
        <v>0.01uF</v>
      </c>
      <c r="H4" s="8">
        <v>3</v>
      </c>
      <c r="I4" s="5"/>
      <c r="J4" s="5"/>
      <c r="K4" s="5"/>
      <c r="L4" t="s" s="5">
        <v>11</v>
      </c>
      <c r="M4" t="s" s="5">
        <v>43</v>
      </c>
      <c r="N4" t="s" s="5">
        <v>44</v>
      </c>
      <c r="O4" s="5"/>
      <c r="P4" t="s" s="5">
        <v>42</v>
      </c>
      <c r="Q4" s="5"/>
      <c r="R4" t="s" s="5">
        <v>45</v>
      </c>
      <c r="S4" s="5"/>
      <c r="T4" s="5"/>
      <c r="U4" s="5"/>
      <c r="V4" t="s" s="5">
        <v>46</v>
      </c>
      <c r="W4" t="s" s="5">
        <v>47</v>
      </c>
      <c r="X4" s="5"/>
      <c r="Y4" s="5"/>
      <c r="Z4" s="5"/>
      <c r="AA4" s="5"/>
      <c r="AB4" s="5"/>
      <c r="AC4" s="5"/>
      <c r="AD4" t="s" s="5">
        <v>48</v>
      </c>
      <c r="AE4" t="s" s="5">
        <v>49</v>
      </c>
      <c r="AF4" s="9"/>
      <c r="AG4" t="s" s="5">
        <v>50</v>
      </c>
      <c r="AH4" t="s" s="5">
        <v>51</v>
      </c>
      <c r="AI4" t="s" s="5">
        <v>52</v>
      </c>
      <c r="AJ4" t="s" s="5">
        <v>53</v>
      </c>
      <c r="AK4" t="s" s="5">
        <v>54</v>
      </c>
    </row>
    <row r="5" ht="18.9" customHeight="1">
      <c r="B5" t="s" s="10">
        <v>37</v>
      </c>
      <c r="C5" t="str" s="11" cm="1">
        <f t="array" ref="C5">B5&amp;"_"&amp;G5&amp;"_"&amp;M5&amp;"_"&amp;R5&amp;"_"&amp;W5</f>
        <v>CAP_0.01uF_X7R_0603_25V</v>
      </c>
      <c r="D5" t="str" s="12" cm="1">
        <f t="array" ref="D5">$G5&amp;IF($B5="LED"," LED","")&amp;IF($V5="",""," ")&amp;$V5&amp;IF($M5="",""," ")&amp;$M5&amp;IF($W5="",""," ")&amp;$W5&amp;IF($X5="",""," ")&amp;$X5&amp;IF($Y5="",""," ")&amp;$Y5&amp;IF($AB5="",""," ")&amp;$AB5&amp;IF($AB5="","","mcd")</f>
        <v>0.01uF 10% X7R 25V</v>
      </c>
      <c r="E5" t="str" s="12" cm="1">
        <f t="array" ref="E5">$G5&amp;" "&amp;B5&amp;IF($V5="",""," ")&amp;$V5&amp;IF($M5="",""," ")&amp;$M5&amp;IF($W5="",""," ")&amp;$W5&amp;IF($X5="",""," ")&amp;$X5&amp;IF($Y5="",""," ")&amp;$Y5&amp;IF($AB5="",""," ")&amp;$AB5&amp;IF($AB5="","","mcd")</f>
        <v>0.01uF CAP 10% X7R 25V</v>
      </c>
      <c r="F5" t="str" s="11" cm="1">
        <f t="array" ref="F5">IF(ISBLANK(AH5),"",IF(AG5="LCSC",HYPERLINK("https://jlcpcb.com/partdetail/"&amp;$AH5,$AH5),IF(AG5="Mouser",$AH5,$AH5)))</f>
        <v>C1852832</v>
      </c>
      <c r="G5" t="str" s="11" cm="1">
        <f t="array" ref="G5">P5</f>
        <v>0.01uF</v>
      </c>
      <c r="H5" s="13">
        <v>1</v>
      </c>
      <c r="I5" s="10"/>
      <c r="J5" s="10"/>
      <c r="K5" s="10"/>
      <c r="L5" t="s" s="10">
        <v>11</v>
      </c>
      <c r="M5" t="s" s="10">
        <v>43</v>
      </c>
      <c r="N5" t="s" s="10">
        <v>59</v>
      </c>
      <c r="O5" s="10"/>
      <c r="P5" t="s" s="10">
        <v>42</v>
      </c>
      <c r="Q5" s="10"/>
      <c r="R5" t="s" s="10">
        <v>45</v>
      </c>
      <c r="S5" s="10"/>
      <c r="T5" s="10"/>
      <c r="U5" s="10"/>
      <c r="V5" t="s" s="10">
        <v>46</v>
      </c>
      <c r="W5" t="s" s="10">
        <v>60</v>
      </c>
      <c r="X5" s="10"/>
      <c r="Y5" s="10"/>
      <c r="Z5" s="10"/>
      <c r="AA5" s="10"/>
      <c r="AB5" s="10"/>
      <c r="AC5" s="10"/>
      <c r="AD5" t="s" s="10">
        <v>48</v>
      </c>
      <c r="AE5" t="s" s="10">
        <v>49</v>
      </c>
      <c r="AF5" t="s" s="10">
        <v>61</v>
      </c>
      <c r="AG5" t="s" s="10">
        <v>50</v>
      </c>
      <c r="AH5" t="s" s="10">
        <v>62</v>
      </c>
      <c r="AI5" t="s" s="10">
        <v>52</v>
      </c>
      <c r="AJ5" t="s" s="10">
        <v>63</v>
      </c>
      <c r="AK5" t="s" s="10">
        <v>64</v>
      </c>
    </row>
    <row r="6" ht="18.9" customHeight="1">
      <c r="B6" t="s" s="10">
        <v>37</v>
      </c>
      <c r="C6" t="str" s="11" cm="1">
        <f t="array" ref="C6">B6&amp;"_"&amp;G6&amp;"_"&amp;M6&amp;"_"&amp;R6&amp;"_"&amp;W6</f>
        <v>CAP_0.01uF_X5R_0603_50V</v>
      </c>
      <c r="D6" t="str" s="12" cm="1">
        <f t="array" ref="D6">$G6&amp;IF($B6="LED"," LED","")&amp;IF($V6="",""," ")&amp;$V6&amp;IF($M6="",""," ")&amp;$M6&amp;IF($W6="",""," ")&amp;$W6&amp;IF($X6="",""," ")&amp;$X6&amp;IF($Y6="",""," ")&amp;$Y6&amp;IF($AB6="",""," ")&amp;$AB6&amp;IF($AB6="","","mcd")</f>
        <v>0.01uF 10% X5R 50V</v>
      </c>
      <c r="E6" t="str" s="12" cm="1">
        <f t="array" ref="E6">$G6&amp;" "&amp;B6&amp;IF($V6="",""," ")&amp;$V6&amp;IF($M6="",""," ")&amp;$M6&amp;IF($W6="",""," ")&amp;$W6&amp;IF($X6="",""," ")&amp;$X6&amp;IF($Y6="",""," ")&amp;$Y6&amp;IF($AB6="",""," ")&amp;$AB6&amp;IF($AB6="","","mcd")</f>
        <v>0.01uF CAP 10% X5R 50V</v>
      </c>
      <c r="F6" t="str" s="11" cm="1">
        <f t="array" ref="F6">IF(ISBLANK(AH6),"",IF(AG6="LCSC",HYPERLINK("https://jlcpcb.com/partdetail/"&amp;$AH6,$AH6),IF(AG6="Mouser",$AH6,$AH6)))</f>
        <v>C3910010</v>
      </c>
      <c r="G6" t="str" s="11" cm="1">
        <f t="array" ref="G6">P6</f>
        <v>0.01uF</v>
      </c>
      <c r="H6" s="13">
        <v>2</v>
      </c>
      <c r="I6" s="10"/>
      <c r="J6" s="10"/>
      <c r="K6" s="10"/>
      <c r="L6" t="s" s="10">
        <v>11</v>
      </c>
      <c r="M6" t="s" s="10">
        <v>69</v>
      </c>
      <c r="N6" t="s" s="10">
        <v>70</v>
      </c>
      <c r="O6" s="10"/>
      <c r="P6" t="s" s="10">
        <v>42</v>
      </c>
      <c r="Q6" s="10"/>
      <c r="R6" t="s" s="10">
        <v>45</v>
      </c>
      <c r="S6" s="10"/>
      <c r="T6" s="10"/>
      <c r="U6" s="10"/>
      <c r="V6" t="s" s="10">
        <v>46</v>
      </c>
      <c r="W6" t="s" s="10">
        <v>47</v>
      </c>
      <c r="X6" s="10"/>
      <c r="Y6" s="10"/>
      <c r="Z6" s="10"/>
      <c r="AA6" s="10"/>
      <c r="AB6" s="10"/>
      <c r="AC6" s="10"/>
      <c r="AD6" t="s" s="10">
        <v>48</v>
      </c>
      <c r="AE6" t="s" s="10">
        <v>49</v>
      </c>
      <c r="AF6" t="s" s="10">
        <v>61</v>
      </c>
      <c r="AG6" t="s" s="10">
        <v>50</v>
      </c>
      <c r="AH6" t="s" s="10">
        <v>71</v>
      </c>
      <c r="AI6" t="s" s="10">
        <v>72</v>
      </c>
      <c r="AJ6" t="s" s="10">
        <v>73</v>
      </c>
      <c r="AK6" t="s" s="10">
        <v>74</v>
      </c>
    </row>
    <row r="7" ht="17.35" customHeight="1">
      <c r="B7" t="s" s="10">
        <v>37</v>
      </c>
      <c r="C7" t="str" s="11" cm="1">
        <f t="array" ref="C7">B7&amp;"_"&amp;G7&amp;"_"&amp;M7&amp;"_"&amp;R7&amp;"_"&amp;W7</f>
        <v>CAP_0.1uF_X7R_0603_50V</v>
      </c>
      <c r="D7" t="str" s="12" cm="1">
        <f t="array" ref="D7">$G7&amp;IF($B7="LED"," LED","")&amp;IF($V7="",""," ")&amp;$V7&amp;IF($M7="",""," ")&amp;$M7&amp;IF($W7="",""," ")&amp;$W7&amp;IF($X7="",""," ")&amp;$X7&amp;IF($Y7="",""," ")&amp;$Y7&amp;IF($AB7="",""," ")&amp;$AB7&amp;IF($AB7="","","mcd")</f>
        <v>0.1uF 10% X7R 50V</v>
      </c>
      <c r="E7" t="str" s="12" cm="1">
        <f t="array" ref="E7">$G7&amp;" "&amp;B7&amp;IF($V7="",""," ")&amp;$V7&amp;IF($M7="",""," ")&amp;$M7&amp;IF($W7="",""," ")&amp;$W7&amp;IF($X7="",""," ")&amp;$X7&amp;IF($Y7="",""," ")&amp;$Y7&amp;IF($AB7="",""," ")&amp;$AB7&amp;IF($AB7="","","mcd")</f>
        <v>0.1uF CAP 10% X7R 50V</v>
      </c>
      <c r="F7" t="str" s="11" cm="1">
        <f t="array" ref="F7">IF(ISBLANK(AH7),"",IF(AG7="LCSC",HYPERLINK("https://jlcpcb.com/partdetail/"&amp;$AH7,$AH7),IF(AG7="Mouser",$AH7,$AH7)))</f>
        <v>C14663</v>
      </c>
      <c r="G7" t="str" s="11" cm="1">
        <f t="array" ref="G7">P7</f>
        <v>0.1uF</v>
      </c>
      <c r="H7" s="13">
        <v>2</v>
      </c>
      <c r="I7" s="10"/>
      <c r="J7" s="10"/>
      <c r="K7" s="10"/>
      <c r="L7" t="s" s="10">
        <v>11</v>
      </c>
      <c r="M7" t="s" s="10">
        <v>43</v>
      </c>
      <c r="N7" t="s" s="10">
        <v>80</v>
      </c>
      <c r="O7" s="10"/>
      <c r="P7" t="s" s="10">
        <v>79</v>
      </c>
      <c r="Q7" s="10"/>
      <c r="R7" t="s" s="10">
        <v>45</v>
      </c>
      <c r="S7" s="10"/>
      <c r="T7" s="10"/>
      <c r="U7" s="10"/>
      <c r="V7" t="s" s="10">
        <v>46</v>
      </c>
      <c r="W7" t="s" s="10">
        <v>47</v>
      </c>
      <c r="X7" s="10"/>
      <c r="Y7" s="10"/>
      <c r="Z7" s="10"/>
      <c r="AA7" s="10"/>
      <c r="AB7" s="10"/>
      <c r="AC7" s="10"/>
      <c r="AD7" t="s" s="10">
        <v>48</v>
      </c>
      <c r="AE7" t="s" s="10">
        <v>49</v>
      </c>
      <c r="AF7" s="14"/>
      <c r="AG7" t="s" s="10">
        <v>50</v>
      </c>
      <c r="AH7" t="s" s="10">
        <v>81</v>
      </c>
      <c r="AI7" t="s" s="10">
        <v>52</v>
      </c>
      <c r="AJ7" t="s" s="10">
        <v>82</v>
      </c>
      <c r="AK7" t="s" s="10">
        <v>83</v>
      </c>
    </row>
    <row r="8" ht="18.9" customHeight="1">
      <c r="B8" t="s" s="10">
        <v>37</v>
      </c>
      <c r="C8" t="str" s="11" cm="1">
        <f t="array" ref="C8">B8&amp;"_"&amp;G8&amp;"_"&amp;M8&amp;"_"&amp;R8&amp;"_"&amp;W8</f>
        <v>CAP_0.1uF_X5R_0603_25V</v>
      </c>
      <c r="D8" t="str" s="12" cm="1">
        <f t="array" ref="D8">$G8&amp;IF($B8="LED"," LED","")&amp;IF($V8="",""," ")&amp;$V8&amp;IF($M8="",""," ")&amp;$M8&amp;IF($W8="",""," ")&amp;$W8&amp;IF($X8="",""," ")&amp;$X8&amp;IF($Y8="",""," ")&amp;$Y8&amp;IF($AB8="",""," ")&amp;$AB8&amp;IF($AB8="","","mcd")</f>
        <v>0.1uF 10% X5R 25V</v>
      </c>
      <c r="E8" t="str" s="12" cm="1">
        <f t="array" ref="E8">$G8&amp;" "&amp;B8&amp;IF($V8="",""," ")&amp;$V8&amp;IF($M8="",""," ")&amp;$M8&amp;IF($W8="",""," ")&amp;$W8&amp;IF($X8="",""," ")&amp;$X8&amp;IF($Y8="",""," ")&amp;$Y8&amp;IF($AB8="",""," ")&amp;$AB8&amp;IF($AB8="","","mcd")</f>
        <v>0.1uF CAP 10% X5R 25V</v>
      </c>
      <c r="F8" t="str" s="11" cm="1">
        <f t="array" ref="F8">IF(ISBLANK(AH8),"",IF(AG8="LCSC",HYPERLINK("https://jlcpcb.com/partdetail/"&amp;$AH8,$AH8),IF(AG8="Mouser",$AH8,$AH8)))</f>
        <v>C3853265</v>
      </c>
      <c r="G8" t="str" s="11" cm="1">
        <f t="array" ref="G8">P8</f>
        <v>0.1uF</v>
      </c>
      <c r="H8" s="13">
        <v>1</v>
      </c>
      <c r="I8" s="10"/>
      <c r="J8" s="10"/>
      <c r="K8" s="10"/>
      <c r="L8" t="s" s="10">
        <v>11</v>
      </c>
      <c r="M8" t="s" s="10">
        <v>69</v>
      </c>
      <c r="N8" t="s" s="10">
        <v>88</v>
      </c>
      <c r="O8" s="10"/>
      <c r="P8" t="s" s="10">
        <v>79</v>
      </c>
      <c r="Q8" s="10"/>
      <c r="R8" t="s" s="10">
        <v>45</v>
      </c>
      <c r="S8" s="10"/>
      <c r="T8" s="10"/>
      <c r="U8" s="10"/>
      <c r="V8" t="s" s="10">
        <v>46</v>
      </c>
      <c r="W8" t="s" s="10">
        <v>60</v>
      </c>
      <c r="X8" s="10"/>
      <c r="Y8" s="10"/>
      <c r="Z8" s="10"/>
      <c r="AA8" s="10"/>
      <c r="AB8" s="10"/>
      <c r="AC8" s="10"/>
      <c r="AD8" t="s" s="10">
        <v>48</v>
      </c>
      <c r="AE8" t="s" s="10">
        <v>49</v>
      </c>
      <c r="AF8" t="s" s="10">
        <v>61</v>
      </c>
      <c r="AG8" t="s" s="10">
        <v>50</v>
      </c>
      <c r="AH8" t="s" s="10">
        <v>89</v>
      </c>
      <c r="AI8" t="s" s="10">
        <v>72</v>
      </c>
      <c r="AJ8" t="s" s="10">
        <v>90</v>
      </c>
      <c r="AK8" t="s" s="10">
        <v>74</v>
      </c>
    </row>
    <row r="9" ht="19.5" customHeight="1">
      <c r="B9" t="s" s="10">
        <v>37</v>
      </c>
      <c r="C9" t="str" s="11" cm="1">
        <f t="array" ref="C9">B9&amp;"_"&amp;G9&amp;"_"&amp;M9&amp;"_"&amp;R9</f>
        <v>CAP_1000uF_Electrolytic_8x11.5</v>
      </c>
      <c r="D9" t="str" s="12" cm="1">
        <f t="array" ref="D9">$G9&amp;IF($B9="LED"," LED","")&amp;IF($V9="",""," ")&amp;$V9&amp;IF($M9="",""," ")&amp;$M9&amp;IF($W9="",""," ")&amp;$W9&amp;IF($X9="",""," ")&amp;$X9&amp;IF($Y9="",""," ")&amp;$Y9&amp;IF($AB9="",""," ")&amp;$AB9&amp;IF($AB9="","","mcd")</f>
        <v>1000uF 20% Electrolytic 6.3V</v>
      </c>
      <c r="E9" t="str" s="12" cm="1">
        <f t="array" ref="E9">$G9&amp;" "&amp;B9&amp;IF($V9="",""," ")&amp;$V9&amp;IF($M9="",""," ")&amp;$M9&amp;IF($W9="",""," ")&amp;$W9&amp;IF($X9="",""," ")&amp;$X9&amp;IF($Y9="",""," ")&amp;$Y9&amp;IF($AB9="",""," ")&amp;$AB9&amp;IF($AB9="","","mcd")</f>
        <v>1000uF CAP 20% Electrolytic 6.3V</v>
      </c>
      <c r="F9" t="str" s="11" cm="1">
        <f t="array" ref="F9">IF(ISBLANK(AH9),"",IF(AG9="LCSC",HYPERLINK("https://jlcpcb.com/partdetail/"&amp;$AH9,$AH9),IF(AG9="Mouser",$AH9,$AH9)))</f>
        <v>647-UVR0J102MPD1TD</v>
      </c>
      <c r="G9" t="str" s="11" cm="1">
        <f t="array" ref="G9">P9</f>
        <v>1000uF</v>
      </c>
      <c r="H9" s="13">
        <v>2</v>
      </c>
      <c r="I9" s="10"/>
      <c r="J9" s="10"/>
      <c r="K9" s="10"/>
      <c r="L9" t="s" s="10">
        <v>96</v>
      </c>
      <c r="M9" t="s" s="10">
        <v>97</v>
      </c>
      <c r="N9" t="s" s="10">
        <v>98</v>
      </c>
      <c r="O9" s="10"/>
      <c r="P9" t="s" s="10">
        <v>95</v>
      </c>
      <c r="Q9" s="10"/>
      <c r="R9" t="s" s="10">
        <v>99</v>
      </c>
      <c r="S9" s="10"/>
      <c r="T9" s="10"/>
      <c r="U9" s="10"/>
      <c r="V9" t="s" s="10">
        <v>100</v>
      </c>
      <c r="W9" t="s" s="10">
        <v>101</v>
      </c>
      <c r="X9" s="10"/>
      <c r="Y9" s="10"/>
      <c r="Z9" s="10"/>
      <c r="AA9" s="10"/>
      <c r="AB9" s="10"/>
      <c r="AC9" s="10"/>
      <c r="AD9" t="s" s="10">
        <v>102</v>
      </c>
      <c r="AE9" s="14"/>
      <c r="AF9" s="14"/>
      <c r="AG9" t="s" s="10">
        <v>103</v>
      </c>
      <c r="AH9" t="s" s="10">
        <v>94</v>
      </c>
      <c r="AI9" t="s" s="10">
        <v>104</v>
      </c>
      <c r="AJ9" t="s" s="10">
        <v>105</v>
      </c>
      <c r="AK9" t="s" s="10">
        <v>106</v>
      </c>
    </row>
    <row r="10" ht="19.5" customHeight="1">
      <c r="B10" t="s" s="10">
        <v>37</v>
      </c>
      <c r="C10" t="str" s="11" cm="1">
        <f t="array" ref="C10">B10&amp;"_"&amp;G10&amp;"_"&amp;M10&amp;"_"&amp;R10</f>
        <v>CAP_1000uF_Electrolytic_10x10.2</v>
      </c>
      <c r="D10" t="str" s="12" cm="1">
        <f t="array" ref="D10">$G10&amp;IF($B10="LED"," LED","")&amp;IF($V10="",""," ")&amp;$V10&amp;IF($M10="",""," ")&amp;$M10&amp;IF($W10="",""," ")&amp;$W10&amp;IF($X10="",""," ")&amp;$X10&amp;IF($Y10="",""," ")&amp;$Y10&amp;IF($AB10="",""," ")&amp;$AB10&amp;IF($AB10="","","mcd")</f>
        <v>1000uF 20% Electrolytic 16V</v>
      </c>
      <c r="E10" t="str" s="12" cm="1">
        <f t="array" ref="E10">$G10&amp;" "&amp;B10&amp;IF($V10="",""," ")&amp;$V10&amp;IF($M10="",""," ")&amp;$M10&amp;IF($W10="",""," ")&amp;$W10&amp;IF($X10="",""," ")&amp;$X10&amp;IF($Y10="",""," ")&amp;$Y10&amp;IF($AB10="",""," ")&amp;$AB10&amp;IF($AB10="","","mcd")</f>
        <v>1000uF CAP 20% Electrolytic 16V</v>
      </c>
      <c r="F10" t="str" s="11" cm="1">
        <f t="array" ref="F10">IF(ISBLANK(AH10),"",IF(AG10="LCSC",HYPERLINK("https://jlcpcb.com/partdetail/"&amp;$AH10,$AH10),IF(AG10="Mouser",$AH10,$AH10)))</f>
        <v>C970714</v>
      </c>
      <c r="G10" t="str" s="11" cm="1">
        <f t="array" ref="G10">P10</f>
        <v>1000uF</v>
      </c>
      <c r="H10" s="13">
        <v>1</v>
      </c>
      <c r="I10" s="10"/>
      <c r="J10" s="10"/>
      <c r="K10" s="10"/>
      <c r="L10" t="s" s="10">
        <v>11</v>
      </c>
      <c r="M10" t="s" s="10">
        <v>97</v>
      </c>
      <c r="N10" t="s" s="10">
        <v>111</v>
      </c>
      <c r="O10" s="10"/>
      <c r="P10" t="s" s="10">
        <v>95</v>
      </c>
      <c r="Q10" s="10"/>
      <c r="R10" t="s" s="10">
        <v>112</v>
      </c>
      <c r="S10" s="10"/>
      <c r="T10" s="10"/>
      <c r="U10" s="10"/>
      <c r="V10" t="s" s="10">
        <v>100</v>
      </c>
      <c r="W10" t="s" s="10">
        <v>113</v>
      </c>
      <c r="X10" s="10"/>
      <c r="Y10" s="10"/>
      <c r="Z10" s="10"/>
      <c r="AA10" s="10"/>
      <c r="AB10" s="10"/>
      <c r="AC10" s="10"/>
      <c r="AD10" t="s" s="10">
        <v>102</v>
      </c>
      <c r="AE10" t="s" s="10">
        <v>114</v>
      </c>
      <c r="AF10" s="14"/>
      <c r="AG10" t="s" s="10">
        <v>50</v>
      </c>
      <c r="AH10" t="s" s="10">
        <v>115</v>
      </c>
      <c r="AI10" t="s" s="10">
        <v>116</v>
      </c>
      <c r="AJ10" t="s" s="10">
        <v>117</v>
      </c>
      <c r="AK10" t="s" s="10">
        <v>118</v>
      </c>
    </row>
    <row r="11" ht="19.5" customHeight="1">
      <c r="B11" t="s" s="10">
        <v>37</v>
      </c>
      <c r="C11" t="str" s="11" cm="1">
        <f t="array" ref="C11">B11&amp;"_"&amp;G11&amp;"_"&amp;M11&amp;"_"&amp;R11&amp;"_"&amp;W11</f>
        <v>CAP_10uF_X5R_1206_50V</v>
      </c>
      <c r="D11" t="str" s="12" cm="1">
        <f t="array" ref="D11">$G11&amp;IF($B11="LED"," LED","")&amp;IF($V11="",""," ")&amp;$V11&amp;IF($M11="",""," ")&amp;$M11&amp;IF($W11="",""," ")&amp;$W11&amp;IF($X11="",""," ")&amp;$X11&amp;IF($Y11="",""," ")&amp;$Y11&amp;IF($AB11="",""," ")&amp;$AB11&amp;IF($AB11="","","mcd")</f>
        <v>10uF 10% X5R 50V</v>
      </c>
      <c r="E11" t="str" s="12" cm="1">
        <f t="array" ref="E11">$G11&amp;" "&amp;B11&amp;IF($V11="",""," ")&amp;$V11&amp;IF($M11="",""," ")&amp;$M11&amp;IF($W11="",""," ")&amp;$W11&amp;IF($X11="",""," ")&amp;$X11&amp;IF($Y11="",""," ")&amp;$Y11&amp;IF($AB11="",""," ")&amp;$AB11&amp;IF($AB11="","","mcd")</f>
        <v>10uF CAP 10% X5R 50V</v>
      </c>
      <c r="F11" t="str" s="11" cm="1">
        <f t="array" ref="F11">IF(ISBLANK(AH11),"",IF(AG11="LCSC",HYPERLINK("https://jlcpcb.com/partdetail/"&amp;$AH11,$AH11),IF(AG11="Mouser",$AH11,$AH11)))</f>
        <v>C13585</v>
      </c>
      <c r="G11" t="str" s="11" cm="1">
        <f t="array" ref="G11">P11</f>
        <v>10uF</v>
      </c>
      <c r="H11" s="15"/>
      <c r="I11" s="10"/>
      <c r="J11" s="10"/>
      <c r="K11" s="10"/>
      <c r="L11" t="s" s="10">
        <v>11</v>
      </c>
      <c r="M11" t="s" s="10">
        <v>69</v>
      </c>
      <c r="N11" t="s" s="10">
        <v>124</v>
      </c>
      <c r="O11" s="10"/>
      <c r="P11" t="s" s="10">
        <v>123</v>
      </c>
      <c r="Q11" s="10"/>
      <c r="R11" t="s" s="10">
        <v>125</v>
      </c>
      <c r="S11" s="10"/>
      <c r="T11" s="10"/>
      <c r="U11" s="10"/>
      <c r="V11" t="s" s="10">
        <v>46</v>
      </c>
      <c r="W11" t="s" s="10">
        <v>47</v>
      </c>
      <c r="X11" s="10"/>
      <c r="Y11" s="10"/>
      <c r="Z11" s="10"/>
      <c r="AA11" s="10"/>
      <c r="AB11" s="10"/>
      <c r="AC11" s="10"/>
      <c r="AD11" t="s" s="10">
        <v>48</v>
      </c>
      <c r="AE11" t="s" s="10">
        <v>126</v>
      </c>
      <c r="AF11" s="14"/>
      <c r="AG11" t="s" s="10">
        <v>50</v>
      </c>
      <c r="AH11" t="s" s="10">
        <v>127</v>
      </c>
      <c r="AI11" t="s" s="10">
        <v>128</v>
      </c>
      <c r="AJ11" t="s" s="10">
        <v>129</v>
      </c>
      <c r="AK11" t="s" s="10">
        <v>130</v>
      </c>
    </row>
    <row r="12" ht="19.5" customHeight="1">
      <c r="B12" t="s" s="10">
        <v>37</v>
      </c>
      <c r="C12" t="str" s="11" cm="1">
        <f t="array" ref="C12">B12&amp;"_"&amp;G12&amp;"_"&amp;M12&amp;"_"&amp;R12&amp;"_"&amp;W12</f>
        <v>CAP_1uF_X5R_0603_50V</v>
      </c>
      <c r="D12" t="str" s="12" cm="1">
        <f t="array" ref="D12">$G12&amp;IF($B12="LED"," LED","")&amp;IF($V12="",""," ")&amp;$V12&amp;IF($M12="",""," ")&amp;$M12&amp;IF($W12="",""," ")&amp;$W12&amp;IF($X12="",""," ")&amp;$X12&amp;IF($Y12="",""," ")&amp;$Y12&amp;IF($AB12="",""," ")&amp;$AB12&amp;IF($AB12="","","mcd")</f>
        <v>1uF 10% X5R 50V</v>
      </c>
      <c r="E12" t="str" s="12" cm="1">
        <f t="array" ref="E12">$G12&amp;" "&amp;B12&amp;IF($V12="",""," ")&amp;$V12&amp;IF($M12="",""," ")&amp;$M12&amp;IF($W12="",""," ")&amp;$W12&amp;IF($X12="",""," ")&amp;$X12&amp;IF($Y12="",""," ")&amp;$Y12&amp;IF($AB12="",""," ")&amp;$AB12&amp;IF($AB12="","","mcd")</f>
        <v>1uF CAP 10% X5R 50V</v>
      </c>
      <c r="F12" t="str" s="11" cm="1">
        <f t="array" ref="F12">IF(ISBLANK(AH12),"",IF(AG12="LCSC",HYPERLINK("https://jlcpcb.com/partdetail/"&amp;$AH12,$AH12),IF(AG12="Mouser",$AH12,$AH12)))</f>
        <v>C15849</v>
      </c>
      <c r="G12" t="str" s="11" cm="1">
        <f t="array" ref="G12">P12</f>
        <v>1uF</v>
      </c>
      <c r="H12" s="13">
        <v>2</v>
      </c>
      <c r="I12" s="10"/>
      <c r="J12" s="10"/>
      <c r="K12" s="10"/>
      <c r="L12" t="s" s="10">
        <v>11</v>
      </c>
      <c r="M12" t="s" s="10">
        <v>69</v>
      </c>
      <c r="N12" t="s" s="10">
        <v>136</v>
      </c>
      <c r="O12" s="10"/>
      <c r="P12" t="s" s="10">
        <v>135</v>
      </c>
      <c r="Q12" s="10"/>
      <c r="R12" t="s" s="10">
        <v>45</v>
      </c>
      <c r="S12" s="10"/>
      <c r="T12" s="10"/>
      <c r="U12" s="10"/>
      <c r="V12" t="s" s="10">
        <v>46</v>
      </c>
      <c r="W12" t="s" s="10">
        <v>47</v>
      </c>
      <c r="X12" s="10"/>
      <c r="Y12" s="10"/>
      <c r="Z12" s="10"/>
      <c r="AA12" s="10"/>
      <c r="AB12" s="10"/>
      <c r="AC12" s="10"/>
      <c r="AD12" t="s" s="10">
        <v>48</v>
      </c>
      <c r="AE12" t="s" s="10">
        <v>49</v>
      </c>
      <c r="AF12" s="14"/>
      <c r="AG12" t="s" s="10">
        <v>50</v>
      </c>
      <c r="AH12" t="s" s="10">
        <v>137</v>
      </c>
      <c r="AI12" t="s" s="10">
        <v>128</v>
      </c>
      <c r="AJ12" t="s" s="10">
        <v>138</v>
      </c>
      <c r="AK12" t="s" s="10">
        <v>139</v>
      </c>
    </row>
    <row r="13" ht="18.9" customHeight="1">
      <c r="B13" t="s" s="10">
        <v>37</v>
      </c>
      <c r="C13" t="str" s="11" cm="1">
        <f t="array" ref="C13">B13&amp;"_"&amp;G13&amp;"_"&amp;M13&amp;"_"&amp;R13&amp;"_"&amp;W13</f>
        <v>CAP_1uF_X5R_0603_25V</v>
      </c>
      <c r="D13" t="str" s="12" cm="1">
        <f t="array" ref="D13">$G13&amp;IF($B13="LED"," LED","")&amp;IF($V13="",""," ")&amp;$V13&amp;IF($M13="",""," ")&amp;$M13&amp;IF($W13="",""," ")&amp;$W13&amp;IF($X13="",""," ")&amp;$X13&amp;IF($Y13="",""," ")&amp;$Y13&amp;IF($AB13="",""," ")&amp;$AB13&amp;IF($AB13="","","mcd")</f>
        <v>1uF 10% X5R 25V</v>
      </c>
      <c r="E13" t="str" s="12" cm="1">
        <f t="array" ref="E13">$G13&amp;" "&amp;B13&amp;IF($V13="",""," ")&amp;$V13&amp;IF($M13="",""," ")&amp;$M13&amp;IF($W13="",""," ")&amp;$W13&amp;IF($X13="",""," ")&amp;$X13&amp;IF($Y13="",""," ")&amp;$Y13&amp;IF($AB13="",""," ")&amp;$AB13&amp;IF($AB13="","","mcd")</f>
        <v>1uF CAP 10% X5R 25V</v>
      </c>
      <c r="F13" t="str" s="11" cm="1">
        <f t="array" ref="F13">IF(ISBLANK(AH13),"",IF(AG13="LCSC",HYPERLINK("https://jlcpcb.com/partdetail/"&amp;$AH13,$AH13),IF(AG13="Mouser",$AH13,$AH13)))</f>
        <v>C2169859</v>
      </c>
      <c r="G13" t="str" s="11" cm="1">
        <f t="array" ref="G13">P13</f>
        <v>1uF</v>
      </c>
      <c r="H13" s="13">
        <v>1</v>
      </c>
      <c r="I13" s="10"/>
      <c r="J13" s="10"/>
      <c r="K13" s="10"/>
      <c r="L13" t="s" s="10">
        <v>11</v>
      </c>
      <c r="M13" t="s" s="10">
        <v>69</v>
      </c>
      <c r="N13" t="s" s="10">
        <v>144</v>
      </c>
      <c r="O13" s="10"/>
      <c r="P13" t="s" s="10">
        <v>135</v>
      </c>
      <c r="Q13" s="10"/>
      <c r="R13" t="s" s="10">
        <v>45</v>
      </c>
      <c r="S13" s="10"/>
      <c r="T13" s="10"/>
      <c r="U13" s="10"/>
      <c r="V13" t="s" s="10">
        <v>46</v>
      </c>
      <c r="W13" t="s" s="10">
        <v>60</v>
      </c>
      <c r="X13" s="10"/>
      <c r="Y13" s="10"/>
      <c r="Z13" s="10"/>
      <c r="AA13" s="10"/>
      <c r="AB13" s="10"/>
      <c r="AC13" s="10"/>
      <c r="AD13" t="s" s="10">
        <v>48</v>
      </c>
      <c r="AE13" t="s" s="10">
        <v>49</v>
      </c>
      <c r="AF13" t="s" s="10">
        <v>61</v>
      </c>
      <c r="AG13" t="s" s="10">
        <v>50</v>
      </c>
      <c r="AH13" t="s" s="10">
        <v>145</v>
      </c>
      <c r="AI13" t="s" s="10">
        <v>146</v>
      </c>
      <c r="AJ13" t="s" s="10">
        <v>147</v>
      </c>
      <c r="AK13" t="s" s="10">
        <v>148</v>
      </c>
    </row>
    <row r="14" ht="19.5" customHeight="1">
      <c r="B14" t="s" s="10">
        <v>37</v>
      </c>
      <c r="C14" t="str" s="11" cm="1">
        <f t="array" ref="C14">B14&amp;"_"&amp;G14&amp;"_"&amp;M14&amp;"_"&amp;R14</f>
        <v>CAP_220uF_Electrolytic_8x10</v>
      </c>
      <c r="D14" t="str" s="12" cm="1">
        <f t="array" ref="D14">$G14&amp;IF($B14="LED"," LED","")&amp;IF($V14="",""," ")&amp;$V14&amp;IF($M14="",""," ")&amp;$M14&amp;IF($W14="",""," ")&amp;$W14&amp;IF($X14="",""," ")&amp;$X14&amp;IF($Y14="",""," ")&amp;$Y14&amp;IF($AB14="",""," ")&amp;$AB14&amp;IF($AB14="","","mcd")</f>
        <v>220uF 20% Electrolytic 35V</v>
      </c>
      <c r="E14" t="str" s="12" cm="1">
        <f t="array" ref="E14">$G14&amp;" "&amp;B14&amp;IF($V14="",""," ")&amp;$V14&amp;IF($M14="",""," ")&amp;$M14&amp;IF($W14="",""," ")&amp;$W14&amp;IF($X14="",""," ")&amp;$X14&amp;IF($Y14="",""," ")&amp;$Y14&amp;IF($AB14="",""," ")&amp;$AB14&amp;IF($AB14="","","mcd")</f>
        <v>220uF CAP 20% Electrolytic 35V</v>
      </c>
      <c r="F14" t="str" s="11" cm="1">
        <f t="array" ref="F14">IF(ISBLANK(AH14),"",IF(AG14="LCSC",HYPERLINK("https://jlcpcb.com/partdetail/"&amp;$AH14,$AH14),IF(AG14="Mouser",$AH14,$AH14)))</f>
        <v>C136294</v>
      </c>
      <c r="G14" t="str" s="11" cm="1">
        <f t="array" ref="G14">P14</f>
        <v>220uF</v>
      </c>
      <c r="H14" s="15"/>
      <c r="I14" s="10"/>
      <c r="J14" s="10"/>
      <c r="K14" s="10"/>
      <c r="L14" t="s" s="10">
        <v>11</v>
      </c>
      <c r="M14" t="s" s="10">
        <v>97</v>
      </c>
      <c r="N14" t="s" s="10">
        <v>154</v>
      </c>
      <c r="O14" s="10"/>
      <c r="P14" t="s" s="10">
        <v>153</v>
      </c>
      <c r="Q14" s="10"/>
      <c r="R14" t="s" s="10">
        <v>155</v>
      </c>
      <c r="S14" s="10"/>
      <c r="T14" s="10"/>
      <c r="U14" s="10"/>
      <c r="V14" t="s" s="10">
        <v>100</v>
      </c>
      <c r="W14" t="s" s="10">
        <v>156</v>
      </c>
      <c r="X14" s="10"/>
      <c r="Y14" s="10"/>
      <c r="Z14" s="10"/>
      <c r="AA14" s="10"/>
      <c r="AB14" s="10"/>
      <c r="AC14" s="10"/>
      <c r="AD14" t="s" s="10">
        <v>102</v>
      </c>
      <c r="AE14" t="s" s="10">
        <v>157</v>
      </c>
      <c r="AF14" s="14"/>
      <c r="AG14" t="s" s="10">
        <v>50</v>
      </c>
      <c r="AH14" t="s" s="10">
        <v>158</v>
      </c>
      <c r="AI14" t="s" s="10">
        <v>104</v>
      </c>
      <c r="AJ14" t="s" s="10">
        <v>159</v>
      </c>
      <c r="AK14" t="s" s="10">
        <v>160</v>
      </c>
    </row>
    <row r="15" ht="18.9" customHeight="1">
      <c r="B15" t="s" s="10">
        <v>161</v>
      </c>
      <c r="C15" t="str" s="11" cm="1">
        <f t="array" ref="C15">B15&amp;"_"&amp;G15</f>
        <v>CON_1x02-0.100</v>
      </c>
      <c r="D15" t="str" s="12" cm="1">
        <f t="array" ref="D15">$G15&amp;IF($B15="LED"," LED","")&amp;IF($V15="",""," ")&amp;$V15&amp;IF($M15="",""," ")&amp;$M15&amp;IF($W15="",""," ")&amp;$W15&amp;IF($X15="",""," ")&amp;$X15&amp;IF($Y15="",""," ")&amp;$Y15&amp;IF($AB15="",""," ")&amp;$AB15&amp;IF($AB15="","","mcd")</f>
        <v>1x02-0.100 Male Header 250V 3A</v>
      </c>
      <c r="E15" t="str" s="12" cm="1">
        <f t="array" ref="E15">$G15&amp;" "&amp;B15&amp;IF($V15="",""," ")&amp;$V15&amp;IF($M15="",""," ")&amp;$M15&amp;IF($W15="",""," ")&amp;$W15&amp;IF($X15="",""," ")&amp;$X15&amp;IF($Y15="",""," ")&amp;$Y15&amp;IF($AB15="",""," ")&amp;$AB15&amp;IF($AB15="","","mcd")</f>
        <v>1x02-0.100 CON Male Header 250V 3A</v>
      </c>
      <c r="F15" t="str" s="11" cm="1">
        <f t="array" ref="F15">IF(ISBLANK(AH15),"",IF(AG15="LCSC",HYPERLINK("https://jlcpcb.com/partdetail/"&amp;$AH15,$AH15),IF(AG15="Mouser",$AH15,$AH15)))</f>
        <v>C492401</v>
      </c>
      <c r="G15" t="str" s="11" cm="1">
        <f t="array" ref="G15">J15</f>
        <v>1x02-0.100</v>
      </c>
      <c r="H15" s="15"/>
      <c r="I15" s="14"/>
      <c r="J15" t="s" s="10">
        <v>166</v>
      </c>
      <c r="K15" s="14"/>
      <c r="L15" t="s" s="10">
        <v>96</v>
      </c>
      <c r="M15" t="s" s="10">
        <v>167</v>
      </c>
      <c r="N15" t="s" s="10">
        <v>168</v>
      </c>
      <c r="O15" s="10"/>
      <c r="P15" s="10"/>
      <c r="Q15" s="10"/>
      <c r="R15" s="10"/>
      <c r="S15" s="10"/>
      <c r="T15" t="s" s="10">
        <v>169</v>
      </c>
      <c r="U15" t="s" s="10">
        <v>170</v>
      </c>
      <c r="V15" s="10"/>
      <c r="W15" t="s" s="10">
        <v>171</v>
      </c>
      <c r="X15" t="s" s="10">
        <v>172</v>
      </c>
      <c r="Y15" s="10"/>
      <c r="Z15" s="10"/>
      <c r="AA15" s="10"/>
      <c r="AB15" s="10"/>
      <c r="AC15" s="10"/>
      <c r="AD15" t="s" s="10">
        <v>173</v>
      </c>
      <c r="AE15" t="s" s="10">
        <v>174</v>
      </c>
      <c r="AF15" s="14"/>
      <c r="AG15" t="s" s="10">
        <v>50</v>
      </c>
      <c r="AH15" t="s" s="10">
        <v>175</v>
      </c>
      <c r="AI15" t="s" s="10">
        <v>176</v>
      </c>
      <c r="AJ15" t="s" s="10">
        <v>177</v>
      </c>
      <c r="AK15" t="s" s="10">
        <v>178</v>
      </c>
    </row>
    <row r="16" ht="18.9" customHeight="1">
      <c r="B16" t="s" s="10">
        <v>161</v>
      </c>
      <c r="C16" t="str" s="11" cm="1">
        <f t="array" ref="C16">B16&amp;"_"&amp;G16</f>
        <v>CON_1x02-0.100-screw</v>
      </c>
      <c r="D16" t="str" s="12" cm="1">
        <f t="array" ref="D16">$G16&amp;IF($B16="LED"," LED","")&amp;IF($V16="",""," ")&amp;$V16&amp;IF($M16="",""," ")&amp;$M16&amp;IF($W16="",""," ")&amp;$W16&amp;IF($X16="",""," ")&amp;$X16&amp;IF($Y16="",""," ")&amp;$Y16&amp;IF($AB16="",""," ")&amp;$AB16&amp;IF($AB16="","","mcd")</f>
        <v>1x02-0.100-screw</v>
      </c>
      <c r="E16" t="str" s="12" cm="1">
        <f t="array" ref="E16">$G16&amp;" "&amp;B16&amp;IF($V16="",""," ")&amp;$V16&amp;IF($M16="",""," ")&amp;$M16&amp;IF($W16="",""," ")&amp;$W16&amp;IF($X16="",""," ")&amp;$X16&amp;IF($Y16="",""," ")&amp;$Y16&amp;IF($AB16="",""," ")&amp;$AB16&amp;IF($AB16="","","mcd")</f>
        <v>1x02-0.100-screw CON</v>
      </c>
      <c r="F16" t="str" s="11" cm="1">
        <f t="array" ref="F16">IF(ISBLANK(AH16),"",IF(AG16="LCSC",HYPERLINK("https://jlcpcb.com/partdetail/"&amp;$AH16,$AH16),IF(AG16="Mouser",$AH16,$AH16)))</f>
        <v>C3029316</v>
      </c>
      <c r="G16" t="str" s="11" cm="1">
        <f t="array" ref="G16">J16</f>
        <v>1x02-0.100-screw</v>
      </c>
      <c r="H16" s="15"/>
      <c r="I16" s="14"/>
      <c r="J16" t="s" s="10">
        <v>180</v>
      </c>
      <c r="K16" s="14"/>
      <c r="L16" t="s" s="10">
        <v>96</v>
      </c>
      <c r="M16" s="10"/>
      <c r="N16" t="s" s="10">
        <v>183</v>
      </c>
      <c r="O16" s="10"/>
      <c r="P16" s="10"/>
      <c r="Q16" s="10"/>
      <c r="R16" s="10"/>
      <c r="S16" s="10"/>
      <c r="T16" t="s" s="10">
        <v>169</v>
      </c>
      <c r="U16" t="s" s="10">
        <v>170</v>
      </c>
      <c r="V16" s="10"/>
      <c r="W16" s="10"/>
      <c r="X16" s="10"/>
      <c r="Y16" s="10"/>
      <c r="Z16" s="10"/>
      <c r="AA16" s="10"/>
      <c r="AB16" s="10"/>
      <c r="AC16" s="10"/>
      <c r="AD16" t="s" s="10">
        <v>173</v>
      </c>
      <c r="AE16" t="s" s="10">
        <v>174</v>
      </c>
      <c r="AF16" s="14"/>
      <c r="AG16" t="s" s="10">
        <v>50</v>
      </c>
      <c r="AH16" t="s" s="10">
        <v>184</v>
      </c>
      <c r="AI16" s="14"/>
      <c r="AJ16" s="14"/>
      <c r="AK16" s="14"/>
    </row>
    <row r="17" ht="18.9" customHeight="1">
      <c r="B17" t="s" s="10">
        <v>161</v>
      </c>
      <c r="C17" t="str" s="11" cm="1">
        <f t="array" ref="C17">B17&amp;"_"&amp;G17</f>
        <v>CON_1x02-2.54-socket</v>
      </c>
      <c r="D17" t="str" s="12" cm="1">
        <f t="array" ref="D17">$G17&amp;IF($B17="LED"," LED","")&amp;IF($V17="",""," ")&amp;$V17&amp;IF($M17="",""," ")&amp;$M17&amp;IF($W17="",""," ")&amp;$W17&amp;IF($X17="",""," ")&amp;$X17&amp;IF($Y17="",""," ")&amp;$Y17&amp;IF($AB17="",""," ")&amp;$AB17&amp;IF($AB17="","","mcd")</f>
        <v>1x02-2.54-socket Female Header 3A</v>
      </c>
      <c r="E17" t="str" s="12" cm="1">
        <f t="array" ref="E17">$G17&amp;" "&amp;B17&amp;IF($V17="",""," ")&amp;$V17&amp;IF($M17="",""," ")&amp;$M17&amp;IF($W17="",""," ")&amp;$W17&amp;IF($X17="",""," ")&amp;$X17&amp;IF($Y17="",""," ")&amp;$Y17&amp;IF($AB17="",""," ")&amp;$AB17&amp;IF($AB17="","","mcd")</f>
        <v>1x02-2.54-socket CON Female Header 3A</v>
      </c>
      <c r="F17" t="str" s="11" cm="1">
        <f t="array" ref="F17">IF(ISBLANK(AH17),"",IF(AG17="LCSC",HYPERLINK("https://jlcpcb.com/partdetail/"&amp;$AH17,$AH17),IF(AG17="Mouser",$AH17,$AH17)))</f>
        <v>C429966</v>
      </c>
      <c r="G17" t="str" s="11" cm="1">
        <f t="array" ref="G17">J17</f>
        <v>1x02-2.54-socket</v>
      </c>
      <c r="H17" s="13">
        <v>2</v>
      </c>
      <c r="I17" s="14"/>
      <c r="J17" t="s" s="10">
        <v>189</v>
      </c>
      <c r="K17" s="14"/>
      <c r="L17" t="s" s="10">
        <v>96</v>
      </c>
      <c r="M17" t="s" s="10">
        <v>190</v>
      </c>
      <c r="N17" t="s" s="10">
        <v>191</v>
      </c>
      <c r="O17" s="10"/>
      <c r="P17" s="10"/>
      <c r="Q17" s="10"/>
      <c r="R17" s="10"/>
      <c r="S17" t="s" s="10">
        <v>192</v>
      </c>
      <c r="T17" t="s" s="10">
        <v>169</v>
      </c>
      <c r="U17" t="s" s="10">
        <v>170</v>
      </c>
      <c r="V17" s="10"/>
      <c r="W17" s="10"/>
      <c r="X17" t="s" s="10">
        <v>172</v>
      </c>
      <c r="Y17" s="10"/>
      <c r="Z17" s="10"/>
      <c r="AA17" s="10"/>
      <c r="AB17" s="10"/>
      <c r="AC17" s="10"/>
      <c r="AD17" t="s" s="10">
        <v>173</v>
      </c>
      <c r="AE17" t="s" s="10">
        <v>174</v>
      </c>
      <c r="AF17" s="14"/>
      <c r="AG17" t="s" s="10">
        <v>50</v>
      </c>
      <c r="AH17" t="s" s="10">
        <v>193</v>
      </c>
      <c r="AI17" t="s" s="10">
        <v>194</v>
      </c>
      <c r="AJ17" t="s" s="10">
        <v>195</v>
      </c>
      <c r="AK17" s="14"/>
    </row>
    <row r="18" ht="18.9" customHeight="1">
      <c r="B18" t="s" s="10">
        <v>161</v>
      </c>
      <c r="C18" t="str" s="11" cm="1">
        <f t="array" ref="C18">B18&amp;"_"&amp;G18</f>
        <v>CON_1x02-2.54-socket</v>
      </c>
      <c r="D18" t="str" s="12" cm="1">
        <f t="array" ref="D18">$G18&amp;IF($B18="LED"," LED","")&amp;IF($V18="",""," ")&amp;$V18&amp;IF($M18="",""," ")&amp;$M18&amp;IF($W18="",""," ")&amp;$W18&amp;IF($X18="",""," ")&amp;$X18&amp;IF($Y18="",""," ")&amp;$Y18&amp;IF($AB18="",""," ")&amp;$AB18&amp;IF($AB18="","","mcd")</f>
        <v>1x02-2.54-socket Female Header 3A</v>
      </c>
      <c r="E18" t="str" s="12" cm="1">
        <f t="array" ref="E18">$G18&amp;" "&amp;B18&amp;IF($V18="",""," ")&amp;$V18&amp;IF($M18="",""," ")&amp;$M18&amp;IF($W18="",""," ")&amp;$W18&amp;IF($X18="",""," ")&amp;$X18&amp;IF($Y18="",""," ")&amp;$Y18&amp;IF($AB18="",""," ")&amp;$AB18&amp;IF($AB18="","","mcd")</f>
        <v>1x02-2.54-socket CON Female Header 3A</v>
      </c>
      <c r="F18" t="str" s="11" cm="1">
        <f t="array" ref="F18">IF(ISBLANK(AH18),"",IF(AG18="LCSC",HYPERLINK("https://jlcpcb.com/partdetail/"&amp;$AH18,$AH18),IF(AG18="Mouser",$AH18,$AH18)))</f>
        <v>C49661</v>
      </c>
      <c r="G18" t="str" s="11" cm="1">
        <f t="array" ref="G18">J18</f>
        <v>1x02-2.54-socket</v>
      </c>
      <c r="H18" s="13">
        <v>1</v>
      </c>
      <c r="I18" s="14"/>
      <c r="J18" t="s" s="10">
        <v>189</v>
      </c>
      <c r="K18" s="14"/>
      <c r="L18" t="s" s="10">
        <v>96</v>
      </c>
      <c r="M18" t="s" s="10">
        <v>190</v>
      </c>
      <c r="N18" t="s" s="10">
        <v>197</v>
      </c>
      <c r="O18" s="10"/>
      <c r="P18" s="10"/>
      <c r="Q18" s="10"/>
      <c r="R18" s="10"/>
      <c r="S18" s="10"/>
      <c r="T18" t="s" s="10">
        <v>169</v>
      </c>
      <c r="U18" t="s" s="10">
        <v>198</v>
      </c>
      <c r="V18" s="10"/>
      <c r="W18" s="16"/>
      <c r="X18" t="s" s="17">
        <v>172</v>
      </c>
      <c r="Y18" s="10"/>
      <c r="Z18" s="10"/>
      <c r="AA18" s="10"/>
      <c r="AB18" s="10"/>
      <c r="AC18" s="10"/>
      <c r="AD18" s="14"/>
      <c r="AE18" s="14"/>
      <c r="AF18" s="14"/>
      <c r="AG18" t="s" s="10">
        <v>50</v>
      </c>
      <c r="AH18" t="s" s="10">
        <v>199</v>
      </c>
      <c r="AI18" t="s" s="10">
        <v>200</v>
      </c>
      <c r="AJ18" t="s" s="10">
        <v>201</v>
      </c>
      <c r="AK18" s="14"/>
    </row>
    <row r="19" ht="18.9" customHeight="1">
      <c r="B19" t="s" s="10">
        <v>161</v>
      </c>
      <c r="C19" t="str" s="11" cm="1">
        <f t="array" ref="C19">B19&amp;"_"&amp;G19</f>
        <v>CON_1x02-0.200-block</v>
      </c>
      <c r="D19" t="str" s="12" cm="1">
        <f t="array" ref="D19">$G19&amp;IF($B19="LED"," LED","")&amp;IF($V19="",""," ")&amp;$V19&amp;IF($M19="",""," ")&amp;$M19&amp;IF($W19="",""," ")&amp;$W19&amp;IF($X19="",""," ")&amp;$X19&amp;IF($Y19="",""," ")&amp;$Y19&amp;IF($AB19="",""," ")&amp;$AB19&amp;IF($AB19="","","mcd")</f>
        <v>1x02-0.200-block Push-Pull 300V 15A</v>
      </c>
      <c r="E19" t="str" s="12" cm="1">
        <f t="array" ref="E19">$G19&amp;" "&amp;B19&amp;IF($V19="",""," ")&amp;$V19&amp;IF($M19="",""," ")&amp;$M19&amp;IF($W19="",""," ")&amp;$W19&amp;IF($X19="",""," ")&amp;$X19&amp;IF($Y19="",""," ")&amp;$Y19&amp;IF($AB19="",""," ")&amp;$AB19&amp;IF($AB19="","","mcd")</f>
        <v>1x02-0.200-block CON Push-Pull 300V 15A</v>
      </c>
      <c r="F19" t="str" s="11" cm="1">
        <f t="array" ref="F19">IF(ISBLANK(AH19),"",IF(AG19="LCSC",HYPERLINK("https://jlcpcb.com/partdetail/"&amp;$AH19,$AH19),IF(AG19="Mouser",$AH19,$AH19)))</f>
        <v>C42378069</v>
      </c>
      <c r="G19" t="str" s="11" cm="1">
        <f t="array" ref="G19">J19</f>
        <v>1x02-0.200-block</v>
      </c>
      <c r="H19" s="15"/>
      <c r="I19" s="14"/>
      <c r="J19" t="s" s="10">
        <v>206</v>
      </c>
      <c r="K19" t="s" s="10">
        <v>207</v>
      </c>
      <c r="L19" t="s" s="10">
        <v>96</v>
      </c>
      <c r="M19" t="s" s="10">
        <v>208</v>
      </c>
      <c r="N19" t="s" s="10">
        <v>209</v>
      </c>
      <c r="O19" s="10"/>
      <c r="P19" s="10"/>
      <c r="Q19" s="10"/>
      <c r="R19" s="10"/>
      <c r="S19" s="10"/>
      <c r="T19" t="s" s="10">
        <v>169</v>
      </c>
      <c r="U19" t="s" s="10">
        <v>210</v>
      </c>
      <c r="V19" s="10"/>
      <c r="W19" t="s" s="10">
        <v>211</v>
      </c>
      <c r="X19" t="s" s="10">
        <v>212</v>
      </c>
      <c r="Y19" s="10"/>
      <c r="Z19" s="10"/>
      <c r="AA19" s="10"/>
      <c r="AB19" s="10"/>
      <c r="AC19" s="10"/>
      <c r="AD19" t="s" s="10">
        <v>173</v>
      </c>
      <c r="AE19" t="s" s="10">
        <v>213</v>
      </c>
      <c r="AF19" s="14"/>
      <c r="AG19" t="s" s="10">
        <v>50</v>
      </c>
      <c r="AH19" t="s" s="10">
        <v>214</v>
      </c>
      <c r="AI19" t="s" s="10">
        <v>215</v>
      </c>
      <c r="AJ19" t="s" s="10">
        <v>216</v>
      </c>
      <c r="AK19" s="14"/>
    </row>
    <row r="20" ht="18.9" customHeight="1">
      <c r="B20" t="s" s="10">
        <v>161</v>
      </c>
      <c r="C20" t="str" s="11" cm="1">
        <f t="array" ref="C20">B20&amp;"_"&amp;G20</f>
        <v>CON_1x03-0.100</v>
      </c>
      <c r="D20" t="str" s="12" cm="1">
        <f t="array" ref="D20">$G20&amp;IF($B20="LED"," LED","")&amp;IF($V20="",""," ")&amp;$V20&amp;IF($M20="",""," ")&amp;$M20&amp;IF($W20="",""," ")&amp;$W20&amp;IF($X20="",""," ")&amp;$X20&amp;IF($Y20="",""," ")&amp;$Y20&amp;IF($AB20="",""," ")&amp;$AB20&amp;IF($AB20="","","mcd")</f>
        <v>1x03-0.100 Male Header</v>
      </c>
      <c r="E20" t="str" s="12" cm="1">
        <f t="array" ref="E20">$G20&amp;" "&amp;B20&amp;IF($V20="",""," ")&amp;$V20&amp;IF($M20="",""," ")&amp;$M20&amp;IF($W20="",""," ")&amp;$W20&amp;IF($X20="",""," ")&amp;$X20&amp;IF($Y20="",""," ")&amp;$Y20&amp;IF($AB20="",""," ")&amp;$AB20&amp;IF($AB20="","","mcd")</f>
        <v>1x03-0.100 CON Male Header</v>
      </c>
      <c r="F20" t="str" s="11" cm="1">
        <f t="array" ref="F20">IF(ISBLANK(AH20),"",IF(AG20="LCSC",HYPERLINK("https://jlcpcb.com/partdetail/"&amp;$AH20,$AH20),IF(AG20="Mouser",$AH20,$AH20)))</f>
        <v>C2937625</v>
      </c>
      <c r="G20" t="str" s="11" cm="1">
        <f t="array" ref="G20">J20</f>
        <v>1x03-0.100</v>
      </c>
      <c r="H20" s="15"/>
      <c r="I20" s="14"/>
      <c r="J20" t="s" s="10">
        <v>221</v>
      </c>
      <c r="K20" s="14"/>
      <c r="L20" t="s" s="10">
        <v>96</v>
      </c>
      <c r="M20" t="s" s="10">
        <v>167</v>
      </c>
      <c r="N20" t="s" s="10">
        <v>222</v>
      </c>
      <c r="O20" s="10"/>
      <c r="P20" s="10"/>
      <c r="Q20" s="10"/>
      <c r="R20" s="10"/>
      <c r="S20" s="10"/>
      <c r="T20" t="s" s="10">
        <v>223</v>
      </c>
      <c r="U20" t="s" s="10">
        <v>170</v>
      </c>
      <c r="V20" s="10"/>
      <c r="W20" s="10"/>
      <c r="X20" s="10"/>
      <c r="Y20" s="10"/>
      <c r="Z20" s="10"/>
      <c r="AA20" s="10"/>
      <c r="AB20" s="10"/>
      <c r="AC20" s="10"/>
      <c r="AD20" t="s" s="10">
        <v>224</v>
      </c>
      <c r="AE20" t="s" s="10">
        <v>225</v>
      </c>
      <c r="AF20" s="14"/>
      <c r="AG20" t="s" s="10">
        <v>50</v>
      </c>
      <c r="AH20" t="s" s="10">
        <v>226</v>
      </c>
      <c r="AI20" t="s" s="10">
        <v>176</v>
      </c>
      <c r="AJ20" t="s" s="10">
        <v>227</v>
      </c>
      <c r="AK20" t="s" s="10">
        <v>228</v>
      </c>
    </row>
    <row r="21" ht="18.9" customHeight="1">
      <c r="B21" t="s" s="10">
        <v>161</v>
      </c>
      <c r="C21" t="str" s="11" cm="1">
        <f t="array" ref="C21">B21&amp;"_"&amp;G21</f>
        <v>CON_1x04-0.100</v>
      </c>
      <c r="D21" t="str" s="12" cm="1">
        <f t="array" ref="D21">$G21&amp;IF($B21="LED"," LED","")&amp;IF($V21="",""," ")&amp;$V21&amp;IF($M21="",""," ")&amp;$M21&amp;IF($W21="",""," ")&amp;$W21&amp;IF($X21="",""," ")&amp;$X21&amp;IF($Y21="",""," ")&amp;$Y21&amp;IF($AB21="",""," ")&amp;$AB21&amp;IF($AB21="","","mcd")</f>
        <v>1x04-0.100 Male Header</v>
      </c>
      <c r="E21" t="str" s="12" cm="1">
        <f t="array" ref="E21">$G21&amp;" "&amp;B21&amp;IF($V21="",""," ")&amp;$V21&amp;IF($M21="",""," ")&amp;$M21&amp;IF($W21="",""," ")&amp;$W21&amp;IF($X21="",""," ")&amp;$X21&amp;IF($Y21="",""," ")&amp;$Y21&amp;IF($AB21="",""," ")&amp;$AB21&amp;IF($AB21="","","mcd")</f>
        <v>1x04-0.100 CON Male Header</v>
      </c>
      <c r="F21" t="str" s="11" cm="1">
        <f t="array" ref="F21">IF(ISBLANK(AH21),"",IF(AG21="LCSC",HYPERLINK("https://jlcpcb.com/partdetail/"&amp;$AH21,$AH21),IF(AG21="Mouser",$AH21,$AH21)))</f>
        <v>C2691448</v>
      </c>
      <c r="G21" t="str" s="11" cm="1">
        <f t="array" ref="G21">J21</f>
        <v>1x04-0.100</v>
      </c>
      <c r="H21" s="15"/>
      <c r="I21" s="14"/>
      <c r="J21" t="s" s="10">
        <v>233</v>
      </c>
      <c r="K21" s="14"/>
      <c r="L21" t="s" s="10">
        <v>96</v>
      </c>
      <c r="M21" t="s" s="10">
        <v>167</v>
      </c>
      <c r="N21" t="s" s="10">
        <v>234</v>
      </c>
      <c r="O21" s="10"/>
      <c r="P21" s="10"/>
      <c r="Q21" s="10"/>
      <c r="R21" s="10"/>
      <c r="S21" s="10"/>
      <c r="T21" t="s" s="10">
        <v>235</v>
      </c>
      <c r="U21" t="s" s="10">
        <v>170</v>
      </c>
      <c r="V21" s="10"/>
      <c r="W21" s="10"/>
      <c r="X21" s="10"/>
      <c r="Y21" s="10"/>
      <c r="Z21" s="10"/>
      <c r="AA21" s="10"/>
      <c r="AB21" s="10"/>
      <c r="AC21" s="10"/>
      <c r="AD21" t="s" s="10">
        <v>236</v>
      </c>
      <c r="AE21" t="s" s="10">
        <v>237</v>
      </c>
      <c r="AF21" s="14"/>
      <c r="AG21" t="s" s="10">
        <v>50</v>
      </c>
      <c r="AH21" t="s" s="10">
        <v>238</v>
      </c>
      <c r="AI21" t="s" s="10">
        <v>176</v>
      </c>
      <c r="AJ21" t="s" s="10">
        <v>239</v>
      </c>
      <c r="AK21" s="14"/>
    </row>
    <row r="22" ht="18.9" customHeight="1">
      <c r="B22" t="s" s="10">
        <v>161</v>
      </c>
      <c r="C22" t="str" s="11" cm="1">
        <f t="array" ref="C22">B22&amp;"_"&amp;G22</f>
        <v>CON_1x04-0.100-RA</v>
      </c>
      <c r="D22" t="str" s="12" cm="1">
        <f t="array" ref="D22">$G22&amp;IF($B22="LED"," LED","")&amp;IF($V22="",""," ")&amp;$V22&amp;IF($M22="",""," ")&amp;$M22&amp;IF($W22="",""," ")&amp;$W22&amp;IF($X22="",""," ")&amp;$X22&amp;IF($Y22="",""," ")&amp;$Y22&amp;IF($AB22="",""," ")&amp;$AB22&amp;IF($AB22="","","mcd")</f>
        <v>1x04-0.100-RA Male Header</v>
      </c>
      <c r="E22" t="str" s="12" cm="1">
        <f t="array" ref="E22">$G22&amp;" "&amp;B22&amp;IF($V22="",""," ")&amp;$V22&amp;IF($M22="",""," ")&amp;$M22&amp;IF($W22="",""," ")&amp;$W22&amp;IF($X22="",""," ")&amp;$X22&amp;IF($Y22="",""," ")&amp;$Y22&amp;IF($AB22="",""," ")&amp;$AB22&amp;IF($AB22="","","mcd")</f>
        <v>1x04-0.100-RA CON Male Header</v>
      </c>
      <c r="F22" t="str" s="11" cm="1">
        <f t="array" ref="F22">IF(ISBLANK(AH22),"",IF(AG22="LCSC",HYPERLINK("https://jlcpcb.com/partdetail/"&amp;$AH22,$AH22),IF(AG22="Mouser",$AH22,$AH22)))</f>
        <v>C18214184</v>
      </c>
      <c r="G22" t="str" s="11" cm="1">
        <f t="array" ref="G22">J22</f>
        <v>1x04-0.100-RA</v>
      </c>
      <c r="H22" s="15"/>
      <c r="I22" s="14"/>
      <c r="J22" t="s" s="10">
        <v>244</v>
      </c>
      <c r="K22" s="14"/>
      <c r="L22" t="s" s="10">
        <v>96</v>
      </c>
      <c r="M22" t="s" s="10">
        <v>167</v>
      </c>
      <c r="N22" t="s" s="10">
        <v>245</v>
      </c>
      <c r="O22" s="10"/>
      <c r="P22" s="10"/>
      <c r="Q22" s="10"/>
      <c r="R22" s="10"/>
      <c r="S22" s="10"/>
      <c r="T22" t="s" s="10">
        <v>235</v>
      </c>
      <c r="U22" t="s" s="10">
        <v>170</v>
      </c>
      <c r="V22" s="10"/>
      <c r="W22" s="10"/>
      <c r="X22" s="10"/>
      <c r="Y22" s="10"/>
      <c r="Z22" s="10"/>
      <c r="AA22" s="10"/>
      <c r="AB22" s="10"/>
      <c r="AC22" s="10"/>
      <c r="AD22" t="s" s="10">
        <v>236</v>
      </c>
      <c r="AE22" t="s" s="10">
        <v>237</v>
      </c>
      <c r="AF22" s="14"/>
      <c r="AG22" t="s" s="10">
        <v>50</v>
      </c>
      <c r="AH22" t="s" s="10">
        <v>246</v>
      </c>
      <c r="AI22" t="s" s="10">
        <v>247</v>
      </c>
      <c r="AJ22" t="s" s="10">
        <v>248</v>
      </c>
      <c r="AK22" s="14"/>
    </row>
    <row r="23" ht="18.9" customHeight="1">
      <c r="B23" t="s" s="10">
        <v>161</v>
      </c>
      <c r="C23" t="str" s="11" cm="1">
        <f t="array" ref="C23">B23&amp;"_"&amp;G23</f>
        <v>CON_1x04-0.100-screw</v>
      </c>
      <c r="D23" t="str" s="12" cm="1">
        <f t="array" ref="D23">$G23&amp;IF($B23="LED"," LED","")&amp;IF($V23="",""," ")&amp;$V23&amp;IF($M23="",""," ")&amp;$M23&amp;IF($W23="",""," ")&amp;$W23&amp;IF($X23="",""," ")&amp;$X23&amp;IF($Y23="",""," ")&amp;$Y23&amp;IF($AB23="",""," ")&amp;$AB23&amp;IF($AB23="","","mcd")</f>
        <v>1x04-0.100-screw Screw Header</v>
      </c>
      <c r="E23" t="str" s="12" cm="1">
        <f t="array" ref="E23">$G23&amp;" "&amp;B23&amp;IF($V23="",""," ")&amp;$V23&amp;IF($M23="",""," ")&amp;$M23&amp;IF($W23="",""," ")&amp;$W23&amp;IF($X23="",""," ")&amp;$X23&amp;IF($Y23="",""," ")&amp;$Y23&amp;IF($AB23="",""," ")&amp;$AB23&amp;IF($AB23="","","mcd")</f>
        <v>1x04-0.100-screw CON Screw Header</v>
      </c>
      <c r="F23" t="str" s="11" cm="1">
        <f t="array" ref="F23">IF(ISBLANK(AH23),"",IF(AG23="LCSC",HYPERLINK("https://jlcpcb.com/partdetail/"&amp;$AH23,$AH23),IF(AG23="Mouser",$AH23,$AH23)))</f>
        <v>C3816889</v>
      </c>
      <c r="G23" t="str" s="11" cm="1">
        <f t="array" ref="G23">J23</f>
        <v>1x04-0.100-screw</v>
      </c>
      <c r="H23" s="15"/>
      <c r="I23" s="14"/>
      <c r="J23" t="s" s="10">
        <v>253</v>
      </c>
      <c r="K23" s="14"/>
      <c r="L23" t="s" s="10">
        <v>96</v>
      </c>
      <c r="M23" t="s" s="10">
        <v>254</v>
      </c>
      <c r="N23" t="s" s="10">
        <v>255</v>
      </c>
      <c r="O23" s="10"/>
      <c r="P23" s="10"/>
      <c r="Q23" s="10"/>
      <c r="R23" s="10"/>
      <c r="S23" s="10"/>
      <c r="T23" t="s" s="10">
        <v>235</v>
      </c>
      <c r="U23" t="s" s="10">
        <v>170</v>
      </c>
      <c r="V23" s="10"/>
      <c r="W23" s="10"/>
      <c r="X23" s="10"/>
      <c r="Y23" s="10"/>
      <c r="Z23" s="10"/>
      <c r="AA23" s="10"/>
      <c r="AB23" s="10"/>
      <c r="AC23" s="10"/>
      <c r="AD23" t="s" s="10">
        <v>236</v>
      </c>
      <c r="AE23" t="s" s="10">
        <v>237</v>
      </c>
      <c r="AF23" s="14"/>
      <c r="AG23" t="s" s="10">
        <v>50</v>
      </c>
      <c r="AH23" t="s" s="10">
        <v>256</v>
      </c>
      <c r="AI23" s="14"/>
      <c r="AJ23" s="14"/>
      <c r="AK23" s="14"/>
    </row>
    <row r="24" ht="18.9" customHeight="1">
      <c r="B24" t="s" s="10">
        <v>161</v>
      </c>
      <c r="C24" t="str" s="11" cm="1">
        <f t="array" ref="C24">B24&amp;"_"&amp;G24</f>
        <v>CON_1x04-0.100-SSD1306</v>
      </c>
      <c r="D24" t="str" s="12" cm="1">
        <f t="array" ref="D24">$G24&amp;IF($B24="LED"," LED","")&amp;IF($V24="",""," ")&amp;$V24&amp;IF($M24="",""," ")&amp;$M24&amp;IF($W24="",""," ")&amp;$W24&amp;IF($X24="",""," ")&amp;$X24&amp;IF($Y24="",""," ")&amp;$Y24&amp;IF($AB24="",""," ")&amp;$AB24&amp;IF($AB24="","","mcd")</f>
        <v>1x04-0.100-SSD1306 Female Header 3A</v>
      </c>
      <c r="E24" t="str" s="12" cm="1">
        <f t="array" ref="E24">$G24&amp;" "&amp;B24&amp;IF($V24="",""," ")&amp;$V24&amp;IF($M24="",""," ")&amp;$M24&amp;IF($W24="",""," ")&amp;$W24&amp;IF($X24="",""," ")&amp;$X24&amp;IF($Y24="",""," ")&amp;$Y24&amp;IF($AB24="",""," ")&amp;$AB24&amp;IF($AB24="","","mcd")</f>
        <v>1x04-0.100-SSD1306 CON Female Header 3A</v>
      </c>
      <c r="F24" t="str" s="11" cm="1">
        <f t="array" ref="F24">IF(ISBLANK(AH24),"",IF(AG24="LCSC",HYPERLINK("https://jlcpcb.com/partdetail/"&amp;$AH24,$AH24),IF(AG24="Mouser",$AH24,$AH24)))</f>
        <v>C2718488</v>
      </c>
      <c r="G24" t="str" s="11" cm="1">
        <f t="array" ref="G24">J24</f>
        <v>1x04-0.100-SSD1306</v>
      </c>
      <c r="H24" s="15"/>
      <c r="I24" s="14"/>
      <c r="J24" t="s" s="10">
        <v>261</v>
      </c>
      <c r="K24" s="14"/>
      <c r="L24" t="s" s="10">
        <v>96</v>
      </c>
      <c r="M24" t="s" s="10">
        <v>190</v>
      </c>
      <c r="N24" t="s" s="10">
        <v>262</v>
      </c>
      <c r="O24" s="10"/>
      <c r="P24" s="10"/>
      <c r="Q24" s="10"/>
      <c r="R24" s="10"/>
      <c r="S24" s="10"/>
      <c r="T24" t="s" s="10">
        <v>235</v>
      </c>
      <c r="U24" t="s" s="10">
        <v>170</v>
      </c>
      <c r="V24" s="10"/>
      <c r="W24" s="10"/>
      <c r="X24" t="s" s="10">
        <v>172</v>
      </c>
      <c r="Y24" s="10"/>
      <c r="Z24" s="10"/>
      <c r="AA24" s="10"/>
      <c r="AB24" s="10"/>
      <c r="AC24" s="10"/>
      <c r="AD24" t="s" s="10">
        <v>263</v>
      </c>
      <c r="AE24" t="s" s="10">
        <v>264</v>
      </c>
      <c r="AF24" s="14"/>
      <c r="AG24" t="s" s="10">
        <v>50</v>
      </c>
      <c r="AH24" t="s" s="10">
        <v>265</v>
      </c>
      <c r="AI24" t="s" s="10">
        <v>266</v>
      </c>
      <c r="AJ24" t="s" s="10">
        <v>267</v>
      </c>
      <c r="AK24" s="14"/>
    </row>
    <row r="25" ht="18.9" customHeight="1">
      <c r="B25" t="s" s="10">
        <v>161</v>
      </c>
      <c r="C25" t="str" s="11" cm="1">
        <f t="array" ref="C25">B25&amp;"_"&amp;G25</f>
        <v>CON_1x04-0.200-block</v>
      </c>
      <c r="D25" t="str" s="12" cm="1">
        <f t="array" ref="D25">$G25&amp;IF($B25="LED"," LED","")&amp;IF($V25="",""," ")&amp;$V25&amp;IF($M25="",""," ")&amp;$M25&amp;IF($W25="",""," ")&amp;$W25&amp;IF($X25="",""," ")&amp;$X25&amp;IF($Y25="",""," ")&amp;$Y25&amp;IF($AB25="",""," ")&amp;$AB25&amp;IF($AB25="","","mcd")</f>
        <v>1x04-0.200-block Push-Pull 300V 15A</v>
      </c>
      <c r="E25" t="str" s="12" cm="1">
        <f t="array" ref="E25">$G25&amp;" "&amp;B25&amp;IF($V25="",""," ")&amp;$V25&amp;IF($M25="",""," ")&amp;$M25&amp;IF($W25="",""," ")&amp;$W25&amp;IF($X25="",""," ")&amp;$X25&amp;IF($Y25="",""," ")&amp;$Y25&amp;IF($AB25="",""," ")&amp;$AB25&amp;IF($AB25="","","mcd")</f>
        <v>1x04-0.200-block CON Push-Pull 300V 15A</v>
      </c>
      <c r="F25" t="str" s="11" cm="1">
        <f t="array" ref="F25">IF(ISBLANK(AH25),"",IF(AG25="LCSC",HYPERLINK("https://jlcpcb.com/partdetail/"&amp;$AH25,$AH25),IF(AG25="Mouser",$AH25,$AH25)))</f>
        <v>C42378071</v>
      </c>
      <c r="G25" t="str" s="11" cm="1">
        <f t="array" ref="G25">J25</f>
        <v>1x04-0.200-block</v>
      </c>
      <c r="H25" s="15"/>
      <c r="I25" s="14"/>
      <c r="J25" t="s" s="10">
        <v>272</v>
      </c>
      <c r="K25" t="s" s="10">
        <v>207</v>
      </c>
      <c r="L25" t="s" s="10">
        <v>96</v>
      </c>
      <c r="M25" t="s" s="10">
        <v>208</v>
      </c>
      <c r="N25" t="s" s="10">
        <v>273</v>
      </c>
      <c r="O25" s="10"/>
      <c r="P25" s="10"/>
      <c r="Q25" s="10"/>
      <c r="R25" s="10"/>
      <c r="S25" s="10"/>
      <c r="T25" t="s" s="10">
        <v>235</v>
      </c>
      <c r="U25" t="s" s="10">
        <v>210</v>
      </c>
      <c r="V25" s="10"/>
      <c r="W25" t="s" s="10">
        <v>211</v>
      </c>
      <c r="X25" t="s" s="10">
        <v>212</v>
      </c>
      <c r="Y25" s="10"/>
      <c r="Z25" s="10"/>
      <c r="AA25" s="10"/>
      <c r="AB25" s="10"/>
      <c r="AC25" s="10"/>
      <c r="AD25" t="s" s="10">
        <v>236</v>
      </c>
      <c r="AE25" t="s" s="10">
        <v>274</v>
      </c>
      <c r="AF25" s="14"/>
      <c r="AG25" t="s" s="10">
        <v>50</v>
      </c>
      <c r="AH25" t="s" s="10">
        <v>275</v>
      </c>
      <c r="AI25" t="s" s="10">
        <v>215</v>
      </c>
      <c r="AJ25" t="s" s="10">
        <v>276</v>
      </c>
      <c r="AK25" s="14"/>
    </row>
    <row r="26" ht="18.9" customHeight="1">
      <c r="B26" t="s" s="10">
        <v>161</v>
      </c>
      <c r="C26" t="str" s="11" cm="1">
        <f t="array" ref="C26">B26&amp;"_"&amp;G26</f>
        <v>CON_1x04-2.54-socket</v>
      </c>
      <c r="D26" t="str" s="12" cm="1">
        <f t="array" ref="D26">$G26&amp;IF($B26="LED"," LED","")&amp;IF($V26="",""," ")&amp;$V26&amp;IF($M26="",""," ")&amp;$M26&amp;IF($W26="",""," ")&amp;$W26&amp;IF($X26="",""," ")&amp;$X26&amp;IF($Y26="",""," ")&amp;$Y26&amp;IF($AB26="",""," ")&amp;$AB26&amp;IF($AB26="","","mcd")</f>
        <v>1x04-2.54-socket Female Header 3A</v>
      </c>
      <c r="E26" t="str" s="12" cm="1">
        <f t="array" ref="E26">$G26&amp;" "&amp;B26&amp;IF($V26="",""," ")&amp;$V26&amp;IF($M26="",""," ")&amp;$M26&amp;IF($W26="",""," ")&amp;$W26&amp;IF($X26="",""," ")&amp;$X26&amp;IF($Y26="",""," ")&amp;$Y26&amp;IF($AB26="",""," ")&amp;$AB26&amp;IF($AB26="","","mcd")</f>
        <v>1x04-2.54-socket CON Female Header 3A</v>
      </c>
      <c r="F26" t="str" s="11" cm="1">
        <f t="array" ref="F26">IF(ISBLANK(AH26),"",IF(AG26="LCSC",HYPERLINK("https://jlcpcb.com/partdetail/"&amp;$AH26,$AH26),IF(AG26="Mouser",$AH26,$AH26)))</f>
        <v>C2718488</v>
      </c>
      <c r="G26" t="str" s="11" cm="1">
        <f t="array" ref="G26">J26</f>
        <v>1x04-2.54-socket</v>
      </c>
      <c r="H26" s="15"/>
      <c r="I26" s="14"/>
      <c r="J26" t="s" s="10">
        <v>280</v>
      </c>
      <c r="K26" s="14"/>
      <c r="L26" t="s" s="10">
        <v>96</v>
      </c>
      <c r="M26" t="s" s="10">
        <v>190</v>
      </c>
      <c r="N26" t="s" s="10">
        <v>281</v>
      </c>
      <c r="O26" s="10"/>
      <c r="P26" s="10"/>
      <c r="Q26" s="10"/>
      <c r="R26" s="10"/>
      <c r="S26" s="10"/>
      <c r="T26" t="s" s="10">
        <v>235</v>
      </c>
      <c r="U26" t="s" s="10">
        <v>198</v>
      </c>
      <c r="V26" s="10"/>
      <c r="W26" s="16"/>
      <c r="X26" t="s" s="17">
        <v>172</v>
      </c>
      <c r="Y26" s="10"/>
      <c r="Z26" s="10"/>
      <c r="AA26" s="10"/>
      <c r="AB26" s="10"/>
      <c r="AC26" s="10"/>
      <c r="AD26" s="14"/>
      <c r="AE26" s="14"/>
      <c r="AF26" s="14"/>
      <c r="AG26" t="s" s="10">
        <v>50</v>
      </c>
      <c r="AH26" t="s" s="10">
        <v>265</v>
      </c>
      <c r="AI26" t="s" s="10">
        <v>200</v>
      </c>
      <c r="AJ26" t="s" s="10">
        <v>282</v>
      </c>
      <c r="AK26" s="14"/>
    </row>
    <row r="27" ht="18.9" customHeight="1">
      <c r="B27" t="s" s="10">
        <v>161</v>
      </c>
      <c r="C27" t="str" s="11" cm="1">
        <f t="array" ref="C27">B27&amp;"_"&amp;G27</f>
        <v>CON_1x05-2.54-socket</v>
      </c>
      <c r="D27" t="str" s="12" cm="1">
        <f t="array" ref="D27">$G27&amp;IF($B27="LED"," LED","")&amp;IF($V27="",""," ")&amp;$V27&amp;IF($M27="",""," ")&amp;$M27&amp;IF($W27="",""," ")&amp;$W27&amp;IF($X27="",""," ")&amp;$X27&amp;IF($Y27="",""," ")&amp;$Y27&amp;IF($AB27="",""," ")&amp;$AB27&amp;IF($AB27="","","mcd")</f>
        <v>1x05-2.54-socket Female Header 3A</v>
      </c>
      <c r="E27" t="str" s="12" cm="1">
        <f t="array" ref="E27">$G27&amp;" "&amp;B27&amp;IF($V27="",""," ")&amp;$V27&amp;IF($M27="",""," ")&amp;$M27&amp;IF($W27="",""," ")&amp;$W27&amp;IF($X27="",""," ")&amp;$X27&amp;IF($Y27="",""," ")&amp;$Y27&amp;IF($AB27="",""," ")&amp;$AB27&amp;IF($AB27="","","mcd")</f>
        <v>1x05-2.54-socket CON Female Header 3A</v>
      </c>
      <c r="F27" t="str" s="11" cm="1">
        <f t="array" ref="F27">IF(ISBLANK(AH27),"",IF(AG27="LCSC",HYPERLINK("https://jlcpcb.com/partdetail/"&amp;$AH27,$AH27),IF(AG27="Mouser",$AH27,$AH27)))</f>
        <v>C50950</v>
      </c>
      <c r="G27" t="str" s="11" cm="1">
        <f t="array" ref="G27">J27</f>
        <v>1x05-2.54-socket</v>
      </c>
      <c r="H27" s="15"/>
      <c r="I27" s="14"/>
      <c r="J27" t="s" s="10">
        <v>287</v>
      </c>
      <c r="K27" s="14"/>
      <c r="L27" t="s" s="10">
        <v>96</v>
      </c>
      <c r="M27" t="s" s="10">
        <v>190</v>
      </c>
      <c r="N27" t="s" s="10">
        <v>288</v>
      </c>
      <c r="O27" s="10"/>
      <c r="P27" s="10"/>
      <c r="Q27" s="10"/>
      <c r="R27" s="10"/>
      <c r="S27" t="s" s="10">
        <v>192</v>
      </c>
      <c r="T27" t="s" s="10">
        <v>289</v>
      </c>
      <c r="U27" t="s" s="10">
        <v>198</v>
      </c>
      <c r="V27" s="10"/>
      <c r="W27" s="16"/>
      <c r="X27" t="s" s="17">
        <v>172</v>
      </c>
      <c r="Y27" s="10"/>
      <c r="Z27" s="10"/>
      <c r="AA27" s="10"/>
      <c r="AB27" s="10"/>
      <c r="AC27" s="10"/>
      <c r="AD27" s="14"/>
      <c r="AE27" s="14"/>
      <c r="AF27" s="14"/>
      <c r="AG27" t="s" s="10">
        <v>50</v>
      </c>
      <c r="AH27" t="s" s="10">
        <v>290</v>
      </c>
      <c r="AI27" t="s" s="10">
        <v>200</v>
      </c>
      <c r="AJ27" t="s" s="10">
        <v>291</v>
      </c>
      <c r="AK27" s="14"/>
    </row>
    <row r="28" ht="18.9" customHeight="1">
      <c r="B28" t="s" s="10">
        <v>161</v>
      </c>
      <c r="C28" t="str" s="11" cm="1">
        <f t="array" ref="C28">B28&amp;"_"&amp;G28</f>
        <v>CON_1x05-3.5-screw</v>
      </c>
      <c r="D28" t="str" s="12" cm="1">
        <f t="array" ref="D28">$G28&amp;IF($B28="LED"," LED","")&amp;IF($V28="",""," ")&amp;$V28&amp;IF($M28="",""," ")&amp;$M28&amp;IF($W28="",""," ")&amp;$W28&amp;IF($X28="",""," ")&amp;$X28&amp;IF($Y28="",""," ")&amp;$Y28&amp;IF($AB28="",""," ")&amp;$AB28&amp;IF($AB28="","","mcd")</f>
        <v>1x05-3.5-screw Screw Header</v>
      </c>
      <c r="E28" t="str" s="12" cm="1">
        <f t="array" ref="E28">$G28&amp;" "&amp;B28&amp;IF($V28="",""," ")&amp;$V28&amp;IF($M28="",""," ")&amp;$M28&amp;IF($W28="",""," ")&amp;$W28&amp;IF($X28="",""," ")&amp;$X28&amp;IF($Y28="",""," ")&amp;$Y28&amp;IF($AB28="",""," ")&amp;$AB28&amp;IF($AB28="","","mcd")</f>
        <v>1x05-3.5-screw CON Screw Header</v>
      </c>
      <c r="F28" t="str" s="11" cm="1">
        <f t="array" ref="F28">IF(ISBLANK(AH28),"",IF(AG28="LCSC",HYPERLINK("https://jlcpcb.com/partdetail/"&amp;$AH28,$AH28),IF(AG28="Mouser",$AH28,$AH28)))</f>
        <v>C3646874</v>
      </c>
      <c r="G28" t="str" s="11" cm="1">
        <f t="array" ref="G28">J28</f>
        <v>1x05-3.5-screw</v>
      </c>
      <c r="H28" s="15"/>
      <c r="I28" s="14"/>
      <c r="J28" t="s" s="10">
        <v>296</v>
      </c>
      <c r="K28" s="14"/>
      <c r="L28" t="s" s="10">
        <v>96</v>
      </c>
      <c r="M28" t="s" s="10">
        <v>254</v>
      </c>
      <c r="N28" t="s" s="10">
        <v>297</v>
      </c>
      <c r="O28" s="10"/>
      <c r="P28" s="10"/>
      <c r="Q28" s="10"/>
      <c r="R28" s="10"/>
      <c r="S28" s="10"/>
      <c r="T28" t="s" s="10">
        <v>289</v>
      </c>
      <c r="U28" t="s" s="10">
        <v>298</v>
      </c>
      <c r="V28" s="10"/>
      <c r="W28" s="10"/>
      <c r="X28" s="10"/>
      <c r="Y28" s="10"/>
      <c r="Z28" s="10"/>
      <c r="AA28" s="10"/>
      <c r="AB28" s="10"/>
      <c r="AC28" s="10"/>
      <c r="AD28" s="14"/>
      <c r="AE28" s="14"/>
      <c r="AF28" s="14"/>
      <c r="AG28" t="s" s="10">
        <v>50</v>
      </c>
      <c r="AH28" t="s" s="10">
        <v>299</v>
      </c>
      <c r="AI28" s="14"/>
      <c r="AJ28" s="14"/>
      <c r="AK28" s="14"/>
    </row>
    <row r="29" ht="18.9" customHeight="1">
      <c r="B29" t="s" s="10">
        <v>161</v>
      </c>
      <c r="C29" t="str" s="11" cm="1">
        <f t="array" ref="C29">B29&amp;"_"&amp;G29</f>
        <v>CON_1x06-0.100</v>
      </c>
      <c r="D29" t="str" s="12" cm="1">
        <f t="array" ref="D29">$G29&amp;IF($B29="LED"," LED","")&amp;IF($V29="",""," ")&amp;$V29&amp;IF($M29="",""," ")&amp;$M29&amp;IF($W29="",""," ")&amp;$W29&amp;IF($X29="",""," ")&amp;$X29&amp;IF($Y29="",""," ")&amp;$Y29&amp;IF($AB29="",""," ")&amp;$AB29&amp;IF($AB29="","","mcd")</f>
        <v>1x06-0.100 Male Header</v>
      </c>
      <c r="E29" t="str" s="12" cm="1">
        <f t="array" ref="E29">$G29&amp;" "&amp;B29&amp;IF($V29="",""," ")&amp;$V29&amp;IF($M29="",""," ")&amp;$M29&amp;IF($W29="",""," ")&amp;$W29&amp;IF($X29="",""," ")&amp;$X29&amp;IF($Y29="",""," ")&amp;$Y29&amp;IF($AB29="",""," ")&amp;$AB29&amp;IF($AB29="","","mcd")</f>
        <v>1x06-0.100 CON Male Header</v>
      </c>
      <c r="F29" t="str" s="11" cm="1">
        <f t="array" ref="F29">IF(ISBLANK(AH29),"",IF(AG29="LCSC",HYPERLINK("https://jlcpcb.com/partdetail/"&amp;$AH29,$AH29),IF(AG29="Mouser",$AH29,$AH29)))</f>
        <v>C37208</v>
      </c>
      <c r="G29" t="str" s="11" cm="1">
        <f t="array" ref="G29">J29</f>
        <v>1x06-0.100</v>
      </c>
      <c r="H29" s="15"/>
      <c r="I29" s="14"/>
      <c r="J29" t="s" s="10">
        <v>304</v>
      </c>
      <c r="K29" s="14"/>
      <c r="L29" t="s" s="10">
        <v>96</v>
      </c>
      <c r="M29" t="s" s="10">
        <v>167</v>
      </c>
      <c r="N29" t="s" s="10">
        <v>305</v>
      </c>
      <c r="O29" s="10"/>
      <c r="P29" s="10"/>
      <c r="Q29" s="10"/>
      <c r="R29" s="10"/>
      <c r="S29" s="10"/>
      <c r="T29" t="s" s="10">
        <v>306</v>
      </c>
      <c r="U29" t="s" s="10">
        <v>170</v>
      </c>
      <c r="V29" s="10"/>
      <c r="W29" s="10"/>
      <c r="X29" s="10"/>
      <c r="Y29" s="10"/>
      <c r="Z29" s="10"/>
      <c r="AA29" s="10"/>
      <c r="AB29" s="10"/>
      <c r="AC29" s="10"/>
      <c r="AD29" t="s" s="10">
        <v>307</v>
      </c>
      <c r="AE29" t="s" s="10">
        <v>308</v>
      </c>
      <c r="AF29" s="14"/>
      <c r="AG29" t="s" s="10">
        <v>50</v>
      </c>
      <c r="AH29" t="s" s="10">
        <v>309</v>
      </c>
      <c r="AI29" t="s" s="10">
        <v>266</v>
      </c>
      <c r="AJ29" t="s" s="10">
        <v>310</v>
      </c>
      <c r="AK29" s="14"/>
    </row>
    <row r="30" ht="20.35" customHeight="1">
      <c r="B30" t="s" s="10">
        <v>161</v>
      </c>
      <c r="C30" t="str" s="11" cm="1">
        <f t="array" ref="C30">B30&amp;"_"&amp;G30</f>
        <v>CON_1x06-2.54-socket</v>
      </c>
      <c r="D30" t="str" s="12" cm="1">
        <f t="array" ref="D30">$G30&amp;IF($B30="LED"," LED","")&amp;IF($V30="",""," ")&amp;$V30&amp;IF($M30="",""," ")&amp;$M30&amp;IF($W30="",""," ")&amp;$W30&amp;IF($X30="",""," ")&amp;$X30&amp;IF($Y30="",""," ")&amp;$Y30&amp;IF($AB30="",""," ")&amp;$AB30&amp;IF($AB30="","","mcd")</f>
        <v>1x06-2.54-socket Female Header</v>
      </c>
      <c r="E30" t="str" s="12" cm="1">
        <f t="array" ref="E30">$G30&amp;" "&amp;B30&amp;IF($V30="",""," ")&amp;$V30&amp;IF($M30="",""," ")&amp;$M30&amp;IF($W30="",""," ")&amp;$W30&amp;IF($X30="",""," ")&amp;$X30&amp;IF($Y30="",""," ")&amp;$Y30&amp;IF($AB30="",""," ")&amp;$AB30&amp;IF($AB30="","","mcd")</f>
        <v>1x06-2.54-socket CON Female Header</v>
      </c>
      <c r="F30" t="str" s="11" cm="1">
        <f t="array" ref="F30">IF(ISBLANK(AH30),"",IF(AG30="LCSC",HYPERLINK("https://jlcpcb.com/partdetail/"&amp;$AH30,$AH30),IF(AG30="Mouser",$AH30,$AH30)))</f>
        <v>C2905416</v>
      </c>
      <c r="G30" t="str" s="11" cm="1">
        <f t="array" ref="G30">J30</f>
        <v>1x06-2.54-socket</v>
      </c>
      <c r="H30" s="13">
        <v>1</v>
      </c>
      <c r="I30" s="14"/>
      <c r="J30" t="s" s="10">
        <v>315</v>
      </c>
      <c r="K30" s="14"/>
      <c r="L30" t="s" s="10">
        <v>96</v>
      </c>
      <c r="M30" t="s" s="10">
        <v>190</v>
      </c>
      <c r="N30" t="s" s="10">
        <v>316</v>
      </c>
      <c r="O30" s="10"/>
      <c r="P30" s="10"/>
      <c r="Q30" s="10"/>
      <c r="R30" s="10"/>
      <c r="S30" t="s" s="10">
        <v>192</v>
      </c>
      <c r="T30" t="s" s="10">
        <v>306</v>
      </c>
      <c r="U30" t="s" s="10">
        <v>170</v>
      </c>
      <c r="V30" s="10"/>
      <c r="W30" s="10"/>
      <c r="X30" s="10"/>
      <c r="Y30" s="10"/>
      <c r="Z30" s="10"/>
      <c r="AA30" s="10"/>
      <c r="AB30" s="10"/>
      <c r="AC30" s="10"/>
      <c r="AD30" s="14"/>
      <c r="AE30" s="14"/>
      <c r="AF30" s="14"/>
      <c r="AG30" t="s" s="10">
        <v>50</v>
      </c>
      <c r="AH30" t="s" s="10">
        <v>317</v>
      </c>
      <c r="AI30" t="s" s="10">
        <v>318</v>
      </c>
      <c r="AJ30" t="s" s="10">
        <v>319</v>
      </c>
      <c r="AK30" s="14"/>
    </row>
    <row r="31" ht="18.9" customHeight="1">
      <c r="B31" t="s" s="10">
        <v>161</v>
      </c>
      <c r="C31" t="str" s="11" cm="1">
        <f t="array" ref="C31">B31&amp;"_"&amp;G31</f>
        <v>CON_1x06-2.54-socket</v>
      </c>
      <c r="D31" t="str" s="12" cm="1">
        <f t="array" ref="D31">$G31&amp;IF($B31="LED"," LED","")&amp;IF($V31="",""," ")&amp;$V31&amp;IF($M31="",""," ")&amp;$M31&amp;IF($W31="",""," ")&amp;$W31&amp;IF($X31="",""," ")&amp;$X31&amp;IF($Y31="",""," ")&amp;$Y31&amp;IF($AB31="",""," ")&amp;$AB31&amp;IF($AB31="","","mcd")</f>
        <v>1x06-2.54-socket Female Header 3A</v>
      </c>
      <c r="E31" t="str" s="12" cm="1">
        <f t="array" ref="E31">$G31&amp;" "&amp;B31&amp;IF($V31="",""," ")&amp;$V31&amp;IF($M31="",""," ")&amp;$M31&amp;IF($W31="",""," ")&amp;$W31&amp;IF($X31="",""," ")&amp;$X31&amp;IF($Y31="",""," ")&amp;$Y31&amp;IF($AB31="",""," ")&amp;$AB31&amp;IF($AB31="","","mcd")</f>
        <v>1x06-2.54-socket CON Female Header 3A</v>
      </c>
      <c r="F31" t="str" s="11" cm="1">
        <f t="array" ref="F31">IF(ISBLANK(AH31),"",IF(AG31="LCSC",HYPERLINK("https://jlcpcb.com/partdetail/"&amp;$AH31,$AH31),IF(AG31="Mouser",$AH31,$AH31)))</f>
        <v>C40877</v>
      </c>
      <c r="G31" t="str" s="11" cm="1">
        <f t="array" ref="G31">J31</f>
        <v>1x06-2.54-socket</v>
      </c>
      <c r="H31" s="13">
        <v>2</v>
      </c>
      <c r="I31" s="14"/>
      <c r="J31" t="s" s="10">
        <v>315</v>
      </c>
      <c r="K31" t="s" s="10">
        <v>323</v>
      </c>
      <c r="L31" t="s" s="10">
        <v>96</v>
      </c>
      <c r="M31" t="s" s="10">
        <v>190</v>
      </c>
      <c r="N31" t="s" s="10">
        <v>324</v>
      </c>
      <c r="O31" s="10"/>
      <c r="P31" s="10"/>
      <c r="Q31" s="10"/>
      <c r="R31" s="10"/>
      <c r="S31" s="10"/>
      <c r="T31" t="s" s="10">
        <v>306</v>
      </c>
      <c r="U31" t="s" s="10">
        <v>198</v>
      </c>
      <c r="V31" s="10"/>
      <c r="W31" s="16"/>
      <c r="X31" t="s" s="17">
        <v>172</v>
      </c>
      <c r="Y31" s="10"/>
      <c r="Z31" s="10"/>
      <c r="AA31" s="10"/>
      <c r="AB31" s="10"/>
      <c r="AC31" s="10"/>
      <c r="AD31" s="14"/>
      <c r="AE31" s="14"/>
      <c r="AF31" s="14"/>
      <c r="AG31" t="s" s="10">
        <v>50</v>
      </c>
      <c r="AH31" t="s" s="10">
        <v>325</v>
      </c>
      <c r="AI31" t="s" s="10">
        <v>200</v>
      </c>
      <c r="AJ31" t="s" s="10">
        <v>326</v>
      </c>
      <c r="AK31" s="14"/>
    </row>
    <row r="32" ht="18.9" customHeight="1">
      <c r="B32" t="s" s="10">
        <v>161</v>
      </c>
      <c r="C32" t="str" s="11" cm="1">
        <f t="array" ref="C32">B32&amp;"_"&amp;G32</f>
        <v>CON_1x07-2.54-socket</v>
      </c>
      <c r="D32" t="str" s="12" cm="1">
        <f t="array" ref="D32">$G32&amp;IF($B32="LED"," LED","")&amp;IF($V32="",""," ")&amp;$V32&amp;IF($M32="",""," ")&amp;$M32&amp;IF($W32="",""," ")&amp;$W32&amp;IF($X32="",""," ")&amp;$X32&amp;IF($Y32="",""," ")&amp;$Y32&amp;IF($AB32="",""," ")&amp;$AB32&amp;IF($AB32="","","mcd")</f>
        <v>1x07-2.54-socket Female Header</v>
      </c>
      <c r="E32" t="str" s="12" cm="1">
        <f t="array" ref="E32">$G32&amp;" "&amp;B32&amp;IF($V32="",""," ")&amp;$V32&amp;IF($M32="",""," ")&amp;$M32&amp;IF($W32="",""," ")&amp;$W32&amp;IF($X32="",""," ")&amp;$X32&amp;IF($Y32="",""," ")&amp;$Y32&amp;IF($AB32="",""," ")&amp;$AB32&amp;IF($AB32="","","mcd")</f>
        <v>1x07-2.54-socket CON Female Header</v>
      </c>
      <c r="F32" t="str" s="11" cm="1">
        <f t="array" ref="F32">IF(ISBLANK(AH32),"",IF(AG32="LCSC",HYPERLINK("https://jlcpcb.com/partdetail/"&amp;$AH32,$AH32),IF(AG32="Mouser",$AH32,$AH32)))</f>
        <v>C22438157</v>
      </c>
      <c r="G32" t="str" s="11" cm="1">
        <f t="array" ref="G32">J32</f>
        <v>1x07-2.54-socket</v>
      </c>
      <c r="H32" s="15"/>
      <c r="I32" s="14"/>
      <c r="J32" t="s" s="10">
        <v>331</v>
      </c>
      <c r="K32" s="14"/>
      <c r="L32" t="s" s="10">
        <v>96</v>
      </c>
      <c r="M32" t="s" s="10">
        <v>190</v>
      </c>
      <c r="N32" t="s" s="10">
        <v>332</v>
      </c>
      <c r="O32" s="10"/>
      <c r="P32" s="10"/>
      <c r="Q32" s="10"/>
      <c r="R32" s="10"/>
      <c r="S32" t="s" s="10">
        <v>192</v>
      </c>
      <c r="T32" t="s" s="10">
        <v>333</v>
      </c>
      <c r="U32" t="s" s="10">
        <v>170</v>
      </c>
      <c r="V32" s="10"/>
      <c r="W32" s="16"/>
      <c r="X32" s="16"/>
      <c r="Y32" s="10"/>
      <c r="Z32" s="10"/>
      <c r="AA32" s="10"/>
      <c r="AB32" s="10"/>
      <c r="AC32" s="10"/>
      <c r="AD32" s="14"/>
      <c r="AE32" s="14"/>
      <c r="AF32" s="14"/>
      <c r="AG32" t="s" s="10">
        <v>50</v>
      </c>
      <c r="AH32" t="s" s="10">
        <v>334</v>
      </c>
      <c r="AI32" t="s" s="10">
        <v>335</v>
      </c>
      <c r="AJ32" t="s" s="10">
        <v>336</v>
      </c>
      <c r="AK32" t="s" s="10">
        <v>337</v>
      </c>
    </row>
    <row r="33" ht="18.9" customHeight="1">
      <c r="B33" t="s" s="10">
        <v>161</v>
      </c>
      <c r="C33" t="str" s="11" cm="1">
        <f t="array" ref="C33">B33&amp;"_"&amp;G33</f>
        <v>CON_1x08-2.54-socket</v>
      </c>
      <c r="D33" t="str" s="12" cm="1">
        <f t="array" ref="D33">$G33&amp;IF($B33="LED"," LED","")&amp;IF($V33="",""," ")&amp;$V33&amp;IF($M33="",""," ")&amp;$M33&amp;IF($W33="",""," ")&amp;$W33&amp;IF($X33="",""," ")&amp;$X33&amp;IF($Y33="",""," ")&amp;$Y33&amp;IF($AB33="",""," ")&amp;$AB33&amp;IF($AB33="","","mcd")</f>
        <v>1x08-2.54-socket Female Header 3A</v>
      </c>
      <c r="E33" t="str" s="12" cm="1">
        <f t="array" ref="E33">$G33&amp;" "&amp;B33&amp;IF($V33="",""," ")&amp;$V33&amp;IF($M33="",""," ")&amp;$M33&amp;IF($W33="",""," ")&amp;$W33&amp;IF($X33="",""," ")&amp;$X33&amp;IF($Y33="",""," ")&amp;$Y33&amp;IF($AB33="",""," ")&amp;$AB33&amp;IF($AB33="","","mcd")</f>
        <v>1x08-2.54-socket CON Female Header 3A</v>
      </c>
      <c r="F33" t="str" s="11" cm="1">
        <f t="array" ref="F33">IF(ISBLANK(AH33),"",IF(AG33="LCSC",HYPERLINK("https://jlcpcb.com/partdetail/"&amp;$AH33,$AH33),IF(AG33="Mouser",$AH33,$AH33)))</f>
        <v>C27438</v>
      </c>
      <c r="G33" t="str" s="11" cm="1">
        <f t="array" ref="G33">J33</f>
        <v>1x08-2.54-socket</v>
      </c>
      <c r="H33" s="15"/>
      <c r="I33" s="14"/>
      <c r="J33" t="s" s="10">
        <v>342</v>
      </c>
      <c r="K33" s="14"/>
      <c r="L33" t="s" s="10">
        <v>96</v>
      </c>
      <c r="M33" t="s" s="10">
        <v>190</v>
      </c>
      <c r="N33" t="s" s="10">
        <v>343</v>
      </c>
      <c r="O33" s="10"/>
      <c r="P33" s="10"/>
      <c r="Q33" s="10"/>
      <c r="R33" s="10"/>
      <c r="S33" t="s" s="10">
        <v>192</v>
      </c>
      <c r="T33" t="s" s="10">
        <v>344</v>
      </c>
      <c r="U33" t="s" s="10">
        <v>198</v>
      </c>
      <c r="V33" s="10"/>
      <c r="W33" s="16"/>
      <c r="X33" t="s" s="17">
        <v>172</v>
      </c>
      <c r="Y33" s="10"/>
      <c r="Z33" s="10"/>
      <c r="AA33" s="10"/>
      <c r="AB33" s="10"/>
      <c r="AC33" s="10"/>
      <c r="AD33" s="14"/>
      <c r="AE33" s="14"/>
      <c r="AF33" s="14"/>
      <c r="AG33" t="s" s="10">
        <v>50</v>
      </c>
      <c r="AH33" t="s" s="10">
        <v>345</v>
      </c>
      <c r="AI33" t="s" s="10">
        <v>200</v>
      </c>
      <c r="AJ33" t="s" s="10">
        <v>346</v>
      </c>
      <c r="AK33" s="14"/>
    </row>
    <row r="34" ht="18.9" customHeight="1">
      <c r="B34" t="s" s="10">
        <v>161</v>
      </c>
      <c r="C34" t="str" s="11" cm="1">
        <f t="array" ref="C34">B34&amp;"_"&amp;G34</f>
        <v>CON_1x10-2.54-socket</v>
      </c>
      <c r="D34" t="str" s="12" cm="1">
        <f t="array" ref="D34">$G34&amp;IF($B34="LED"," LED","")&amp;IF($V34="",""," ")&amp;$V34&amp;IF($M34="",""," ")&amp;$M34&amp;IF($W34="",""," ")&amp;$W34&amp;IF($X34="",""," ")&amp;$X34&amp;IF($Y34="",""," ")&amp;$Y34&amp;IF($AB34="",""," ")&amp;$AB34&amp;IF($AB34="","","mcd")</f>
        <v>1x10-2.54-socket Female Header 3A</v>
      </c>
      <c r="E34" t="str" s="12" cm="1">
        <f t="array" ref="E34">$G34&amp;" "&amp;B34&amp;IF($V34="",""," ")&amp;$V34&amp;IF($M34="",""," ")&amp;$M34&amp;IF($W34="",""," ")&amp;$W34&amp;IF($X34="",""," ")&amp;$X34&amp;IF($Y34="",""," ")&amp;$Y34&amp;IF($AB34="",""," ")&amp;$AB34&amp;IF($AB34="","","mcd")</f>
        <v>1x10-2.54-socket CON Female Header 3A</v>
      </c>
      <c r="F34" t="str" s="11" cm="1">
        <f t="array" ref="F34">IF(ISBLANK(AH34),"",IF(AG34="LCSC",HYPERLINK("https://jlcpcb.com/partdetail/"&amp;$AH34,$AH34),IF(AG34="Mouser",$AH34,$AH34)))</f>
        <v>C35445</v>
      </c>
      <c r="G34" t="str" s="11" cm="1">
        <f t="array" ref="G34">J34</f>
        <v>1x10-2.54-socket</v>
      </c>
      <c r="H34" s="15"/>
      <c r="I34" s="14"/>
      <c r="J34" t="s" s="10">
        <v>351</v>
      </c>
      <c r="K34" s="14"/>
      <c r="L34" t="s" s="10">
        <v>96</v>
      </c>
      <c r="M34" t="s" s="10">
        <v>190</v>
      </c>
      <c r="N34" t="s" s="10">
        <v>352</v>
      </c>
      <c r="O34" s="10"/>
      <c r="P34" s="10"/>
      <c r="Q34" s="10"/>
      <c r="R34" s="10"/>
      <c r="S34" s="10"/>
      <c r="T34" t="s" s="10">
        <v>353</v>
      </c>
      <c r="U34" t="s" s="10">
        <v>198</v>
      </c>
      <c r="V34" s="10"/>
      <c r="W34" s="16"/>
      <c r="X34" t="s" s="17">
        <v>172</v>
      </c>
      <c r="Y34" s="10"/>
      <c r="Z34" s="10"/>
      <c r="AA34" s="10"/>
      <c r="AB34" s="10"/>
      <c r="AC34" s="10"/>
      <c r="AD34" s="14"/>
      <c r="AE34" s="14"/>
      <c r="AF34" s="14"/>
      <c r="AG34" t="s" s="10">
        <v>50</v>
      </c>
      <c r="AH34" t="s" s="10">
        <v>354</v>
      </c>
      <c r="AI34" t="s" s="10">
        <v>200</v>
      </c>
      <c r="AJ34" t="s" s="10">
        <v>355</v>
      </c>
      <c r="AK34" s="14"/>
    </row>
    <row r="35" ht="18.9" customHeight="1">
      <c r="B35" t="s" s="10">
        <v>161</v>
      </c>
      <c r="C35" t="str" s="11" cm="1">
        <f t="array" ref="C35">B35&amp;"_"&amp;G35</f>
        <v>CON_1x12-2.54-socket</v>
      </c>
      <c r="D35" t="str" s="12" cm="1">
        <f t="array" ref="D35">$G35&amp;IF($B35="LED"," LED","")&amp;IF($V35="",""," ")&amp;$V35&amp;IF($M35="",""," ")&amp;$M35&amp;IF($W35="",""," ")&amp;$W35&amp;IF($X35="",""," ")&amp;$X35&amp;IF($Y35="",""," ")&amp;$Y35&amp;IF($AB35="",""," ")&amp;$AB35&amp;IF($AB35="","","mcd")</f>
        <v>1x12-2.54-socket Female Header 3A</v>
      </c>
      <c r="E35" t="str" s="12" cm="1">
        <f t="array" ref="E35">$G35&amp;" "&amp;B35&amp;IF($V35="",""," ")&amp;$V35&amp;IF($M35="",""," ")&amp;$M35&amp;IF($W35="",""," ")&amp;$W35&amp;IF($X35="",""," ")&amp;$X35&amp;IF($Y35="",""," ")&amp;$Y35&amp;IF($AB35="",""," ")&amp;$AB35&amp;IF($AB35="","","mcd")</f>
        <v>1x12-2.54-socket CON Female Header 3A</v>
      </c>
      <c r="F35" t="str" s="11" cm="1">
        <f t="array" ref="F35">IF(ISBLANK(AH35),"",IF(AG35="LCSC",HYPERLINK("https://jlcpcb.com/partdetail/"&amp;$AH35,$AH35),IF(AG35="Mouser",$AH35,$AH35)))</f>
        <v>C2905419</v>
      </c>
      <c r="G35" t="str" s="11" cm="1">
        <f t="array" ref="G35">J35</f>
        <v>1x12-2.54-socket</v>
      </c>
      <c r="H35" s="15"/>
      <c r="I35" s="14"/>
      <c r="J35" t="s" s="10">
        <v>360</v>
      </c>
      <c r="K35" s="14"/>
      <c r="L35" t="s" s="10">
        <v>96</v>
      </c>
      <c r="M35" t="s" s="10">
        <v>190</v>
      </c>
      <c r="N35" t="s" s="10">
        <v>361</v>
      </c>
      <c r="O35" s="10"/>
      <c r="P35" s="10"/>
      <c r="Q35" s="10"/>
      <c r="R35" s="10"/>
      <c r="S35" t="s" s="10">
        <v>192</v>
      </c>
      <c r="T35" t="s" s="10">
        <v>362</v>
      </c>
      <c r="U35" t="s" s="10">
        <v>170</v>
      </c>
      <c r="V35" s="10"/>
      <c r="W35" s="10"/>
      <c r="X35" t="s" s="10">
        <v>172</v>
      </c>
      <c r="Y35" s="10"/>
      <c r="Z35" s="10"/>
      <c r="AA35" s="10"/>
      <c r="AB35" s="10"/>
      <c r="AC35" s="10"/>
      <c r="AD35" s="14"/>
      <c r="AE35" s="14"/>
      <c r="AF35" s="14"/>
      <c r="AG35" t="s" s="10">
        <v>50</v>
      </c>
      <c r="AH35" t="s" s="10">
        <v>363</v>
      </c>
      <c r="AI35" t="s" s="10">
        <v>318</v>
      </c>
      <c r="AJ35" t="s" s="10">
        <v>364</v>
      </c>
      <c r="AK35" s="14"/>
    </row>
    <row r="36" ht="18.9" customHeight="1">
      <c r="B36" t="s" s="10">
        <v>161</v>
      </c>
      <c r="C36" t="str" s="11" cm="1">
        <f t="array" ref="C36">B36&amp;"_"&amp;G36</f>
        <v>CON_1x13-2.54-socket</v>
      </c>
      <c r="D36" t="str" s="12" cm="1">
        <f t="array" ref="D36">$G36&amp;IF($B36="LED"," LED","")&amp;IF($V36="",""," ")&amp;$V36&amp;IF($M36="",""," ")&amp;$M36&amp;IF($W36="",""," ")&amp;$W36&amp;IF($X36="",""," ")&amp;$X36&amp;IF($Y36="",""," ")&amp;$Y36&amp;IF($AB36="",""," ")&amp;$AB36&amp;IF($AB36="","","mcd")</f>
        <v>1x13-2.54-socket Female Header 3A</v>
      </c>
      <c r="E36" t="str" s="12" cm="1">
        <f t="array" ref="E36">$G36&amp;" "&amp;B36&amp;IF($V36="",""," ")&amp;$V36&amp;IF($M36="",""," ")&amp;$M36&amp;IF($W36="",""," ")&amp;$W36&amp;IF($X36="",""," ")&amp;$X36&amp;IF($Y36="",""," ")&amp;$Y36&amp;IF($AB36="",""," ")&amp;$AB36&amp;IF($AB36="","","mcd")</f>
        <v>1x13-2.54-socket CON Female Header 3A</v>
      </c>
      <c r="F36" t="str" s="11" cm="1">
        <f t="array" ref="F36">IF(ISBLANK(AH36),"",IF(AG36="LCSC",HYPERLINK("https://jlcpcb.com/partdetail/"&amp;$AH36,$AH36),IF(AG36="Mouser",$AH36,$AH36)))</f>
        <v>C2685211</v>
      </c>
      <c r="G36" t="str" s="11" cm="1">
        <f t="array" ref="G36">J36</f>
        <v>1x13-2.54-socket</v>
      </c>
      <c r="H36" s="15"/>
      <c r="I36" s="14"/>
      <c r="J36" t="s" s="10">
        <v>369</v>
      </c>
      <c r="K36" s="14"/>
      <c r="L36" t="s" s="10">
        <v>96</v>
      </c>
      <c r="M36" t="s" s="10">
        <v>190</v>
      </c>
      <c r="N36" t="s" s="10">
        <v>370</v>
      </c>
      <c r="O36" s="10"/>
      <c r="P36" s="10"/>
      <c r="Q36" s="10"/>
      <c r="R36" s="10"/>
      <c r="S36" t="s" s="10">
        <v>192</v>
      </c>
      <c r="T36" t="s" s="10">
        <v>371</v>
      </c>
      <c r="U36" t="s" s="10">
        <v>170</v>
      </c>
      <c r="V36" s="10"/>
      <c r="W36" s="10"/>
      <c r="X36" t="s" s="10">
        <v>172</v>
      </c>
      <c r="Y36" s="10"/>
      <c r="Z36" s="10"/>
      <c r="AA36" s="10"/>
      <c r="AB36" s="10"/>
      <c r="AC36" s="10"/>
      <c r="AD36" s="14"/>
      <c r="AE36" s="14"/>
      <c r="AF36" s="14"/>
      <c r="AG36" t="s" s="10">
        <v>50</v>
      </c>
      <c r="AH36" t="s" s="10">
        <v>372</v>
      </c>
      <c r="AI36" t="s" s="10">
        <v>373</v>
      </c>
      <c r="AJ36" t="s" s="10">
        <v>374</v>
      </c>
      <c r="AK36" s="14"/>
    </row>
    <row r="37" ht="18.9" customHeight="1">
      <c r="B37" t="s" s="10">
        <v>161</v>
      </c>
      <c r="C37" t="str" s="11" cm="1">
        <f t="array" ref="C37">B37&amp;"_"&amp;G37</f>
        <v>CON_1x14-2.54-socket</v>
      </c>
      <c r="D37" t="str" s="12" cm="1">
        <f t="array" ref="D37">$G37&amp;IF($B37="LED"," LED","")&amp;IF($V37="",""," ")&amp;$V37&amp;IF($M37="",""," ")&amp;$M37&amp;IF($W37="",""," ")&amp;$W37&amp;IF($X37="",""," ")&amp;$X37&amp;IF($Y37="",""," ")&amp;$Y37&amp;IF($AB37="",""," ")&amp;$AB37&amp;IF($AB37="","","mcd")</f>
        <v>1x14-2.54-socket Female Header 3A</v>
      </c>
      <c r="E37" t="str" s="12" cm="1">
        <f t="array" ref="E37">$G37&amp;" "&amp;B37&amp;IF($V37="",""," ")&amp;$V37&amp;IF($M37="",""," ")&amp;$M37&amp;IF($W37="",""," ")&amp;$W37&amp;IF($X37="",""," ")&amp;$X37&amp;IF($Y37="",""," ")&amp;$Y37&amp;IF($AB37="",""," ")&amp;$AB37&amp;IF($AB37="","","mcd")</f>
        <v>1x14-2.54-socket CON Female Header 3A</v>
      </c>
      <c r="F37" t="str" s="11" cm="1">
        <f t="array" ref="F37">IF(ISBLANK(AH37),"",IF(AG37="LCSC",HYPERLINK("https://jlcpcb.com/partdetail/"&amp;$AH37,$AH37),IF(AG37="Mouser",$AH37,$AH37)))</f>
        <v>C52711</v>
      </c>
      <c r="G37" t="str" s="11" cm="1">
        <f t="array" ref="G37">J37</f>
        <v>1x14-2.54-socket</v>
      </c>
      <c r="H37" s="15"/>
      <c r="I37" s="14"/>
      <c r="J37" t="s" s="10">
        <v>379</v>
      </c>
      <c r="K37" s="14"/>
      <c r="L37" t="s" s="10">
        <v>96</v>
      </c>
      <c r="M37" t="s" s="10">
        <v>190</v>
      </c>
      <c r="N37" t="s" s="10">
        <v>380</v>
      </c>
      <c r="O37" s="10"/>
      <c r="P37" s="10"/>
      <c r="Q37" s="10"/>
      <c r="R37" s="10"/>
      <c r="S37" s="16"/>
      <c r="T37" t="s" s="10">
        <v>381</v>
      </c>
      <c r="U37" t="s" s="10">
        <v>198</v>
      </c>
      <c r="V37" s="10"/>
      <c r="W37" s="16"/>
      <c r="X37" t="s" s="17">
        <v>172</v>
      </c>
      <c r="Y37" s="10"/>
      <c r="Z37" s="10"/>
      <c r="AA37" s="10"/>
      <c r="AB37" s="10"/>
      <c r="AC37" s="10"/>
      <c r="AD37" s="14"/>
      <c r="AE37" s="14"/>
      <c r="AF37" s="14"/>
      <c r="AG37" t="s" s="10">
        <v>50</v>
      </c>
      <c r="AH37" t="s" s="10">
        <v>382</v>
      </c>
      <c r="AI37" t="s" s="10">
        <v>200</v>
      </c>
      <c r="AJ37" t="s" s="10">
        <v>383</v>
      </c>
      <c r="AK37" s="14"/>
    </row>
    <row r="38" ht="18.9" customHeight="1">
      <c r="B38" t="s" s="10">
        <v>161</v>
      </c>
      <c r="C38" t="str" s="11" cm="1">
        <f t="array" ref="C38">B38&amp;"_"&amp;G38</f>
        <v>CON_1x15-2.54-socket</v>
      </c>
      <c r="D38" t="str" s="12" cm="1">
        <f t="array" ref="D38">$G38&amp;IF($B38="LED"," LED","")&amp;IF($V38="",""," ")&amp;$V38&amp;IF($M38="",""," ")&amp;$M38&amp;IF($W38="",""," ")&amp;$W38&amp;IF($X38="",""," ")&amp;$X38&amp;IF($Y38="",""," ")&amp;$Y38&amp;IF($AB38="",""," ")&amp;$AB38&amp;IF($AB38="","","mcd")</f>
        <v>1x15-2.54-socket Female Header 3A</v>
      </c>
      <c r="E38" t="str" s="12" cm="1">
        <f t="array" ref="E38">$G38&amp;" "&amp;B38&amp;IF($V38="",""," ")&amp;$V38&amp;IF($M38="",""," ")&amp;$M38&amp;IF($W38="",""," ")&amp;$W38&amp;IF($X38="",""," ")&amp;$X38&amp;IF($Y38="",""," ")&amp;$Y38&amp;IF($AB38="",""," ")&amp;$AB38&amp;IF($AB38="","","mcd")</f>
        <v>1x15-2.54-socket CON Female Header 3A</v>
      </c>
      <c r="F38" t="str" s="11" cm="1">
        <f t="array" ref="F38">IF(ISBLANK(AH38),"",IF(AG38="LCSC",HYPERLINK("https://jlcpcb.com/partdetail/"&amp;$AH38,$AH38),IF(AG38="Mouser",$AH38,$AH38)))</f>
        <v>C7499333</v>
      </c>
      <c r="G38" t="str" s="11" cm="1">
        <f t="array" ref="G38">J38</f>
        <v>1x15-2.54-socket</v>
      </c>
      <c r="H38" s="15"/>
      <c r="I38" s="14"/>
      <c r="J38" t="s" s="10">
        <v>388</v>
      </c>
      <c r="K38" s="14"/>
      <c r="L38" t="s" s="10">
        <v>96</v>
      </c>
      <c r="M38" t="s" s="10">
        <v>190</v>
      </c>
      <c r="N38" t="s" s="10">
        <v>389</v>
      </c>
      <c r="O38" s="10"/>
      <c r="P38" s="10"/>
      <c r="Q38" s="10"/>
      <c r="R38" s="10"/>
      <c r="S38" t="s" s="10">
        <v>192</v>
      </c>
      <c r="T38" t="s" s="10">
        <v>390</v>
      </c>
      <c r="U38" t="s" s="10">
        <v>170</v>
      </c>
      <c r="V38" s="10"/>
      <c r="W38" s="10"/>
      <c r="X38" t="s" s="10">
        <v>172</v>
      </c>
      <c r="Y38" s="10"/>
      <c r="Z38" s="10"/>
      <c r="AA38" s="10"/>
      <c r="AB38" s="10"/>
      <c r="AC38" s="10"/>
      <c r="AD38" s="14"/>
      <c r="AE38" s="14"/>
      <c r="AF38" s="14"/>
      <c r="AG38" t="s" s="10">
        <v>50</v>
      </c>
      <c r="AH38" t="s" s="10">
        <v>391</v>
      </c>
      <c r="AI38" t="s" s="10">
        <v>215</v>
      </c>
      <c r="AJ38" t="s" s="10">
        <v>392</v>
      </c>
      <c r="AK38" s="14"/>
    </row>
    <row r="39" ht="18.9" customHeight="1">
      <c r="B39" t="s" s="10">
        <v>161</v>
      </c>
      <c r="C39" t="str" s="11" cm="1">
        <f t="array" ref="C39">B39&amp;"_"&amp;G39</f>
        <v>CON_1x16-2.54-socket</v>
      </c>
      <c r="D39" t="str" s="12" cm="1">
        <f t="array" ref="D39">$G39&amp;IF($B39="LED"," LED","")&amp;IF($V39="",""," ")&amp;$V39&amp;IF($M39="",""," ")&amp;$M39&amp;IF($W39="",""," ")&amp;$W39&amp;IF($X39="",""," ")&amp;$X39&amp;IF($Y39="",""," ")&amp;$Y39&amp;IF($AB39="",""," ")&amp;$AB39&amp;IF($AB39="","","mcd")</f>
        <v>1x16-2.54-socket Female Header 3A</v>
      </c>
      <c r="E39" t="str" s="12" cm="1">
        <f t="array" ref="E39">$G39&amp;" "&amp;B39&amp;IF($V39="",""," ")&amp;$V39&amp;IF($M39="",""," ")&amp;$M39&amp;IF($W39="",""," ")&amp;$W39&amp;IF($X39="",""," ")&amp;$X39&amp;IF($Y39="",""," ")&amp;$Y39&amp;IF($AB39="",""," ")&amp;$AB39&amp;IF($AB39="","","mcd")</f>
        <v>1x16-2.54-socket CON Female Header 3A</v>
      </c>
      <c r="F39" t="str" s="11" cm="1">
        <f t="array" ref="F39">IF(ISBLANK(AH39),"",IF(AG39="LCSC",HYPERLINK("https://jlcpcb.com/partdetail/"&amp;$AH39,$AH39),IF(AG39="Mouser",$AH39,$AH39)))</f>
        <v>C66987</v>
      </c>
      <c r="G39" t="str" s="11" cm="1">
        <f t="array" ref="G39">J39</f>
        <v>1x16-2.54-socket</v>
      </c>
      <c r="H39" s="15"/>
      <c r="I39" s="14"/>
      <c r="J39" t="s" s="10">
        <v>397</v>
      </c>
      <c r="K39" s="14"/>
      <c r="L39" t="s" s="10">
        <v>96</v>
      </c>
      <c r="M39" t="s" s="10">
        <v>190</v>
      </c>
      <c r="N39" t="s" s="10">
        <v>398</v>
      </c>
      <c r="O39" s="10"/>
      <c r="P39" s="10"/>
      <c r="Q39" s="10"/>
      <c r="R39" s="10"/>
      <c r="S39" t="s" s="10">
        <v>192</v>
      </c>
      <c r="T39" t="s" s="10">
        <v>399</v>
      </c>
      <c r="U39" t="s" s="10">
        <v>198</v>
      </c>
      <c r="V39" s="10"/>
      <c r="W39" s="16"/>
      <c r="X39" t="s" s="17">
        <v>172</v>
      </c>
      <c r="Y39" s="10"/>
      <c r="Z39" s="10"/>
      <c r="AA39" s="10"/>
      <c r="AB39" s="10"/>
      <c r="AC39" s="10"/>
      <c r="AD39" s="14"/>
      <c r="AE39" s="14"/>
      <c r="AF39" s="14"/>
      <c r="AG39" t="s" s="10">
        <v>50</v>
      </c>
      <c r="AH39" t="s" s="10">
        <v>400</v>
      </c>
      <c r="AI39" t="s" s="10">
        <v>200</v>
      </c>
      <c r="AJ39" t="s" s="10">
        <v>401</v>
      </c>
      <c r="AK39" s="14"/>
    </row>
    <row r="40" ht="18.9" customHeight="1">
      <c r="B40" t="s" s="10">
        <v>161</v>
      </c>
      <c r="C40" t="str" s="11" cm="1">
        <f t="array" ref="C40">B40&amp;"_"&amp;G40</f>
        <v>CON_1x6-0.100-FTDI</v>
      </c>
      <c r="D40" t="str" s="12" cm="1">
        <f t="array" ref="D40">$G40&amp;IF($B40="LED"," LED","")&amp;IF($V40="",""," ")&amp;$V40&amp;IF($M40="",""," ")&amp;$M40&amp;IF($W40="",""," ")&amp;$W40&amp;IF($X40="",""," ")&amp;$X40&amp;IF($Y40="",""," ")&amp;$Y40&amp;IF($AB40="",""," ")&amp;$AB40&amp;IF($AB40="","","mcd")</f>
        <v>1x6-0.100-FTDI Male Header</v>
      </c>
      <c r="E40" t="str" s="12" cm="1">
        <f t="array" ref="E40">$G40&amp;" "&amp;B40&amp;IF($V40="",""," ")&amp;$V40&amp;IF($M40="",""," ")&amp;$M40&amp;IF($W40="",""," ")&amp;$W40&amp;IF($X40="",""," ")&amp;$X40&amp;IF($Y40="",""," ")&amp;$Y40&amp;IF($AB40="",""," ")&amp;$AB40&amp;IF($AB40="","","mcd")</f>
        <v>1x6-0.100-FTDI CON Male Header</v>
      </c>
      <c r="F40" t="str" s="11" cm="1">
        <f t="array" ref="F40">IF(ISBLANK(AH40),"",IF(AG40="LCSC",HYPERLINK("https://jlcpcb.com/partdetail/"&amp;$AH40,$AH40),IF(AG40="Mouser",$AH40,$AH40)))</f>
        <v>C37208</v>
      </c>
      <c r="G40" t="str" s="11" cm="1">
        <f t="array" ref="G40">J40</f>
        <v>1x6-0.100-FTDI</v>
      </c>
      <c r="H40" s="15"/>
      <c r="I40" s="14"/>
      <c r="J40" t="s" s="10">
        <v>405</v>
      </c>
      <c r="K40" s="14"/>
      <c r="L40" t="s" s="10">
        <v>96</v>
      </c>
      <c r="M40" t="s" s="10">
        <v>167</v>
      </c>
      <c r="N40" t="s" s="10">
        <v>406</v>
      </c>
      <c r="O40" s="10"/>
      <c r="P40" s="10"/>
      <c r="Q40" s="10"/>
      <c r="R40" s="10"/>
      <c r="S40" s="10"/>
      <c r="T40" t="s" s="10">
        <v>306</v>
      </c>
      <c r="U40" t="s" s="10">
        <v>170</v>
      </c>
      <c r="V40" s="10"/>
      <c r="W40" s="10"/>
      <c r="X40" s="10"/>
      <c r="Y40" s="10"/>
      <c r="Z40" s="10"/>
      <c r="AA40" s="10"/>
      <c r="AB40" s="10"/>
      <c r="AC40" s="10"/>
      <c r="AD40" t="s" s="10">
        <v>407</v>
      </c>
      <c r="AE40" t="s" s="10">
        <v>408</v>
      </c>
      <c r="AF40" s="14"/>
      <c r="AG40" t="s" s="10">
        <v>50</v>
      </c>
      <c r="AH40" t="s" s="10">
        <v>309</v>
      </c>
      <c r="AI40" t="s" s="10">
        <v>266</v>
      </c>
      <c r="AJ40" t="s" s="10">
        <v>310</v>
      </c>
      <c r="AK40" s="14"/>
    </row>
    <row r="41" ht="18.9" customHeight="1">
      <c r="B41" t="s" s="10">
        <v>161</v>
      </c>
      <c r="C41" t="str" s="11" cm="1">
        <f t="array" ref="C41">B41&amp;"_"&amp;G41</f>
        <v>CON_DCJ0202</v>
      </c>
      <c r="D41" t="str" s="12" cm="1">
        <f t="array" ref="D41">$G41&amp;IF($B41="LED"," LED","")&amp;IF($V41="",""," ")&amp;$V41&amp;IF($M41="",""," ")&amp;$M41&amp;IF($W41="",""," ")&amp;$W41&amp;IF($X41="",""," ")&amp;$X41&amp;IF($Y41="",""," ")&amp;$Y41&amp;IF($AB41="",""," ")&amp;$AB41&amp;IF($AB41="","","mcd")</f>
        <v>DCJ0202 Power Connector</v>
      </c>
      <c r="E41" t="str" s="12" cm="1">
        <f t="array" ref="E41">$G41&amp;" "&amp;B41&amp;IF($V41="",""," ")&amp;$V41&amp;IF($M41="",""," ")&amp;$M41&amp;IF($W41="",""," ")&amp;$W41&amp;IF($X41="",""," ")&amp;$X41&amp;IF($Y41="",""," ")&amp;$Y41&amp;IF($AB41="",""," ")&amp;$AB41&amp;IF($AB41="","","mcd")</f>
        <v>DCJ0202 CON Power Connector</v>
      </c>
      <c r="F41" t="str" s="11" cm="1">
        <f t="array" ref="F41">IF(ISBLANK(AH41),"",IF(AG41="LCSC",HYPERLINK("https://jlcpcb.com/partdetail/"&amp;$AH41,$AH41),IF(AG41="Mouser",$AH41,$AH41)))</f>
      </c>
      <c r="G41" t="str" s="11" cm="1">
        <f t="array" ref="G41">J41</f>
        <v>DCJ0202</v>
      </c>
      <c r="H41" s="15"/>
      <c r="I41" s="14"/>
      <c r="J41" t="str" s="14" cm="1">
        <f t="array" ref="J41">AJ41</f>
        <v>DCJ0202</v>
      </c>
      <c r="K41" s="14"/>
      <c r="L41" t="s" s="10">
        <v>96</v>
      </c>
      <c r="M41" t="s" s="10">
        <v>413</v>
      </c>
      <c r="N41" t="s" s="10">
        <v>414</v>
      </c>
      <c r="O41" s="10"/>
      <c r="P41" s="10"/>
      <c r="Q41" s="10"/>
      <c r="R41" s="10"/>
      <c r="S41" s="10"/>
      <c r="T41" t="s" s="10">
        <v>415</v>
      </c>
      <c r="U41" s="10"/>
      <c r="V41" s="10"/>
      <c r="W41" s="10"/>
      <c r="X41" s="10"/>
      <c r="Y41" s="10"/>
      <c r="Z41" s="10"/>
      <c r="AA41" s="10"/>
      <c r="AB41" s="10"/>
      <c r="AC41" s="10"/>
      <c r="AD41" t="s" s="10">
        <v>416</v>
      </c>
      <c r="AE41" t="s" s="10">
        <v>417</v>
      </c>
      <c r="AF41" s="14"/>
      <c r="AG41" s="14"/>
      <c r="AH41" s="14"/>
      <c r="AI41" s="14"/>
      <c r="AJ41" t="s" s="10">
        <v>412</v>
      </c>
      <c r="AK41" s="14"/>
    </row>
    <row r="42" ht="18.9" customHeight="1">
      <c r="B42" t="s" s="10">
        <v>161</v>
      </c>
      <c r="C42" t="str" s="11" cm="1">
        <f t="array" ref="C42">B42&amp;"_"&amp;G42</f>
        <v>CON_DIP-14</v>
      </c>
      <c r="D42" t="str" s="12" cm="1">
        <f t="array" ref="D42">$G42&amp;IF($B42="LED"," LED","")&amp;IF($V42="",""," ")&amp;$V42&amp;IF($M42="",""," ")&amp;$M42&amp;IF($W42="",""," ")&amp;$W42&amp;IF($X42="",""," ")&amp;$X42&amp;IF($Y42="",""," ")&amp;$Y42&amp;IF($AB42="",""," ")&amp;$AB42&amp;IF($AB42="","","mcd")</f>
        <v>DIP-14 Socket</v>
      </c>
      <c r="E42" t="str" s="12" cm="1">
        <f t="array" ref="E42">$G42&amp;" "&amp;B42&amp;IF($V42="",""," ")&amp;$V42&amp;IF($M42="",""," ")&amp;$M42&amp;IF($W42="",""," ")&amp;$W42&amp;IF($X42="",""," ")&amp;$X42&amp;IF($Y42="",""," ")&amp;$Y42&amp;IF($AB42="",""," ")&amp;$AB42&amp;IF($AB42="","","mcd")</f>
        <v>DIP-14 CON Socket</v>
      </c>
      <c r="F42" t="str" s="11" cm="1">
        <f t="array" ref="F42">IF(ISBLANK(AH42),"",IF(AG42="LCSC",HYPERLINK("https://jlcpcb.com/partdetail/"&amp;$AH42,$AH42),IF(AG42="Mouser",$AH42,$AH42)))</f>
        <v>C2325</v>
      </c>
      <c r="G42" t="s" s="18">
        <v>422</v>
      </c>
      <c r="H42" s="15"/>
      <c r="I42" s="14"/>
      <c r="J42" t="s" s="10">
        <v>422</v>
      </c>
      <c r="K42" s="14"/>
      <c r="L42" t="s" s="10">
        <v>96</v>
      </c>
      <c r="M42" t="s" s="10">
        <v>423</v>
      </c>
      <c r="N42" t="s" s="10">
        <v>424</v>
      </c>
      <c r="O42" s="10"/>
      <c r="P42" s="10"/>
      <c r="Q42" s="10"/>
      <c r="R42" t="s" s="10">
        <v>422</v>
      </c>
      <c r="S42" t="s" s="10">
        <v>425</v>
      </c>
      <c r="T42" t="s" s="10">
        <v>426</v>
      </c>
      <c r="U42" t="s" s="10">
        <v>170</v>
      </c>
      <c r="V42" s="10"/>
      <c r="W42" s="10"/>
      <c r="X42" s="10"/>
      <c r="Y42" s="10"/>
      <c r="Z42" s="10"/>
      <c r="AA42" s="10"/>
      <c r="AB42" s="10"/>
      <c r="AC42" s="10"/>
      <c r="AD42" s="14"/>
      <c r="AE42" t="s" s="10">
        <v>427</v>
      </c>
      <c r="AF42" s="14"/>
      <c r="AG42" t="s" s="10">
        <v>50</v>
      </c>
      <c r="AH42" t="s" s="10">
        <v>428</v>
      </c>
      <c r="AI42" t="s" s="10">
        <v>200</v>
      </c>
      <c r="AJ42" t="s" s="10">
        <v>429</v>
      </c>
      <c r="AK42" s="14"/>
    </row>
    <row r="43" ht="18.9" customHeight="1">
      <c r="B43" t="s" s="10">
        <v>161</v>
      </c>
      <c r="C43" t="str" s="11" cm="1">
        <f t="array" ref="C43">B43&amp;"_"&amp;G43</f>
        <v>CON_RJ12</v>
      </c>
      <c r="D43" t="str" s="12" cm="1">
        <f t="array" ref="D43">$G43&amp;IF($B43="LED"," LED","")&amp;IF($V43="",""," ")&amp;$V43&amp;IF($M43="",""," ")&amp;$M43&amp;IF($W43="",""," ")&amp;$W43&amp;IF($X43="",""," ")&amp;$X43&amp;IF($Y43="",""," ")&amp;$Y43&amp;IF($AB43="",""," ")&amp;$AB43&amp;IF($AB43="","","mcd")</f>
        <v>RJ12 RJ12</v>
      </c>
      <c r="E43" t="str" s="12" cm="1">
        <f t="array" ref="E43">$G43&amp;" "&amp;B43&amp;IF($V43="",""," ")&amp;$V43&amp;IF($M43="",""," ")&amp;$M43&amp;IF($W43="",""," ")&amp;$W43&amp;IF($X43="",""," ")&amp;$X43&amp;IF($Y43="",""," ")&amp;$Y43&amp;IF($AB43="",""," ")&amp;$AB43&amp;IF($AB43="","","mcd")</f>
        <v>RJ12 CON RJ12</v>
      </c>
      <c r="F43" t="str" s="11" cm="1">
        <f t="array" ref="F43">IF(ISBLANK(AH43),"",IF(AG43="LCSC",HYPERLINK("https://jlcpcb.com/partdetail/"&amp;$AH43,$AH43),IF(AG43="Mouser",$AH43,$AH43)))</f>
        <v>C3097718</v>
      </c>
      <c r="G43" t="str" s="11" cm="1">
        <f t="array" ref="G43">J43</f>
        <v>RJ12</v>
      </c>
      <c r="H43" s="15"/>
      <c r="I43" s="14"/>
      <c r="J43" t="s" s="10">
        <v>434</v>
      </c>
      <c r="K43" t="s" s="10">
        <v>435</v>
      </c>
      <c r="L43" t="s" s="10">
        <v>96</v>
      </c>
      <c r="M43" t="s" s="10">
        <v>434</v>
      </c>
      <c r="N43" t="s" s="10">
        <v>436</v>
      </c>
      <c r="O43" s="10"/>
      <c r="P43" s="10"/>
      <c r="Q43" s="10"/>
      <c r="R43" t="s" s="10">
        <v>434</v>
      </c>
      <c r="S43" t="s" s="10">
        <v>437</v>
      </c>
      <c r="T43" t="s" s="10">
        <v>438</v>
      </c>
      <c r="U43" s="10"/>
      <c r="V43" s="10"/>
      <c r="W43" s="10"/>
      <c r="X43" s="10"/>
      <c r="Y43" s="10"/>
      <c r="Z43" s="10"/>
      <c r="AA43" s="10"/>
      <c r="AB43" s="10"/>
      <c r="AC43" s="10"/>
      <c r="AD43" t="s" s="10">
        <v>439</v>
      </c>
      <c r="AE43" t="s" s="10">
        <v>440</v>
      </c>
      <c r="AF43" s="14"/>
      <c r="AG43" t="s" s="10">
        <v>50</v>
      </c>
      <c r="AH43" t="s" s="10">
        <v>441</v>
      </c>
      <c r="AI43" t="s" s="10">
        <v>442</v>
      </c>
      <c r="AJ43" t="s" s="10">
        <v>443</v>
      </c>
      <c r="AK43" t="s" s="10">
        <v>444</v>
      </c>
    </row>
    <row r="44" ht="18.9" customHeight="1">
      <c r="B44" t="s" s="10">
        <v>161</v>
      </c>
      <c r="C44" t="str" s="11" cm="1">
        <f t="array" ref="C44">B44&amp;"_"&amp;G44</f>
        <v>CON_RJ12</v>
      </c>
      <c r="D44" t="str" s="12" cm="1">
        <f t="array" ref="D44">$G44&amp;IF($B44="LED"," LED","")&amp;IF($V44="",""," ")&amp;$V44&amp;IF($M44="",""," ")&amp;$M44&amp;IF($W44="",""," ")&amp;$W44&amp;IF($X44="",""," ")&amp;$X44&amp;IF($Y44="",""," ")&amp;$Y44&amp;IF($AB44="",""," ")&amp;$AB44&amp;IF($AB44="","","mcd")</f>
        <v>RJ12 RJ12</v>
      </c>
      <c r="E44" t="str" s="12" cm="1">
        <f t="array" ref="E44">$G44&amp;" "&amp;B44&amp;IF($V44="",""," ")&amp;$V44&amp;IF($M44="",""," ")&amp;$M44&amp;IF($W44="",""," ")&amp;$W44&amp;IF($X44="",""," ")&amp;$X44&amp;IF($Y44="",""," ")&amp;$Y44&amp;IF($AB44="",""," ")&amp;$AB44&amp;IF($AB44="","","mcd")</f>
        <v>RJ12 CON RJ12</v>
      </c>
      <c r="F44" t="str" s="11" cm="1">
        <f t="array" ref="F44">IF(ISBLANK(AH44),"",IF(AG44="LCSC",HYPERLINK("https://jlcpcb.com/partdetail/"&amp;$AH44,$AH44),IF(AG44="Mouser",$AH44,$AH44)))</f>
      </c>
      <c r="G44" t="str" s="11" cm="1">
        <f t="array" ref="G44">J44</f>
        <v>RJ12</v>
      </c>
      <c r="H44" s="15"/>
      <c r="I44" s="14"/>
      <c r="J44" t="s" s="10">
        <v>434</v>
      </c>
      <c r="K44" t="s" s="10">
        <v>435</v>
      </c>
      <c r="L44" t="s" s="10">
        <v>96</v>
      </c>
      <c r="M44" t="s" s="10">
        <v>434</v>
      </c>
      <c r="N44" t="s" s="10">
        <v>445</v>
      </c>
      <c r="O44" s="10"/>
      <c r="P44" s="10"/>
      <c r="Q44" s="10"/>
      <c r="R44" t="s" s="10">
        <v>434</v>
      </c>
      <c r="S44" t="s" s="10">
        <v>446</v>
      </c>
      <c r="T44" t="s" s="10">
        <v>438</v>
      </c>
      <c r="U44" s="10"/>
      <c r="V44" s="10"/>
      <c r="W44" s="10"/>
      <c r="X44" s="10"/>
      <c r="Y44" s="10"/>
      <c r="Z44" s="10"/>
      <c r="AA44" s="10"/>
      <c r="AB44" s="10"/>
      <c r="AC44" s="10"/>
      <c r="AD44" t="s" s="10">
        <v>439</v>
      </c>
      <c r="AE44" t="s" s="10">
        <v>447</v>
      </c>
      <c r="AF44" s="14"/>
      <c r="AG44" s="14"/>
      <c r="AH44" s="14"/>
      <c r="AI44" s="14"/>
      <c r="AJ44" t="s" s="10">
        <v>448</v>
      </c>
      <c r="AK44" t="s" s="10">
        <v>449</v>
      </c>
    </row>
    <row r="45" ht="18.9" customHeight="1">
      <c r="B45" t="s" s="10">
        <v>161</v>
      </c>
      <c r="C45" t="str" s="11" cm="1">
        <f t="array" ref="C45">B45&amp;"_"&amp;G45</f>
        <v>CON_RJ45</v>
      </c>
      <c r="D45" t="str" s="12" cm="1">
        <f t="array" ref="D45">$G45&amp;IF($B45="LED"," LED","")&amp;IF($V45="",""," ")&amp;$V45&amp;IF($M45="",""," ")&amp;$M45&amp;IF($W45="",""," ")&amp;$W45&amp;IF($X45="",""," ")&amp;$X45&amp;IF($Y45="",""," ")&amp;$Y45&amp;IF($AB45="",""," ")&amp;$AB45&amp;IF($AB45="","","mcd")</f>
        <v>RJ45 RJ45</v>
      </c>
      <c r="E45" t="str" s="12" cm="1">
        <f t="array" ref="E45">$G45&amp;" "&amp;B45&amp;IF($V45="",""," ")&amp;$V45&amp;IF($M45="",""," ")&amp;$M45&amp;IF($W45="",""," ")&amp;$W45&amp;IF($X45="",""," ")&amp;$X45&amp;IF($Y45="",""," ")&amp;$Y45&amp;IF($AB45="",""," ")&amp;$AB45&amp;IF($AB45="","","mcd")</f>
        <v>RJ45 CON RJ45</v>
      </c>
      <c r="F45" t="str" s="11" cm="1">
        <f t="array" ref="F45">IF(ISBLANK(AH45),"",IF(AG45="LCSC",HYPERLINK("https://jlcpcb.com/partdetail/"&amp;$AH45,$AH45),IF(AG45="Mouser",$AH45,$AH45)))</f>
        <v>C7205130</v>
      </c>
      <c r="G45" t="str" s="11" cm="1">
        <f t="array" ref="G45">J45</f>
        <v>RJ45</v>
      </c>
      <c r="H45" s="15"/>
      <c r="I45" s="14"/>
      <c r="J45" t="s" s="10">
        <v>454</v>
      </c>
      <c r="K45" t="s" s="10">
        <v>455</v>
      </c>
      <c r="L45" t="s" s="10">
        <v>96</v>
      </c>
      <c r="M45" t="s" s="10">
        <v>454</v>
      </c>
      <c r="N45" t="s" s="10">
        <v>456</v>
      </c>
      <c r="O45" s="10"/>
      <c r="P45" s="10"/>
      <c r="Q45" s="10"/>
      <c r="R45" t="s" s="10">
        <v>454</v>
      </c>
      <c r="S45" s="10"/>
      <c r="T45" t="s" s="10">
        <v>457</v>
      </c>
      <c r="U45" s="10"/>
      <c r="V45" s="10"/>
      <c r="W45" s="10"/>
      <c r="X45" s="10"/>
      <c r="Y45" s="10"/>
      <c r="Z45" s="10"/>
      <c r="AA45" s="10"/>
      <c r="AB45" s="10"/>
      <c r="AC45" s="10"/>
      <c r="AD45" t="s" s="10">
        <v>458</v>
      </c>
      <c r="AE45" t="s" s="10">
        <v>459</v>
      </c>
      <c r="AF45" s="14"/>
      <c r="AG45" t="s" s="10">
        <v>50</v>
      </c>
      <c r="AH45" t="s" s="10">
        <v>460</v>
      </c>
      <c r="AI45" t="s" s="10">
        <v>461</v>
      </c>
      <c r="AJ45" t="s" s="10">
        <v>462</v>
      </c>
      <c r="AK45" t="s" s="10">
        <v>463</v>
      </c>
    </row>
    <row r="46" ht="18.9" customHeight="1">
      <c r="B46" t="s" s="10">
        <v>161</v>
      </c>
      <c r="C46" t="str" s="11" cm="1">
        <f t="array" ref="C46">B46&amp;"_"&amp;G46</f>
        <v>CON_TC2030-FP</v>
      </c>
      <c r="D46" t="str" s="12" cm="1">
        <f t="array" ref="D46">$G46&amp;IF($B46="LED"," LED","")&amp;IF($V46="",""," ")&amp;$V46&amp;IF($M46="",""," ")&amp;$M46&amp;IF($W46="",""," ")&amp;$W46&amp;IF($X46="",""," ")&amp;$X46&amp;IF($Y46="",""," ")&amp;$Y46&amp;IF($AB46="",""," ")&amp;$AB46&amp;IF($AB46="","","mcd")</f>
        <v>TC2030-FP SilkScreen &amp; Pads</v>
      </c>
      <c r="E46" t="str" s="12" cm="1">
        <f t="array" ref="E46">$G46&amp;" "&amp;B46&amp;IF($V46="",""," ")&amp;$V46&amp;IF($M46="",""," ")&amp;$M46&amp;IF($W46="",""," ")&amp;$W46&amp;IF($X46="",""," ")&amp;$X46&amp;IF($Y46="",""," ")&amp;$Y46&amp;IF($AB46="",""," ")&amp;$AB46&amp;IF($AB46="","","mcd")</f>
        <v>TC2030-FP CON SilkScreen &amp; Pads</v>
      </c>
      <c r="F46" t="str" s="11" cm="1">
        <f t="array" ref="F46">IF(ISBLANK(AH46),"",IF(AG46="LCSC",HYPERLINK("https://jlcpcb.com/partdetail/"&amp;$AH46,$AH46),IF(AG46="Mouser",$AH46,$AH46)))</f>
      </c>
      <c r="G46" t="str" s="11" cm="1">
        <f t="array" ref="G46">J46</f>
        <v>TC2030-FP</v>
      </c>
      <c r="H46" s="15"/>
      <c r="I46" t="s" s="10">
        <v>8</v>
      </c>
      <c r="J46" t="str" s="14" cm="1">
        <f t="array" ref="J46">AJ46</f>
        <v>TC2030-FP</v>
      </c>
      <c r="K46" s="14"/>
      <c r="L46" t="s" s="10">
        <v>468</v>
      </c>
      <c r="M46" t="s" s="10">
        <v>469</v>
      </c>
      <c r="N46" t="s" s="10">
        <v>470</v>
      </c>
      <c r="O46" s="10"/>
      <c r="P46" s="10"/>
      <c r="Q46" s="10"/>
      <c r="R46" s="10"/>
      <c r="S46" t="s" s="10">
        <v>471</v>
      </c>
      <c r="T46" t="s" s="10">
        <v>472</v>
      </c>
      <c r="U46" t="s" s="10">
        <v>170</v>
      </c>
      <c r="V46" s="10"/>
      <c r="W46" s="10"/>
      <c r="X46" s="10"/>
      <c r="Y46" s="10"/>
      <c r="Z46" s="10"/>
      <c r="AA46" s="10"/>
      <c r="AB46" s="10"/>
      <c r="AC46" s="10"/>
      <c r="AD46" t="s" s="10">
        <v>473</v>
      </c>
      <c r="AE46" t="s" s="10">
        <v>474</v>
      </c>
      <c r="AF46" s="14"/>
      <c r="AG46" s="14"/>
      <c r="AH46" s="14"/>
      <c r="AI46" t="s" s="10">
        <v>475</v>
      </c>
      <c r="AJ46" t="s" s="10">
        <v>467</v>
      </c>
      <c r="AK46" s="14"/>
    </row>
    <row r="47" ht="18.9" customHeight="1">
      <c r="B47" t="s" s="10">
        <v>161</v>
      </c>
      <c r="C47" t="str" s="11" cm="1">
        <f t="array" ref="C47">B47&amp;"_"&amp;G47</f>
        <v>CON_TC2030-NL</v>
      </c>
      <c r="D47" t="str" s="12" cm="1">
        <f t="array" ref="D47">$G47&amp;IF($B47="LED"," LED","")&amp;IF($V47="",""," ")&amp;$V47&amp;IF($M47="",""," ")&amp;$M47&amp;IF($W47="",""," ")&amp;$W47&amp;IF($X47="",""," ")&amp;$X47&amp;IF($Y47="",""," ")&amp;$Y47&amp;IF($AB47="",""," ")&amp;$AB47&amp;IF($AB47="","","mcd")</f>
        <v>TC2030-NL SilkScreen &amp; Pads</v>
      </c>
      <c r="E47" t="str" s="12" cm="1">
        <f t="array" ref="E47">$G47&amp;" "&amp;B47&amp;IF($V47="",""," ")&amp;$V47&amp;IF($M47="",""," ")&amp;$M47&amp;IF($W47="",""," ")&amp;$W47&amp;IF($X47="",""," ")&amp;$X47&amp;IF($Y47="",""," ")&amp;$Y47&amp;IF($AB47="",""," ")&amp;$AB47&amp;IF($AB47="","","mcd")</f>
        <v>TC2030-NL CON SilkScreen &amp; Pads</v>
      </c>
      <c r="F47" t="str" s="11" cm="1">
        <f t="array" ref="F47">IF(ISBLANK(AH47),"",IF(AG47="LCSC",HYPERLINK("https://jlcpcb.com/partdetail/"&amp;$AH47,$AH47),IF(AG47="Mouser",$AH47,$AH47)))</f>
      </c>
      <c r="G47" t="str" s="11" cm="1">
        <f t="array" ref="G47">J47</f>
        <v>TC2030-NL</v>
      </c>
      <c r="H47" s="15"/>
      <c r="I47" t="s" s="10">
        <v>8</v>
      </c>
      <c r="J47" t="str" s="14" cm="1">
        <f t="array" ref="J47">AJ47</f>
        <v>TC2030-NL</v>
      </c>
      <c r="K47" s="14"/>
      <c r="L47" t="s" s="10">
        <v>468</v>
      </c>
      <c r="M47" t="s" s="10">
        <v>469</v>
      </c>
      <c r="N47" t="s" s="10">
        <v>480</v>
      </c>
      <c r="O47" s="10"/>
      <c r="P47" s="10"/>
      <c r="Q47" s="10"/>
      <c r="R47" s="10"/>
      <c r="S47" t="s" s="10">
        <v>481</v>
      </c>
      <c r="T47" t="s" s="10">
        <v>472</v>
      </c>
      <c r="U47" t="s" s="10">
        <v>170</v>
      </c>
      <c r="V47" s="10"/>
      <c r="W47" s="10"/>
      <c r="X47" s="10"/>
      <c r="Y47" s="10"/>
      <c r="Z47" s="10"/>
      <c r="AA47" s="10"/>
      <c r="AB47" s="10"/>
      <c r="AC47" s="10"/>
      <c r="AD47" t="s" s="10">
        <v>473</v>
      </c>
      <c r="AE47" t="s" s="10">
        <v>482</v>
      </c>
      <c r="AF47" s="14"/>
      <c r="AG47" s="14"/>
      <c r="AH47" s="14"/>
      <c r="AI47" t="s" s="10">
        <v>475</v>
      </c>
      <c r="AJ47" t="s" s="10">
        <v>479</v>
      </c>
      <c r="AK47" s="14"/>
    </row>
    <row r="48" ht="18.9" customHeight="1">
      <c r="B48" t="s" s="10">
        <v>161</v>
      </c>
      <c r="C48" t="str" s="11" cm="1">
        <f t="array" ref="C48">B48&amp;"_"&amp;G48</f>
        <v>CON_TC2050-FP</v>
      </c>
      <c r="D48" t="str" s="12" cm="1">
        <f t="array" ref="D48">$G48&amp;IF($B48="LED"," LED","")&amp;IF($V48="",""," ")&amp;$V48&amp;IF($M48="",""," ")&amp;$M48&amp;IF($W48="",""," ")&amp;$W48&amp;IF($X48="",""," ")&amp;$X48&amp;IF($Y48="",""," ")&amp;$Y48&amp;IF($AB48="",""," ")&amp;$AB48&amp;IF($AB48="","","mcd")</f>
        <v>TC2050-FP SilkScreen &amp; Pads</v>
      </c>
      <c r="E48" t="str" s="12" cm="1">
        <f t="array" ref="E48">$G48&amp;" "&amp;B48&amp;IF($V48="",""," ")&amp;$V48&amp;IF($M48="",""," ")&amp;$M48&amp;IF($W48="",""," ")&amp;$W48&amp;IF($X48="",""," ")&amp;$X48&amp;IF($Y48="",""," ")&amp;$Y48&amp;IF($AB48="",""," ")&amp;$AB48&amp;IF($AB48="","","mcd")</f>
        <v>TC2050-FP CON SilkScreen &amp; Pads</v>
      </c>
      <c r="F48" t="str" s="11" cm="1">
        <f t="array" ref="F48">IF(ISBLANK(AH48),"",IF(AG48="LCSC",HYPERLINK("https://jlcpcb.com/partdetail/"&amp;$AH48,$AH48),IF(AG48="Mouser",$AH48,$AH48)))</f>
      </c>
      <c r="G48" t="str" s="11" cm="1">
        <f t="array" ref="G48">J48</f>
        <v>TC2050-FP</v>
      </c>
      <c r="H48" s="15"/>
      <c r="I48" t="s" s="10">
        <v>8</v>
      </c>
      <c r="J48" t="str" s="14" cm="1">
        <f t="array" ref="J48">AJ48</f>
        <v>TC2050-FP</v>
      </c>
      <c r="K48" s="14"/>
      <c r="L48" t="s" s="10">
        <v>468</v>
      </c>
      <c r="M48" t="s" s="10">
        <v>469</v>
      </c>
      <c r="N48" t="s" s="10">
        <v>487</v>
      </c>
      <c r="O48" s="10"/>
      <c r="P48" s="10"/>
      <c r="Q48" s="10"/>
      <c r="R48" s="10"/>
      <c r="S48" t="s" s="10">
        <v>471</v>
      </c>
      <c r="T48" t="s" s="10">
        <v>488</v>
      </c>
      <c r="U48" t="s" s="10">
        <v>170</v>
      </c>
      <c r="V48" s="10"/>
      <c r="W48" s="10"/>
      <c r="X48" s="10"/>
      <c r="Y48" s="10"/>
      <c r="Z48" s="10"/>
      <c r="AA48" s="10"/>
      <c r="AB48" s="10"/>
      <c r="AC48" s="10"/>
      <c r="AD48" t="s" s="10">
        <v>489</v>
      </c>
      <c r="AE48" t="s" s="10">
        <v>490</v>
      </c>
      <c r="AF48" s="14"/>
      <c r="AG48" s="14"/>
      <c r="AH48" s="14"/>
      <c r="AI48" t="s" s="10">
        <v>475</v>
      </c>
      <c r="AJ48" t="s" s="10">
        <v>486</v>
      </c>
      <c r="AK48" s="14"/>
    </row>
    <row r="49" ht="18.9" customHeight="1">
      <c r="B49" t="s" s="10">
        <v>161</v>
      </c>
      <c r="C49" t="str" s="11" cm="1">
        <f t="array" ref="C49">B49&amp;"_"&amp;G49</f>
        <v>CON_TC2050-NL</v>
      </c>
      <c r="D49" t="str" s="12" cm="1">
        <f t="array" ref="D49">$G49&amp;IF($B49="LED"," LED","")&amp;IF($V49="",""," ")&amp;$V49&amp;IF($M49="",""," ")&amp;$M49&amp;IF($W49="",""," ")&amp;$W49&amp;IF($X49="",""," ")&amp;$X49&amp;IF($Y49="",""," ")&amp;$Y49&amp;IF($AB49="",""," ")&amp;$AB49&amp;IF($AB49="","","mcd")</f>
        <v>TC2050-NL SilkScreen &amp; Pads</v>
      </c>
      <c r="E49" t="str" s="12" cm="1">
        <f t="array" ref="E49">$G49&amp;" "&amp;B49&amp;IF($V49="",""," ")&amp;$V49&amp;IF($M49="",""," ")&amp;$M49&amp;IF($W49="",""," ")&amp;$W49&amp;IF($X49="",""," ")&amp;$X49&amp;IF($Y49="",""," ")&amp;$Y49&amp;IF($AB49="",""," ")&amp;$AB49&amp;IF($AB49="","","mcd")</f>
        <v>TC2050-NL CON SilkScreen &amp; Pads</v>
      </c>
      <c r="F49" t="str" s="11" cm="1">
        <f t="array" ref="F49">IF(ISBLANK(AH49),"",IF(AG49="LCSC",HYPERLINK("https://jlcpcb.com/partdetail/"&amp;$AH49,$AH49),IF(AG49="Mouser",$AH49,$AH49)))</f>
      </c>
      <c r="G49" t="str" s="11" cm="1">
        <f t="array" ref="G49">J49</f>
        <v>TC2050-NL</v>
      </c>
      <c r="H49" s="15"/>
      <c r="I49" t="s" s="10">
        <v>8</v>
      </c>
      <c r="J49" t="str" s="14" cm="1">
        <f t="array" ref="J49">AJ49</f>
        <v>TC2050-NL</v>
      </c>
      <c r="K49" s="14"/>
      <c r="L49" t="s" s="10">
        <v>468</v>
      </c>
      <c r="M49" t="s" s="10">
        <v>469</v>
      </c>
      <c r="N49" t="s" s="10">
        <v>495</v>
      </c>
      <c r="O49" s="10"/>
      <c r="P49" s="10"/>
      <c r="Q49" s="10"/>
      <c r="R49" s="10"/>
      <c r="S49" t="s" s="10">
        <v>481</v>
      </c>
      <c r="T49" t="s" s="10">
        <v>488</v>
      </c>
      <c r="U49" t="s" s="10">
        <v>170</v>
      </c>
      <c r="V49" s="10"/>
      <c r="W49" s="10"/>
      <c r="X49" s="10"/>
      <c r="Y49" s="10"/>
      <c r="Z49" s="10"/>
      <c r="AA49" s="10"/>
      <c r="AB49" s="10"/>
      <c r="AC49" s="10"/>
      <c r="AD49" t="s" s="10">
        <v>489</v>
      </c>
      <c r="AE49" t="s" s="10">
        <v>496</v>
      </c>
      <c r="AF49" s="14"/>
      <c r="AG49" s="14"/>
      <c r="AH49" s="14"/>
      <c r="AI49" t="s" s="10">
        <v>475</v>
      </c>
      <c r="AJ49" t="s" s="10">
        <v>494</v>
      </c>
      <c r="AK49" s="14"/>
    </row>
    <row r="50" ht="18.9" customHeight="1">
      <c r="B50" t="s" s="10">
        <v>161</v>
      </c>
      <c r="C50" t="str" s="11" cm="1">
        <f t="array" ref="C50">B50&amp;"_"&amp;G50</f>
        <v>CON_TC2070-FP</v>
      </c>
      <c r="D50" t="str" s="12" cm="1">
        <f t="array" ref="D50">$G50&amp;IF($B50="LED"," LED","")&amp;IF($V50="",""," ")&amp;$V50&amp;IF($M50="",""," ")&amp;$M50&amp;IF($W50="",""," ")&amp;$W50&amp;IF($X50="",""," ")&amp;$X50&amp;IF($Y50="",""," ")&amp;$Y50&amp;IF($AB50="",""," ")&amp;$AB50&amp;IF($AB50="","","mcd")</f>
        <v>TC2070-FP SilkScreen &amp; Pads</v>
      </c>
      <c r="E50" t="str" s="12" cm="1">
        <f t="array" ref="E50">$G50&amp;" "&amp;B50&amp;IF($V50="",""," ")&amp;$V50&amp;IF($M50="",""," ")&amp;$M50&amp;IF($W50="",""," ")&amp;$W50&amp;IF($X50="",""," ")&amp;$X50&amp;IF($Y50="",""," ")&amp;$Y50&amp;IF($AB50="",""," ")&amp;$AB50&amp;IF($AB50="","","mcd")</f>
        <v>TC2070-FP CON SilkScreen &amp; Pads</v>
      </c>
      <c r="F50" t="str" s="11" cm="1">
        <f t="array" ref="F50">IF(ISBLANK(AH50),"",IF(AG50="LCSC",HYPERLINK("https://jlcpcb.com/partdetail/"&amp;$AH50,$AH50),IF(AG50="Mouser",$AH50,$AH50)))</f>
      </c>
      <c r="G50" t="str" s="11" cm="1">
        <f t="array" ref="G50">J50</f>
        <v>TC2070-FP</v>
      </c>
      <c r="H50" s="15"/>
      <c r="I50" t="s" s="10">
        <v>8</v>
      </c>
      <c r="J50" t="str" s="14" cm="1">
        <f t="array" ref="J50">AJ50</f>
        <v>TC2070-FP</v>
      </c>
      <c r="K50" s="14"/>
      <c r="L50" t="s" s="10">
        <v>468</v>
      </c>
      <c r="M50" t="s" s="10">
        <v>469</v>
      </c>
      <c r="N50" t="s" s="10">
        <v>501</v>
      </c>
      <c r="O50" s="10"/>
      <c r="P50" s="10"/>
      <c r="Q50" s="10"/>
      <c r="R50" s="10"/>
      <c r="S50" t="s" s="10">
        <v>471</v>
      </c>
      <c r="T50" t="s" s="10">
        <v>426</v>
      </c>
      <c r="U50" t="s" s="10">
        <v>170</v>
      </c>
      <c r="V50" s="10"/>
      <c r="W50" s="10"/>
      <c r="X50" s="10"/>
      <c r="Y50" s="10"/>
      <c r="Z50" s="10"/>
      <c r="AA50" s="10"/>
      <c r="AB50" s="10"/>
      <c r="AC50" s="10"/>
      <c r="AD50" t="s" s="10">
        <v>502</v>
      </c>
      <c r="AE50" t="s" s="10">
        <v>503</v>
      </c>
      <c r="AF50" s="14"/>
      <c r="AG50" s="14"/>
      <c r="AH50" s="14"/>
      <c r="AI50" t="s" s="10">
        <v>475</v>
      </c>
      <c r="AJ50" t="s" s="10">
        <v>500</v>
      </c>
      <c r="AK50" s="14"/>
    </row>
    <row r="51" ht="17.9" customHeight="1">
      <c r="B51" t="s" s="10">
        <v>504</v>
      </c>
      <c r="C51" t="str" s="11" cm="1">
        <f t="array" ref="C51">B51&amp;"_"&amp;G51&amp;"_"&amp;R51</f>
        <v>DIO_4.7V_SOD-323</v>
      </c>
      <c r="D51" t="str" s="12" cm="1">
        <f t="array" ref="D51">$G51&amp;IF($B51="LED"," LED","")&amp;IF($V51="",""," ")&amp;$V51&amp;IF($M51="",""," ")&amp;$M51&amp;IF($W51="",""," ")&amp;$W51&amp;IF($X51="",""," ")&amp;$X51&amp;IF($Y51="",""," ")&amp;$Y51&amp;IF($AB51="",""," ")&amp;$AB51&amp;IF($AB51="","","mcd")</f>
        <v>4.7V zener 4.7V 5mA 200mW</v>
      </c>
      <c r="E51" t="str" s="12" cm="1">
        <f t="array" ref="E51">$G51&amp;" "&amp;B51&amp;IF($V51="",""," ")&amp;$V51&amp;IF($M51="",""," ")&amp;$M51&amp;IF($W51="",""," ")&amp;$W51&amp;IF($X51="",""," ")&amp;$X51&amp;IF($Y51="",""," ")&amp;$Y51&amp;IF($AB51="",""," ")&amp;$AB51&amp;IF($AB51="","","mcd")</f>
        <v>4.7V DIO zener 4.7V 5mA 200mW</v>
      </c>
      <c r="F51" t="str" s="11" cm="1">
        <f t="array" ref="F51">IF(ISBLANK(AH51),"",IF(AG51="LCSC",HYPERLINK("https://jlcpcb.com/partdetail/"&amp;$AH51,$AH51),IF(AG51="Mouser",$AH51,$AH51)))</f>
        <v>C353517</v>
      </c>
      <c r="G51" t="str" s="11" cm="1">
        <f t="array" ref="G51">J51</f>
        <v>4.7V</v>
      </c>
      <c r="H51" s="15"/>
      <c r="I51" s="14"/>
      <c r="J51" t="s" s="10">
        <v>509</v>
      </c>
      <c r="K51" s="14"/>
      <c r="L51" t="s" s="10">
        <v>11</v>
      </c>
      <c r="M51" t="s" s="10">
        <v>510</v>
      </c>
      <c r="N51" t="s" s="10">
        <v>511</v>
      </c>
      <c r="O51" s="10"/>
      <c r="P51" s="10"/>
      <c r="Q51" s="10"/>
      <c r="R51" t="s" s="10">
        <v>512</v>
      </c>
      <c r="S51" s="10"/>
      <c r="T51" s="10"/>
      <c r="U51" s="10"/>
      <c r="V51" s="10"/>
      <c r="W51" t="s" s="10">
        <v>509</v>
      </c>
      <c r="X51" t="s" s="10">
        <v>513</v>
      </c>
      <c r="Y51" t="s" s="10">
        <v>514</v>
      </c>
      <c r="Z51" s="10"/>
      <c r="AA51" s="10"/>
      <c r="AB51" s="10"/>
      <c r="AC51" s="10"/>
      <c r="AD51" t="s" s="10">
        <v>515</v>
      </c>
      <c r="AE51" t="s" s="10">
        <v>516</v>
      </c>
      <c r="AF51" s="14"/>
      <c r="AG51" t="s" s="10">
        <v>50</v>
      </c>
      <c r="AH51" t="s" s="10">
        <v>517</v>
      </c>
      <c r="AI51" t="s" s="10">
        <v>518</v>
      </c>
      <c r="AJ51" t="s" s="10">
        <v>519</v>
      </c>
      <c r="AK51" t="s" s="10">
        <v>520</v>
      </c>
    </row>
    <row r="52" ht="17.9" customHeight="1">
      <c r="B52" t="s" s="10">
        <v>504</v>
      </c>
      <c r="C52" t="str" s="11" cm="1">
        <f t="array" ref="C52">B52&amp;"_"&amp;G52&amp;"_"&amp;R52</f>
        <v>DIO_BAT54_SOT-23</v>
      </c>
      <c r="D52" t="str" s="12" cm="1">
        <f t="array" ref="D52">$G52&amp;IF($B52="LED"," LED","")&amp;IF($V52="",""," ")&amp;$V52&amp;IF($M52="",""," ")&amp;$M52&amp;IF($W52="",""," ")&amp;$W52&amp;IF($X52="",""," ")&amp;$X52&amp;IF($Y52="",""," ")&amp;$Y52&amp;IF($AB52="",""," ")&amp;$AB52&amp;IF($AB52="","","mcd")</f>
        <v>BAT54 single Schottkey 30V</v>
      </c>
      <c r="E52" t="str" s="12" cm="1">
        <f t="array" ref="E52">$G52&amp;" "&amp;B52&amp;IF($V52="",""," ")&amp;$V52&amp;IF($M52="",""," ")&amp;$M52&amp;IF($W52="",""," ")&amp;$W52&amp;IF($X52="",""," ")&amp;$X52&amp;IF($Y52="",""," ")&amp;$Y52&amp;IF($AB52="",""," ")&amp;$AB52&amp;IF($AB52="","","mcd")</f>
        <v>BAT54 DIO single Schottkey 30V</v>
      </c>
      <c r="F52" t="str" s="11" cm="1">
        <f t="array" ref="F52">IF(ISBLANK(AH52),"",IF(AG52="LCSC",HYPERLINK("https://jlcpcb.com/partdetail/"&amp;$AH52,$AH52),IF(AG52="Mouser",$AH52,$AH52)))</f>
        <v>C5261070</v>
      </c>
      <c r="G52" t="str" s="11" cm="1">
        <f t="array" ref="G52">J52</f>
        <v>BAT54</v>
      </c>
      <c r="H52" s="15"/>
      <c r="I52" s="14"/>
      <c r="J52" t="str" s="14" cm="1">
        <f t="array" ref="J52">AJ52</f>
        <v>BAT54</v>
      </c>
      <c r="K52" s="14"/>
      <c r="L52" t="s" s="10">
        <v>11</v>
      </c>
      <c r="M52" t="s" s="10">
        <v>526</v>
      </c>
      <c r="N52" t="s" s="10">
        <v>527</v>
      </c>
      <c r="O52" s="10"/>
      <c r="P52" s="10"/>
      <c r="Q52" s="10"/>
      <c r="R52" t="s" s="10">
        <v>528</v>
      </c>
      <c r="S52" s="10"/>
      <c r="T52" s="10"/>
      <c r="U52" s="10"/>
      <c r="V52" s="10"/>
      <c r="W52" t="s" s="10">
        <v>529</v>
      </c>
      <c r="X52" s="10"/>
      <c r="Y52" s="10"/>
      <c r="Z52" s="10"/>
      <c r="AA52" s="10"/>
      <c r="AB52" s="10"/>
      <c r="AC52" s="10"/>
      <c r="AD52" t="s" s="10">
        <v>530</v>
      </c>
      <c r="AE52" t="s" s="10">
        <v>531</v>
      </c>
      <c r="AF52" s="14"/>
      <c r="AG52" t="s" s="10">
        <v>50</v>
      </c>
      <c r="AH52" t="s" s="10">
        <v>532</v>
      </c>
      <c r="AI52" t="s" s="10">
        <v>533</v>
      </c>
      <c r="AJ52" t="s" s="10">
        <v>525</v>
      </c>
      <c r="AK52" t="s" s="10">
        <v>534</v>
      </c>
    </row>
    <row r="53" ht="17.9" customHeight="1">
      <c r="B53" t="s" s="10">
        <v>504</v>
      </c>
      <c r="C53" t="str" s="11" cm="1">
        <f t="array" ref="C53">B53&amp;"_"&amp;G53&amp;"_"&amp;R53</f>
        <v>DIO_BAT54A_SOT-23</v>
      </c>
      <c r="D53" t="str" s="12" cm="1">
        <f t="array" ref="D53">$G53&amp;IF($B53="LED"," LED","")&amp;IF($V53="",""," ")&amp;$V53&amp;IF($M53="",""," ")&amp;$M53&amp;IF($W53="",""," ")&amp;$W53&amp;IF($X53="",""," ")&amp;$X53&amp;IF($Y53="",""," ")&amp;$Y53&amp;IF($AB53="",""," ")&amp;$AB53&amp;IF($AB53="","","mcd")</f>
        <v>BAT54A dual Schottkey common anode 30V</v>
      </c>
      <c r="E53" t="str" s="12" cm="1">
        <f t="array" ref="E53">$G53&amp;" "&amp;B53&amp;IF($V53="",""," ")&amp;$V53&amp;IF($M53="",""," ")&amp;$M53&amp;IF($W53="",""," ")&amp;$W53&amp;IF($X53="",""," ")&amp;$X53&amp;IF($Y53="",""," ")&amp;$Y53&amp;IF($AB53="",""," ")&amp;$AB53&amp;IF($AB53="","","mcd")</f>
        <v>BAT54A DIO dual Schottkey common anode 30V</v>
      </c>
      <c r="F53" t="str" s="11" cm="1">
        <f t="array" ref="F53">IF(ISBLANK(AH53),"",IF(AG53="LCSC",HYPERLINK("https://jlcpcb.com/partdetail/"&amp;$AH53,$AH53),IF(AG53="Mouser",$AH53,$AH53)))</f>
        <v>C2926172</v>
      </c>
      <c r="G53" t="str" s="11" cm="1">
        <f t="array" ref="G53">J53</f>
        <v>BAT54A</v>
      </c>
      <c r="H53" s="15"/>
      <c r="I53" s="14"/>
      <c r="J53" t="str" s="14" cm="1">
        <f t="array" ref="J53">AJ53</f>
        <v>BAT54A</v>
      </c>
      <c r="K53" s="14"/>
      <c r="L53" t="s" s="10">
        <v>11</v>
      </c>
      <c r="M53" t="s" s="10">
        <v>540</v>
      </c>
      <c r="N53" t="s" s="10">
        <v>541</v>
      </c>
      <c r="O53" s="10"/>
      <c r="P53" s="10"/>
      <c r="Q53" s="10"/>
      <c r="R53" t="s" s="10">
        <v>528</v>
      </c>
      <c r="S53" s="10"/>
      <c r="T53" s="10"/>
      <c r="U53" s="10"/>
      <c r="V53" s="10"/>
      <c r="W53" t="s" s="10">
        <v>529</v>
      </c>
      <c r="X53" s="10"/>
      <c r="Y53" s="10"/>
      <c r="Z53" s="10"/>
      <c r="AA53" s="10"/>
      <c r="AB53" s="10"/>
      <c r="AC53" s="10"/>
      <c r="AD53" t="s" s="10">
        <v>542</v>
      </c>
      <c r="AE53" t="s" s="10">
        <v>531</v>
      </c>
      <c r="AF53" s="14"/>
      <c r="AG53" t="s" s="10">
        <v>50</v>
      </c>
      <c r="AH53" t="s" s="10">
        <v>543</v>
      </c>
      <c r="AI53" t="s" s="10">
        <v>544</v>
      </c>
      <c r="AJ53" t="s" s="10">
        <v>539</v>
      </c>
      <c r="AK53" t="s" s="10">
        <v>545</v>
      </c>
    </row>
    <row r="54" ht="17.9" customHeight="1">
      <c r="B54" t="s" s="10">
        <v>504</v>
      </c>
      <c r="C54" t="str" s="11" cm="1">
        <f t="array" ref="C54">B54&amp;"_"&amp;G54&amp;"_"&amp;R54</f>
        <v>DIO_BAT54C_SOT-23</v>
      </c>
      <c r="D54" t="str" s="12" cm="1">
        <f t="array" ref="D54">$G54&amp;IF($B54="LED"," LED","")&amp;IF($V54="",""," ")&amp;$V54&amp;IF($M54="",""," ")&amp;$M54&amp;IF($W54="",""," ")&amp;$W54&amp;IF($X54="",""," ")&amp;$X54&amp;IF($Y54="",""," ")&amp;$Y54&amp;IF($AB54="",""," ")&amp;$AB54&amp;IF($AB54="","","mcd")</f>
        <v>BAT54C dual Schottkey common cathode 30V</v>
      </c>
      <c r="E54" t="str" s="12" cm="1">
        <f t="array" ref="E54">$G54&amp;" "&amp;B54&amp;IF($V54="",""," ")&amp;$V54&amp;IF($M54="",""," ")&amp;$M54&amp;IF($W54="",""," ")&amp;$W54&amp;IF($X54="",""," ")&amp;$X54&amp;IF($Y54="",""," ")&amp;$Y54&amp;IF($AB54="",""," ")&amp;$AB54&amp;IF($AB54="","","mcd")</f>
        <v>BAT54C DIO dual Schottkey common cathode 30V</v>
      </c>
      <c r="F54" t="str" s="11" cm="1">
        <f t="array" ref="F54">IF(ISBLANK(AH54),"",IF(AG54="LCSC",HYPERLINK("https://jlcpcb.com/partdetail/"&amp;$AH54,$AH54),IF(AG54="Mouser",$AH54,$AH54)))</f>
        <v>C408388</v>
      </c>
      <c r="G54" t="str" s="11" cm="1">
        <f t="array" ref="G54">J54</f>
        <v>BAT54C</v>
      </c>
      <c r="H54" s="15"/>
      <c r="I54" s="14"/>
      <c r="J54" t="str" s="14" cm="1">
        <f t="array" ref="J54">AJ54</f>
        <v>BAT54C</v>
      </c>
      <c r="K54" s="14"/>
      <c r="L54" t="s" s="10">
        <v>11</v>
      </c>
      <c r="M54" t="s" s="10">
        <v>551</v>
      </c>
      <c r="N54" t="s" s="10">
        <v>552</v>
      </c>
      <c r="O54" s="10"/>
      <c r="P54" s="10"/>
      <c r="Q54" s="10"/>
      <c r="R54" t="s" s="10">
        <v>528</v>
      </c>
      <c r="S54" s="10"/>
      <c r="T54" s="10"/>
      <c r="U54" s="10"/>
      <c r="V54" s="10"/>
      <c r="W54" t="s" s="10">
        <v>529</v>
      </c>
      <c r="X54" s="10"/>
      <c r="Y54" s="10"/>
      <c r="Z54" s="10"/>
      <c r="AA54" s="10"/>
      <c r="AB54" s="10"/>
      <c r="AC54" s="10"/>
      <c r="AD54" t="s" s="10">
        <v>553</v>
      </c>
      <c r="AE54" t="s" s="10">
        <v>531</v>
      </c>
      <c r="AF54" s="14"/>
      <c r="AG54" t="s" s="10">
        <v>50</v>
      </c>
      <c r="AH54" t="s" s="10">
        <v>554</v>
      </c>
      <c r="AI54" t="s" s="10">
        <v>555</v>
      </c>
      <c r="AJ54" t="s" s="10">
        <v>550</v>
      </c>
      <c r="AK54" t="s" s="10">
        <v>556</v>
      </c>
    </row>
    <row r="55" ht="17.9" customHeight="1">
      <c r="B55" t="s" s="10">
        <v>504</v>
      </c>
      <c r="C55" t="str" s="11" cm="1">
        <f t="array" ref="C55">B55&amp;"_"&amp;G55&amp;"_"&amp;R55</f>
        <v>DIO_BAT54S_SOT-23</v>
      </c>
      <c r="D55" t="str" s="12" cm="1">
        <f t="array" ref="D55">$G55&amp;IF($B55="LED"," LED","")&amp;IF($V55="",""," ")&amp;$V55&amp;IF($M55="",""," ")&amp;$M55&amp;IF($W55="",""," ")&amp;$W55&amp;IF($X55="",""," ")&amp;$X55&amp;IF($Y55="",""," ")&amp;$Y55&amp;IF($AB55="",""," ")&amp;$AB55&amp;IF($AB55="","","mcd")</f>
        <v>BAT54S dual Schottkey series 30V</v>
      </c>
      <c r="E55" t="str" s="12" cm="1">
        <f t="array" ref="E55">$G55&amp;" "&amp;B55&amp;IF($V55="",""," ")&amp;$V55&amp;IF($M55="",""," ")&amp;$M55&amp;IF($W55="",""," ")&amp;$W55&amp;IF($X55="",""," ")&amp;$X55&amp;IF($Y55="",""," ")&amp;$Y55&amp;IF($AB55="",""," ")&amp;$AB55&amp;IF($AB55="","","mcd")</f>
        <v>BAT54S DIO dual Schottkey series 30V</v>
      </c>
      <c r="F55" t="str" s="11" cm="1">
        <f t="array" ref="F55">IF(ISBLANK(AH55),"",IF(AG55="LCSC",HYPERLINK("https://jlcpcb.com/partdetail/"&amp;$AH55,$AH55),IF(AG55="Mouser",$AH55,$AH55)))</f>
        <v>C2926174</v>
      </c>
      <c r="G55" t="str" s="11" cm="1">
        <f t="array" ref="G55">J55</f>
        <v>BAT54S</v>
      </c>
      <c r="H55" s="15"/>
      <c r="I55" s="14"/>
      <c r="J55" t="str" s="14" cm="1">
        <f t="array" ref="J55">AJ55</f>
        <v>BAT54S</v>
      </c>
      <c r="K55" s="14"/>
      <c r="L55" t="s" s="10">
        <v>11</v>
      </c>
      <c r="M55" t="s" s="10">
        <v>562</v>
      </c>
      <c r="N55" t="s" s="10">
        <v>563</v>
      </c>
      <c r="O55" s="10"/>
      <c r="P55" s="10"/>
      <c r="Q55" s="10"/>
      <c r="R55" t="s" s="10">
        <v>528</v>
      </c>
      <c r="S55" s="10"/>
      <c r="T55" s="10"/>
      <c r="U55" s="10"/>
      <c r="V55" s="10"/>
      <c r="W55" t="s" s="10">
        <v>529</v>
      </c>
      <c r="X55" s="10"/>
      <c r="Y55" s="10"/>
      <c r="Z55" s="10"/>
      <c r="AA55" s="10"/>
      <c r="AB55" s="10"/>
      <c r="AC55" s="10"/>
      <c r="AD55" t="s" s="10">
        <v>564</v>
      </c>
      <c r="AE55" t="s" s="10">
        <v>531</v>
      </c>
      <c r="AF55" s="14"/>
      <c r="AG55" t="s" s="10">
        <v>50</v>
      </c>
      <c r="AH55" t="s" s="10">
        <v>565</v>
      </c>
      <c r="AI55" t="s" s="10">
        <v>544</v>
      </c>
      <c r="AJ55" t="s" s="10">
        <v>561</v>
      </c>
      <c r="AK55" t="s" s="10">
        <v>566</v>
      </c>
    </row>
    <row r="56" ht="17.9" customHeight="1">
      <c r="B56" t="s" s="10">
        <v>504</v>
      </c>
      <c r="C56" t="str" s="11" cm="1">
        <f t="array" ref="C56">B56&amp;"_"&amp;G56&amp;"_"&amp;R56</f>
        <v>DIO_BAV99_SOT-23</v>
      </c>
      <c r="D56" t="str" s="12" cm="1">
        <f t="array" ref="D56">$G56&amp;IF($B56="LED"," LED","")&amp;IF($V56="",""," ")&amp;$V56&amp;IF($M56="",""," ")&amp;$M56&amp;IF($W56="",""," ")&amp;$W56&amp;IF($X56="",""," ")&amp;$X56&amp;IF($Y56="",""," ")&amp;$Y56&amp;IF($AB56="",""," ")&amp;$AB56&amp;IF($AB56="","","mcd")</f>
        <v>BAV99 dual switching diode 100V</v>
      </c>
      <c r="E56" t="str" s="12" cm="1">
        <f t="array" ref="E56">$G56&amp;" "&amp;B56&amp;IF($V56="",""," ")&amp;$V56&amp;IF($M56="",""," ")&amp;$M56&amp;IF($W56="",""," ")&amp;$W56&amp;IF($X56="",""," ")&amp;$X56&amp;IF($Y56="",""," ")&amp;$Y56&amp;IF($AB56="",""," ")&amp;$AB56&amp;IF($AB56="","","mcd")</f>
        <v>BAV99 DIO dual switching diode 100V</v>
      </c>
      <c r="F56" t="str" s="11" cm="1">
        <f t="array" ref="F56">IF(ISBLANK(AH56),"",IF(AG56="LCSC",HYPERLINK("https://jlcpcb.com/partdetail/"&amp;$AH56,$AH56),IF(AG56="Mouser",$AH56,$AH56)))</f>
        <v>C2500</v>
      </c>
      <c r="G56" t="str" s="11" cm="1">
        <f t="array" ref="G56">J56</f>
        <v>BAV99</v>
      </c>
      <c r="H56" s="15"/>
      <c r="I56" s="14"/>
      <c r="J56" t="s" s="10">
        <v>571</v>
      </c>
      <c r="K56" s="14"/>
      <c r="L56" t="s" s="10">
        <v>11</v>
      </c>
      <c r="M56" t="s" s="10">
        <v>572</v>
      </c>
      <c r="N56" t="s" s="10">
        <v>573</v>
      </c>
      <c r="O56" s="10"/>
      <c r="P56" s="10"/>
      <c r="Q56" s="10"/>
      <c r="R56" t="s" s="10">
        <v>528</v>
      </c>
      <c r="S56" s="10"/>
      <c r="T56" s="10"/>
      <c r="U56" s="10"/>
      <c r="V56" s="10"/>
      <c r="W56" t="s" s="10">
        <v>574</v>
      </c>
      <c r="X56" s="10"/>
      <c r="Y56" s="10"/>
      <c r="Z56" s="10"/>
      <c r="AA56" s="10"/>
      <c r="AB56" s="10"/>
      <c r="AC56" s="10"/>
      <c r="AD56" t="s" s="10">
        <v>575</v>
      </c>
      <c r="AE56" t="s" s="10">
        <v>531</v>
      </c>
      <c r="AF56" s="14"/>
      <c r="AG56" t="s" s="10">
        <v>50</v>
      </c>
      <c r="AH56" t="s" s="10">
        <v>576</v>
      </c>
      <c r="AI56" t="s" s="10">
        <v>577</v>
      </c>
      <c r="AJ56" t="s" s="10">
        <v>578</v>
      </c>
      <c r="AK56" t="s" s="10">
        <v>579</v>
      </c>
    </row>
    <row r="57" ht="18.9" customHeight="1">
      <c r="B57" t="s" s="10">
        <v>580</v>
      </c>
      <c r="C57" t="str" s="11" cm="1">
        <f t="array" ref="C57">B57&amp;"_"&amp;R57&amp;"_"&amp;G57</f>
        <v>IC_SMD-6P_4N28SM</v>
      </c>
      <c r="D57" t="str" s="12" cm="1">
        <f t="array" ref="D57">$G57&amp;IF($B57="LED"," LED","")&amp;IF($V57="",""," ")&amp;$V57&amp;IF($M57="",""," ")&amp;$M57&amp;IF($W57="",""," ")&amp;$W57&amp;IF($X57="",""," ")&amp;$X57&amp;IF($Y57="",""," ")&amp;$Y57&amp;IF($AB57="",""," ")&amp;$AB57&amp;IF($AB57="","","mcd")</f>
        <v>4N28SM Phototransistor 0 0.010A</v>
      </c>
      <c r="E57" t="str" s="12" cm="1">
        <f t="array" ref="E57">$G57&amp;" "&amp;B57&amp;IF($V57="",""," ")&amp;$V57&amp;IF($M57="",""," ")&amp;$M57&amp;IF($W57="",""," ")&amp;$W57&amp;IF($X57="",""," ")&amp;$X57&amp;IF($Y57="",""," ")&amp;$Y57&amp;IF($AB57="",""," ")&amp;$AB57&amp;IF($AB57="","","mcd")</f>
        <v>4N28SM IC Phototransistor 0 0.010A</v>
      </c>
      <c r="F57" t="str" s="11" cm="1">
        <f t="array" ref="F57">IF(ISBLANK(AH57),"",IF(AG57="LCSC",HYPERLINK("https://jlcpcb.com/partdetail/"&amp;$AH57,$AH57),IF(AG57="Mouser",$AH57,$AH57)))</f>
        <v>C898949</v>
      </c>
      <c r="G57" t="str" s="11" cm="1">
        <f t="array" ref="G57">J57</f>
        <v>4N28SM</v>
      </c>
      <c r="H57" s="15"/>
      <c r="I57" s="14"/>
      <c r="J57" t="str" s="14" cm="1">
        <f t="array" ref="J57">AJ57</f>
        <v>4N28SM</v>
      </c>
      <c r="K57" s="14"/>
      <c r="L57" t="s" s="10">
        <v>11</v>
      </c>
      <c r="M57" t="s" s="10">
        <v>586</v>
      </c>
      <c r="N57" t="s" s="10">
        <v>587</v>
      </c>
      <c r="O57" s="10"/>
      <c r="P57" s="10"/>
      <c r="Q57" s="10"/>
      <c r="R57" t="s" s="10">
        <v>588</v>
      </c>
      <c r="S57" s="10"/>
      <c r="T57" t="s" s="10">
        <v>589</v>
      </c>
      <c r="U57" t="s" s="10">
        <v>590</v>
      </c>
      <c r="V57" s="10"/>
      <c r="W57" t="s" s="10">
        <v>591</v>
      </c>
      <c r="X57" t="s" s="10">
        <v>592</v>
      </c>
      <c r="Y57" s="10"/>
      <c r="Z57" s="10"/>
      <c r="AA57" s="10"/>
      <c r="AB57" s="10"/>
      <c r="AC57" s="10"/>
      <c r="AD57" t="s" s="10">
        <v>593</v>
      </c>
      <c r="AE57" t="s" s="10">
        <v>594</v>
      </c>
      <c r="AF57" s="14"/>
      <c r="AG57" t="s" s="10">
        <v>50</v>
      </c>
      <c r="AH57" t="s" s="10">
        <v>595</v>
      </c>
      <c r="AI57" t="s" s="10">
        <v>596</v>
      </c>
      <c r="AJ57" t="s" s="10">
        <v>585</v>
      </c>
      <c r="AK57" t="s" s="10">
        <v>597</v>
      </c>
    </row>
    <row r="58" ht="20.15" customHeight="1">
      <c r="B58" t="s" s="10">
        <v>580</v>
      </c>
      <c r="C58" t="str" s="11" cm="1">
        <f t="array" ref="C58">B58&amp;"_"&amp;G58&amp;"_"&amp;R58</f>
        <v>IC_LM358D_SOP-8</v>
      </c>
      <c r="D58" t="str" s="12" cm="1">
        <f t="array" ref="D58">$G58&amp;IF($B58="LED"," LED","")&amp;IF($V58="",""," ")&amp;$V58&amp;IF($M58="",""," ")&amp;$M58&amp;IF($W58="",""," ")&amp;$W58&amp;IF($X58="",""," ")&amp;$X58&amp;IF($Y58="",""," ")&amp;$Y58&amp;IF($AB58="",""," ")&amp;$AB58&amp;IF($AB58="","","mcd")</f>
        <v>LM358D dual OpAmp ±15V or +30V</v>
      </c>
      <c r="E58" t="str" s="12" cm="1">
        <f t="array" ref="E58">$G58&amp;" "&amp;B58&amp;IF($V58="",""," ")&amp;$V58&amp;IF($M58="",""," ")&amp;$M58&amp;IF($W58="",""," ")&amp;$W58&amp;IF($X58="",""," ")&amp;$X58&amp;IF($Y58="",""," ")&amp;$Y58&amp;IF($AB58="",""," ")&amp;$AB58&amp;IF($AB58="","","mcd")</f>
        <v>LM358D IC dual OpAmp ±15V or +30V</v>
      </c>
      <c r="F58" t="str" s="11" cm="1">
        <f t="array" ref="F58">IF(ISBLANK(AH58),"",IF(AG58="LCSC",HYPERLINK("https://jlcpcb.com/partdetail/"&amp;$AH58,$AH58),IF(AG58="Mouser",$AH58,$AH58)))</f>
        <v>C2683482</v>
      </c>
      <c r="G58" t="str" s="11" cm="1">
        <f t="array" ref="G58">J58</f>
        <v>LM358D</v>
      </c>
      <c r="H58" s="15"/>
      <c r="I58" s="14"/>
      <c r="J58" t="str" s="14" cm="1">
        <f t="array" ref="J58">AJ58</f>
        <v>LM358D</v>
      </c>
      <c r="K58" t="s" s="10">
        <v>603</v>
      </c>
      <c r="L58" t="s" s="10">
        <v>11</v>
      </c>
      <c r="M58" t="s" s="10">
        <v>604</v>
      </c>
      <c r="N58" t="s" s="10">
        <v>605</v>
      </c>
      <c r="O58" s="10"/>
      <c r="P58" s="10"/>
      <c r="Q58" s="10"/>
      <c r="R58" t="s" s="10">
        <v>606</v>
      </c>
      <c r="S58" s="10"/>
      <c r="T58" s="10"/>
      <c r="U58" s="10"/>
      <c r="V58" s="10"/>
      <c r="W58" t="s" s="10">
        <v>607</v>
      </c>
      <c r="X58" s="10"/>
      <c r="Y58" s="10"/>
      <c r="Z58" s="10"/>
      <c r="AA58" s="10"/>
      <c r="AB58" s="10"/>
      <c r="AC58" s="10"/>
      <c r="AD58" t="s" s="10">
        <v>608</v>
      </c>
      <c r="AE58" t="s" s="10">
        <v>609</v>
      </c>
      <c r="AF58" s="14"/>
      <c r="AG58" t="s" s="10">
        <v>50</v>
      </c>
      <c r="AH58" t="s" s="10">
        <v>610</v>
      </c>
      <c r="AI58" t="s" s="10">
        <v>611</v>
      </c>
      <c r="AJ58" t="s" s="10">
        <v>602</v>
      </c>
      <c r="AK58" t="s" s="10">
        <v>612</v>
      </c>
    </row>
    <row r="59" ht="20.15" customHeight="1">
      <c r="B59" t="s" s="10">
        <v>580</v>
      </c>
      <c r="C59" t="str" s="11" cm="1">
        <f t="array" ref="C59">B59&amp;"_"&amp;G59&amp;"_"&amp;R59</f>
        <v>IC_MAX3491EPD+_PDIP14</v>
      </c>
      <c r="D59" t="str" s="12" cm="1">
        <f t="array" ref="D59">$G59&amp;IF($B59="LED"," LED","")&amp;IF($V59="",""," ")&amp;$V59&amp;IF($M59="",""," ")&amp;$M59&amp;IF($W59="",""," ")&amp;$W59&amp;IF($X59="",""," ")&amp;$X59&amp;IF($Y59="",""," ")&amp;$Y59&amp;IF($AB59="",""," ")&amp;$AB59&amp;IF($AB59="","","mcd")</f>
        <v>MAX3491EPD+ RS485 3v3</v>
      </c>
      <c r="E59" t="str" s="12" cm="1">
        <f t="array" ref="E59">$G59&amp;" "&amp;B59&amp;IF($V59="",""," ")&amp;$V59&amp;IF($M59="",""," ")&amp;$M59&amp;IF($W59="",""," ")&amp;$W59&amp;IF($X59="",""," ")&amp;$X59&amp;IF($Y59="",""," ")&amp;$Y59&amp;IF($AB59="",""," ")&amp;$AB59&amp;IF($AB59="","","mcd")</f>
        <v>MAX3491EPD+ IC RS485 3v3</v>
      </c>
      <c r="F59" t="str" s="11" cm="1">
        <f t="array" ref="F59">IF(ISBLANK(AH59),"",IF(AG59="LCSC",HYPERLINK("https://jlcpcb.com/partdetail/"&amp;$AH59,$AH59),IF(AG59="Mouser",$AH59,$AH59)))</f>
        <v>C3231480</v>
      </c>
      <c r="G59" t="str" s="11" cm="1">
        <f t="array" ref="G59">J59</f>
        <v>MAX3491EPD+</v>
      </c>
      <c r="H59" s="15"/>
      <c r="I59" s="14"/>
      <c r="J59" t="s" s="10">
        <v>617</v>
      </c>
      <c r="K59" t="s" s="10">
        <v>618</v>
      </c>
      <c r="L59" t="s" s="10">
        <v>96</v>
      </c>
      <c r="M59" t="s" s="10">
        <v>619</v>
      </c>
      <c r="N59" t="s" s="10">
        <v>620</v>
      </c>
      <c r="O59" s="10"/>
      <c r="P59" s="10"/>
      <c r="Q59" s="10"/>
      <c r="R59" t="s" s="10">
        <v>621</v>
      </c>
      <c r="S59" s="10"/>
      <c r="T59" t="s" s="10">
        <v>622</v>
      </c>
      <c r="U59" t="s" s="10">
        <v>590</v>
      </c>
      <c r="V59" s="10"/>
      <c r="W59" t="s" s="10">
        <v>623</v>
      </c>
      <c r="X59" s="10"/>
      <c r="Y59" s="10"/>
      <c r="Z59" s="10"/>
      <c r="AA59" s="10"/>
      <c r="AB59" s="10"/>
      <c r="AC59" s="10"/>
      <c r="AD59" t="s" s="10">
        <v>624</v>
      </c>
      <c r="AE59" t="s" s="10">
        <v>625</v>
      </c>
      <c r="AF59" s="14"/>
      <c r="AG59" t="s" s="10">
        <v>50</v>
      </c>
      <c r="AH59" t="s" s="10">
        <v>626</v>
      </c>
      <c r="AI59" t="s" s="10">
        <v>627</v>
      </c>
      <c r="AJ59" t="s" s="10">
        <v>617</v>
      </c>
      <c r="AK59" s="14"/>
    </row>
    <row r="60" ht="20.15" customHeight="1">
      <c r="B60" t="s" s="10">
        <v>580</v>
      </c>
      <c r="C60" t="str" s="11" cm="1">
        <f t="array" ref="C60">B60&amp;"_"&amp;G60&amp;"_"&amp;R60</f>
        <v>IC_MCP23017_SOIC-28-300mil</v>
      </c>
      <c r="D60" t="str" s="12" cm="1">
        <f t="array" ref="D60">$G60&amp;IF($B60="LED"," LED","")&amp;IF($V60="",""," ")&amp;$V60&amp;IF($M60="",""," ")&amp;$M60&amp;IF($W60="",""," ")&amp;$W60&amp;IF($X60="",""," ")&amp;$X60&amp;IF($Y60="",""," ")&amp;$Y60&amp;IF($AB60="",""," ")&amp;$AB60&amp;IF($AB60="","","mcd")</f>
        <v>MCP23017 I2C 16-bit I/O Expander</v>
      </c>
      <c r="E60" t="str" s="12" cm="1">
        <f t="array" ref="E60">$G60&amp;" "&amp;B60&amp;IF($V60="",""," ")&amp;$V60&amp;IF($M60="",""," ")&amp;$M60&amp;IF($W60="",""," ")&amp;$W60&amp;IF($X60="",""," ")&amp;$X60&amp;IF($Y60="",""," ")&amp;$Y60&amp;IF($AB60="",""," ")&amp;$AB60&amp;IF($AB60="","","mcd")</f>
        <v>MCP23017 IC I2C 16-bit I/O Expander</v>
      </c>
      <c r="F60" t="str" s="11" cm="1">
        <f t="array" ref="F60">IF(ISBLANK(AH60),"",IF(AG60="LCSC",HYPERLINK("https://jlcpcb.com/partdetail/"&amp;$AH60,$AH60),IF(AG60="Mouser",$AH60,$AH60)))</f>
        <v>C629440</v>
      </c>
      <c r="G60" t="str" s="11" cm="1">
        <f t="array" ref="G60">J60</f>
        <v>MCP23017</v>
      </c>
      <c r="H60" s="15"/>
      <c r="I60" s="14"/>
      <c r="J60" t="s" s="10">
        <v>632</v>
      </c>
      <c r="K60" s="14"/>
      <c r="L60" t="s" s="10">
        <v>11</v>
      </c>
      <c r="M60" t="s" s="10">
        <v>633</v>
      </c>
      <c r="N60" t="s" s="10">
        <v>634</v>
      </c>
      <c r="O60" s="10"/>
      <c r="P60" s="10"/>
      <c r="Q60" s="10"/>
      <c r="R60" t="s" s="10">
        <v>635</v>
      </c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t="s" s="10">
        <v>636</v>
      </c>
      <c r="AE60" t="s" s="10">
        <v>637</v>
      </c>
      <c r="AF60" s="14"/>
      <c r="AG60" t="s" s="10">
        <v>50</v>
      </c>
      <c r="AH60" t="s" s="10">
        <v>638</v>
      </c>
      <c r="AI60" t="s" s="10">
        <v>639</v>
      </c>
      <c r="AJ60" t="s" s="10">
        <v>640</v>
      </c>
      <c r="AK60" t="s" s="10">
        <v>641</v>
      </c>
    </row>
    <row r="61" ht="20.15" customHeight="1">
      <c r="B61" t="s" s="10">
        <v>580</v>
      </c>
      <c r="C61" t="str" s="11" cm="1">
        <f t="array" ref="C61">B61&amp;"_"&amp;G61&amp;"_"&amp;R61</f>
        <v>IC_NE555D_SOP-8</v>
      </c>
      <c r="D61" t="str" s="12" cm="1">
        <f t="array" ref="D61">$G61&amp;IF($B61="LED"," LED","")&amp;IF($V61="",""," ")&amp;$V61&amp;IF($M61="",""," ")&amp;$M61&amp;IF($W61="",""," ")&amp;$W61&amp;IF($X61="",""," ")&amp;$X61&amp;IF($Y61="",""," ")&amp;$Y61&amp;IF($AB61="",""," ")&amp;$AB61&amp;IF($AB61="","","mcd")</f>
        <v>NE555D 16v</v>
      </c>
      <c r="E61" t="str" s="12" cm="1">
        <f t="array" ref="E61">$G61&amp;" "&amp;B61&amp;IF($V61="",""," ")&amp;$V61&amp;IF($M61="",""," ")&amp;$M61&amp;IF($W61="",""," ")&amp;$W61&amp;IF($X61="",""," ")&amp;$X61&amp;IF($Y61="",""," ")&amp;$Y61&amp;IF($AB61="",""," ")&amp;$AB61&amp;IF($AB61="","","mcd")</f>
        <v>NE555D IC 16v</v>
      </c>
      <c r="F61" t="str" s="11" cm="1">
        <f t="array" ref="F61">IF(ISBLANK(AH61),"",IF(AG61="LCSC",HYPERLINK("https://jlcpcb.com/partdetail/"&amp;$AH61,$AH61),IF(AG61="Mouser",$AH61,$AH61)))</f>
        <v>C695838</v>
      </c>
      <c r="G61" t="str" s="11" cm="1">
        <f t="array" ref="G61">J61</f>
        <v>NE555D</v>
      </c>
      <c r="H61" s="15"/>
      <c r="I61" s="14"/>
      <c r="J61" t="s" s="10">
        <v>646</v>
      </c>
      <c r="K61" s="14"/>
      <c r="L61" t="s" s="10">
        <v>11</v>
      </c>
      <c r="M61" s="10"/>
      <c r="N61" t="s" s="10">
        <v>647</v>
      </c>
      <c r="O61" s="10"/>
      <c r="P61" s="10"/>
      <c r="Q61" s="10"/>
      <c r="R61" t="s" s="10">
        <v>606</v>
      </c>
      <c r="S61" s="10"/>
      <c r="T61" s="10"/>
      <c r="U61" s="10"/>
      <c r="V61" s="10"/>
      <c r="W61" t="s" s="10">
        <v>648</v>
      </c>
      <c r="X61" s="10"/>
      <c r="Y61" s="10"/>
      <c r="Z61" s="10"/>
      <c r="AA61" s="10"/>
      <c r="AB61" s="10"/>
      <c r="AC61" s="10"/>
      <c r="AD61" t="s" s="10">
        <v>649</v>
      </c>
      <c r="AE61" t="s" s="10">
        <v>650</v>
      </c>
      <c r="AF61" s="14"/>
      <c r="AG61" t="s" s="10">
        <v>50</v>
      </c>
      <c r="AH61" t="s" s="10">
        <v>651</v>
      </c>
      <c r="AI61" t="s" s="10">
        <v>652</v>
      </c>
      <c r="AJ61" t="s" s="10">
        <v>653</v>
      </c>
      <c r="AK61" t="s" s="10">
        <v>654</v>
      </c>
    </row>
    <row r="62" ht="20.15" customHeight="1">
      <c r="B62" t="s" s="10">
        <v>580</v>
      </c>
      <c r="C62" t="str" s="11" cm="1">
        <f t="array" ref="C62">B62&amp;"_"&amp;G62&amp;"_"&amp;R62</f>
        <v>IC_NE556_SOP-14</v>
      </c>
      <c r="D62" t="str" s="12" cm="1">
        <f t="array" ref="D62">$G62&amp;IF($B62="LED"," LED","")&amp;IF($V62="",""," ")&amp;$V62&amp;IF($M62="",""," ")&amp;$M62&amp;IF($W62="",""," ")&amp;$W62&amp;IF($X62="",""," ")&amp;$X62&amp;IF($Y62="",""," ")&amp;$Y62&amp;IF($AB62="",""," ")&amp;$AB62&amp;IF($AB62="","","mcd")</f>
        <v>NE556 Dual Timer 16V 600mW</v>
      </c>
      <c r="E62" t="str" s="12" cm="1">
        <f t="array" ref="E62">$G62&amp;" "&amp;B62&amp;IF($V62="",""," ")&amp;$V62&amp;IF($M62="",""," ")&amp;$M62&amp;IF($W62="",""," ")&amp;$W62&amp;IF($X62="",""," ")&amp;$X62&amp;IF($Y62="",""," ")&amp;$Y62&amp;IF($AB62="",""," ")&amp;$AB62&amp;IF($AB62="","","mcd")</f>
        <v>NE556 IC Dual Timer 16V 600mW</v>
      </c>
      <c r="F62" t="str" s="11" cm="1">
        <f t="array" ref="F62">IF(ISBLANK(AH62),"",IF(AG62="LCSC",HYPERLINK("https://jlcpcb.com/partdetail/"&amp;$AH62,$AH62),IF(AG62="Mouser",$AH62,$AH62)))</f>
        <v>C5145392</v>
      </c>
      <c r="G62" t="str" s="11" cm="1">
        <f t="array" ref="G62">J62</f>
        <v>NE556</v>
      </c>
      <c r="H62" s="15"/>
      <c r="I62" s="14"/>
      <c r="J62" t="s" s="10">
        <v>659</v>
      </c>
      <c r="K62" s="14"/>
      <c r="L62" t="s" s="10">
        <v>11</v>
      </c>
      <c r="M62" t="s" s="10">
        <v>660</v>
      </c>
      <c r="N62" t="s" s="10">
        <v>661</v>
      </c>
      <c r="O62" s="10"/>
      <c r="P62" s="10"/>
      <c r="Q62" s="10"/>
      <c r="R62" t="s" s="10">
        <v>662</v>
      </c>
      <c r="S62" s="10"/>
      <c r="T62" s="10"/>
      <c r="U62" s="10"/>
      <c r="V62" s="10"/>
      <c r="W62" t="s" s="10">
        <v>113</v>
      </c>
      <c r="X62" s="10"/>
      <c r="Y62" t="s" s="10">
        <v>663</v>
      </c>
      <c r="Z62" s="10"/>
      <c r="AA62" s="10"/>
      <c r="AB62" s="10"/>
      <c r="AC62" s="10"/>
      <c r="AD62" t="s" s="10">
        <v>664</v>
      </c>
      <c r="AE62" t="s" s="10">
        <v>665</v>
      </c>
      <c r="AF62" s="14"/>
      <c r="AG62" t="s" s="10">
        <v>50</v>
      </c>
      <c r="AH62" t="s" s="10">
        <v>666</v>
      </c>
      <c r="AI62" t="s" s="10">
        <v>667</v>
      </c>
      <c r="AJ62" t="s" s="10">
        <v>668</v>
      </c>
      <c r="AK62" t="s" s="10">
        <v>669</v>
      </c>
    </row>
    <row r="63" ht="20.15" customHeight="1">
      <c r="B63" t="s" s="10">
        <v>580</v>
      </c>
      <c r="C63" t="str" s="11" cm="1">
        <f t="array" ref="C63">B63&amp;"_"&amp;G63&amp;"_"&amp;R63</f>
        <v>IC_PCA9685_TSSOP-28</v>
      </c>
      <c r="D63" t="str" s="12" cm="1">
        <f t="array" ref="D63">$G63&amp;IF($B63="LED"," LED","")&amp;IF($V63="",""," ")&amp;$V63&amp;IF($M63="",""," ")&amp;$M63&amp;IF($W63="",""," ")&amp;$W63&amp;IF($X63="",""," ")&amp;$X63&amp;IF($Y63="",""," ")&amp;$Y63&amp;IF($AB63="",""," ")&amp;$AB63&amp;IF($AB63="","","mcd")</f>
        <v>PCA9685 I2C 16-bit PWM LED Driver</v>
      </c>
      <c r="E63" t="str" s="12" cm="1">
        <f t="array" ref="E63">$G63&amp;" "&amp;B63&amp;IF($V63="",""," ")&amp;$V63&amp;IF($M63="",""," ")&amp;$M63&amp;IF($W63="",""," ")&amp;$W63&amp;IF($X63="",""," ")&amp;$X63&amp;IF($Y63="",""," ")&amp;$Y63&amp;IF($AB63="",""," ")&amp;$AB63&amp;IF($AB63="","","mcd")</f>
        <v>PCA9685 IC I2C 16-bit PWM LED Driver</v>
      </c>
      <c r="F63" t="str" s="11" cm="1">
        <f t="array" ref="F63">IF(ISBLANK(AH63),"",IF(AG63="LCSC",HYPERLINK("https://jlcpcb.com/partdetail/"&amp;$AH63,$AH63),IF(AG63="Mouser",$AH63,$AH63)))</f>
        <v>C2678753</v>
      </c>
      <c r="G63" t="str" s="11" cm="1">
        <f t="array" ref="G63">J63</f>
        <v>PCA9685</v>
      </c>
      <c r="H63" s="15"/>
      <c r="I63" s="14"/>
      <c r="J63" t="s" s="10">
        <v>674</v>
      </c>
      <c r="K63" s="14"/>
      <c r="L63" t="s" s="10">
        <v>11</v>
      </c>
      <c r="M63" t="s" s="10">
        <v>675</v>
      </c>
      <c r="N63" t="s" s="10">
        <v>676</v>
      </c>
      <c r="O63" s="10"/>
      <c r="P63" s="10"/>
      <c r="Q63" s="10"/>
      <c r="R63" t="s" s="10">
        <v>677</v>
      </c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t="s" s="10">
        <v>678</v>
      </c>
      <c r="AE63" t="s" s="10">
        <v>679</v>
      </c>
      <c r="AF63" s="14"/>
      <c r="AG63" t="s" s="10">
        <v>50</v>
      </c>
      <c r="AH63" t="s" s="10">
        <v>680</v>
      </c>
      <c r="AI63" t="s" s="10">
        <v>681</v>
      </c>
      <c r="AJ63" t="s" s="10">
        <v>682</v>
      </c>
      <c r="AK63" t="s" s="10">
        <v>683</v>
      </c>
    </row>
    <row r="64" ht="18.9" customHeight="1">
      <c r="B64" t="s" s="10">
        <v>684</v>
      </c>
      <c r="C64" t="str" s="11" cm="1">
        <f t="array" ref="C64">B64&amp;"_"&amp;R64&amp;"_"&amp;G64</f>
        <v>IND_17.2x9.5mm_FIS121NL</v>
      </c>
      <c r="D64" t="str" s="12" cm="1">
        <f t="array" ref="D64">$G64&amp;IF($B64="LED"," LED","")&amp;IF($V64="",""," ")&amp;$V64&amp;IF($M64="",""," ")&amp;$M64&amp;IF($W64="",""," ")&amp;$W64&amp;IF($X64="",""," ")&amp;$X64&amp;IF($Y64="",""," ")&amp;$Y64&amp;IF($AB64="",""," ")&amp;$AB64&amp;IF($AB64="","","mcd")</f>
        <v>FIS121NL Pulse Transformer</v>
      </c>
      <c r="E64" t="str" s="12" cm="1">
        <f t="array" ref="E64">$G64&amp;" "&amp;B64&amp;IF($V64="",""," ")&amp;$V64&amp;IF($M64="",""," ")&amp;$M64&amp;IF($W64="",""," ")&amp;$W64&amp;IF($X64="",""," ")&amp;$X64&amp;IF($Y64="",""," ")&amp;$Y64&amp;IF($AB64="",""," ")&amp;$AB64&amp;IF($AB64="","","mcd")</f>
        <v>FIS121NL IND Pulse Transformer</v>
      </c>
      <c r="F64" t="str" s="11" cm="1">
        <f t="array" ref="F64">IF(ISBLANK(AH64),"",IF(AG64="LCSC",HYPERLINK("https://jlcpcb.com/partdetail/"&amp;$AH64,$AH64),IF(AG64="Mouser",$AH64,$AH64)))</f>
        <v>C6555619</v>
      </c>
      <c r="G64" t="str" s="11" cm="1">
        <f t="array" ref="G64">J64</f>
        <v>FIS121NL</v>
      </c>
      <c r="H64" s="15"/>
      <c r="I64" s="14"/>
      <c r="J64" t="str" s="14" cm="1">
        <f t="array" ref="J64">AJ64</f>
        <v>FIS121NL</v>
      </c>
      <c r="K64" t="s" s="10">
        <v>690</v>
      </c>
      <c r="L64" t="s" s="10">
        <v>96</v>
      </c>
      <c r="M64" t="s" s="10">
        <v>691</v>
      </c>
      <c r="N64" t="s" s="10">
        <v>692</v>
      </c>
      <c r="O64" t="s" s="10">
        <v>693</v>
      </c>
      <c r="P64" s="10"/>
      <c r="Q64" s="10"/>
      <c r="R64" t="s" s="10">
        <v>694</v>
      </c>
      <c r="S64" t="s" s="10">
        <v>695</v>
      </c>
      <c r="T64" s="10"/>
      <c r="U64" t="s" s="10">
        <v>696</v>
      </c>
      <c r="V64" s="10"/>
      <c r="W64" s="10"/>
      <c r="X64" s="10"/>
      <c r="Y64" s="10"/>
      <c r="Z64" s="10"/>
      <c r="AA64" s="10"/>
      <c r="AB64" s="10"/>
      <c r="AC64" t="s" s="10">
        <v>697</v>
      </c>
      <c r="AD64" s="14"/>
      <c r="AE64" s="14"/>
      <c r="AF64" s="14"/>
      <c r="AG64" t="s" s="10">
        <v>50</v>
      </c>
      <c r="AH64" t="s" s="10">
        <v>698</v>
      </c>
      <c r="AI64" t="s" s="10">
        <v>699</v>
      </c>
      <c r="AJ64" t="s" s="10">
        <v>689</v>
      </c>
      <c r="AK64" t="s" s="10">
        <v>700</v>
      </c>
    </row>
    <row r="65" ht="19.3" customHeight="1">
      <c r="B65" t="s" s="10">
        <v>701</v>
      </c>
      <c r="C65" t="str" s="11" cm="1">
        <f t="array" ref="C65">B65&amp;"_"&amp;G65&amp;"_"&amp;R65&amp;"_"&amp;X65</f>
        <v>LED_Blue_0603_20mA</v>
      </c>
      <c r="D65" t="str" s="12" cm="1">
        <f t="array" ref="D65">$G65&amp;IF($B65="LED"," LED","")&amp;IF($V65="",""," ")&amp;$V65&amp;IF($M65="",""," ")&amp;$M65&amp;IF($W65="",""," ")&amp;$W65&amp;IF($X65="",""," ")&amp;$X65&amp;IF($Y65="",""," ")&amp;$Y65&amp;IF($AB65="",""," ")&amp;$AB65&amp;IF($AB65="","","mcd")</f>
        <v>Blue LED clear 3.3V 20mA 240mcd</v>
      </c>
      <c r="E65" t="str" s="12" cm="1">
        <f t="array" ref="E65">$G65&amp;" "&amp;B65&amp;IF($V65="",""," ")&amp;$V65&amp;IF($M65="",""," ")&amp;$M65&amp;IF($W65="",""," ")&amp;$W65&amp;IF($X65="",""," ")&amp;$X65&amp;IF($Y65="",""," ")&amp;$Y65&amp;IF($AB65="",""," ")&amp;$AB65&amp;IF($AB65="","","mcd")</f>
        <v>Blue LED clear 3.3V 20mA 240mcd</v>
      </c>
      <c r="F65" t="str" s="11" cm="1">
        <f t="array" ref="F65">IF(ISBLANK(AH65),"",IF(AG65="LCSC",HYPERLINK("https://jlcpcb.com/partdetail/"&amp;$AH65,$AH65),IF(AG65="Mouser",$AH65,$AH65)))</f>
        <v>C965807</v>
      </c>
      <c r="G65" t="str" s="11" cm="1">
        <f t="array" ref="G65">J65</f>
        <v>Blue</v>
      </c>
      <c r="H65" s="15"/>
      <c r="I65" s="14"/>
      <c r="J65" t="s" s="10">
        <v>705</v>
      </c>
      <c r="K65" t="s" s="10">
        <v>706</v>
      </c>
      <c r="L65" t="s" s="10">
        <v>11</v>
      </c>
      <c r="M65" t="s" s="10">
        <v>707</v>
      </c>
      <c r="N65" t="s" s="10">
        <v>708</v>
      </c>
      <c r="O65" s="10"/>
      <c r="P65" s="10"/>
      <c r="Q65" s="10"/>
      <c r="R65" t="s" s="10">
        <v>45</v>
      </c>
      <c r="S65" s="10"/>
      <c r="T65" s="10"/>
      <c r="U65" s="10"/>
      <c r="V65" s="10"/>
      <c r="W65" t="s" s="10">
        <v>709</v>
      </c>
      <c r="X65" t="s" s="10">
        <v>710</v>
      </c>
      <c r="Y65" s="10"/>
      <c r="Z65" t="s" s="10">
        <v>711</v>
      </c>
      <c r="AA65" t="s" s="10">
        <v>712</v>
      </c>
      <c r="AB65" t="s" s="10">
        <v>713</v>
      </c>
      <c r="AC65" s="10"/>
      <c r="AD65" t="s" s="10">
        <v>714</v>
      </c>
      <c r="AE65" t="s" s="10">
        <v>715</v>
      </c>
      <c r="AF65" s="14"/>
      <c r="AG65" t="s" s="10">
        <v>50</v>
      </c>
      <c r="AH65" t="s" s="10">
        <v>716</v>
      </c>
      <c r="AI65" t="s" s="10">
        <v>717</v>
      </c>
      <c r="AJ65" t="s" s="10">
        <v>718</v>
      </c>
      <c r="AK65" t="s" s="10">
        <v>719</v>
      </c>
    </row>
    <row r="66" ht="18.4" customHeight="1">
      <c r="B66" t="s" s="10">
        <v>701</v>
      </c>
      <c r="C66" t="str" s="11" cm="1">
        <f t="array" ref="C66">B66&amp;"_"&amp;G66&amp;"_"&amp;R66&amp;"_"&amp;X66</f>
        <v>LED_Green Emerald_0603_20mA</v>
      </c>
      <c r="D66" t="str" s="12" cm="1">
        <f t="array" ref="D66">$G66&amp;IF($B66="LED"," LED","")&amp;IF($V66="",""," ")&amp;$V66&amp;IF($M66="",""," ")&amp;$M66&amp;IF($W66="",""," ")&amp;$W66&amp;IF($X66="",""," ")&amp;$X66&amp;IF($Y66="",""," ")&amp;$Y66&amp;IF($AB66="",""," ")&amp;$AB66&amp;IF($AB66="","","mcd")</f>
        <v>Green Emerald LED clear 3.3V 20mA 810mcd</v>
      </c>
      <c r="E66" t="str" s="12" cm="1">
        <f t="array" ref="E66">$G66&amp;" "&amp;B66&amp;IF($V66="",""," ")&amp;$V66&amp;IF($M66="",""," ")&amp;$M66&amp;IF($W66="",""," ")&amp;$W66&amp;IF($X66="",""," ")&amp;$X66&amp;IF($Y66="",""," ")&amp;$Y66&amp;IF($AB66="",""," ")&amp;$AB66&amp;IF($AB66="","","mcd")</f>
        <v>Green Emerald LED clear 3.3V 20mA 810mcd</v>
      </c>
      <c r="F66" t="str" s="11" cm="1">
        <f t="array" ref="F66">IF(ISBLANK(AH66),"",IF(AG66="LCSC",HYPERLINK("https://jlcpcb.com/partdetail/"&amp;$AH66,$AH66),IF(AG66="Mouser",$AH66,$AH66)))</f>
        <v>C965804</v>
      </c>
      <c r="G66" t="str" s="11" cm="1">
        <f t="array" ref="G66">J66</f>
        <v>Green Emerald</v>
      </c>
      <c r="H66" s="15"/>
      <c r="I66" s="14"/>
      <c r="J66" t="s" s="10">
        <v>723</v>
      </c>
      <c r="K66" t="s" s="10">
        <v>724</v>
      </c>
      <c r="L66" t="s" s="10">
        <v>11</v>
      </c>
      <c r="M66" t="s" s="10">
        <v>707</v>
      </c>
      <c r="N66" t="s" s="10">
        <v>725</v>
      </c>
      <c r="O66" s="10"/>
      <c r="P66" s="10"/>
      <c r="Q66" s="10"/>
      <c r="R66" t="s" s="10">
        <v>45</v>
      </c>
      <c r="S66" s="10"/>
      <c r="T66" s="10"/>
      <c r="U66" s="10"/>
      <c r="V66" s="10"/>
      <c r="W66" t="s" s="10">
        <v>709</v>
      </c>
      <c r="X66" t="s" s="10">
        <v>710</v>
      </c>
      <c r="Y66" s="10"/>
      <c r="Z66" t="s" s="10">
        <v>711</v>
      </c>
      <c r="AA66" t="s" s="10">
        <v>726</v>
      </c>
      <c r="AB66" t="s" s="10">
        <v>727</v>
      </c>
      <c r="AC66" s="10"/>
      <c r="AD66" t="s" s="10">
        <v>714</v>
      </c>
      <c r="AE66" t="s" s="10">
        <v>715</v>
      </c>
      <c r="AF66" s="14"/>
      <c r="AG66" t="s" s="10">
        <v>50</v>
      </c>
      <c r="AH66" t="s" s="10">
        <v>728</v>
      </c>
      <c r="AI66" t="s" s="10">
        <v>717</v>
      </c>
      <c r="AJ66" t="s" s="10">
        <v>729</v>
      </c>
      <c r="AK66" t="s" s="10">
        <v>730</v>
      </c>
    </row>
    <row r="67" ht="18.9" customHeight="1">
      <c r="B67" t="s" s="10">
        <v>701</v>
      </c>
      <c r="C67" t="str" s="11" cm="1">
        <f t="array" ref="C67">B67&amp;"_"&amp;G67&amp;"_"&amp;R67&amp;"_"&amp;X67</f>
        <v>LED_Orange_0603_10mA</v>
      </c>
      <c r="D67" t="str" s="12" cm="1">
        <f t="array" ref="D67">$G67&amp;IF($B67="LED"," LED","")&amp;IF($V67="",""," ")&amp;$V67&amp;IF($M67="",""," ")&amp;$M67&amp;IF($W67="",""," ")&amp;$W67&amp;IF($X67="",""," ")&amp;$X67&amp;IF($Y67="",""," ")&amp;$Y67&amp;IF($AB67="",""," ")&amp;$AB67&amp;IF($AB67="","","mcd")</f>
        <v>Orange LED clear 2.2V 10mA 70mcd</v>
      </c>
      <c r="E67" t="str" s="12" cm="1">
        <f t="array" ref="E67">$G67&amp;" "&amp;B67&amp;IF($V67="",""," ")&amp;$V67&amp;IF($M67="",""," ")&amp;$M67&amp;IF($W67="",""," ")&amp;$W67&amp;IF($X67="",""," ")&amp;$X67&amp;IF($Y67="",""," ")&amp;$Y67&amp;IF($AB67="",""," ")&amp;$AB67&amp;IF($AB67="","","mcd")</f>
        <v>Orange LED clear 2.2V 10mA 70mcd</v>
      </c>
      <c r="F67" t="str" s="11" cm="1">
        <f t="array" ref="F67">IF(ISBLANK(AH67),"",IF(AG67="LCSC",HYPERLINK("https://jlcpcb.com/partdetail/"&amp;$AH67,$AH67),IF(AG67="Mouser",$AH67,$AH67)))</f>
        <v>C22371303</v>
      </c>
      <c r="G67" t="str" s="11" cm="1">
        <f t="array" ref="G67">J67</f>
        <v>Orange</v>
      </c>
      <c r="H67" s="13">
        <v>1</v>
      </c>
      <c r="I67" s="14"/>
      <c r="J67" t="s" s="10">
        <v>734</v>
      </c>
      <c r="K67" t="s" s="10">
        <v>735</v>
      </c>
      <c r="L67" t="s" s="10">
        <v>11</v>
      </c>
      <c r="M67" t="s" s="10">
        <v>707</v>
      </c>
      <c r="N67" t="s" s="10">
        <v>736</v>
      </c>
      <c r="O67" s="10"/>
      <c r="P67" s="10"/>
      <c r="Q67" s="10"/>
      <c r="R67" t="s" s="10">
        <v>45</v>
      </c>
      <c r="S67" s="10"/>
      <c r="T67" s="10"/>
      <c r="U67" s="10"/>
      <c r="V67" s="10"/>
      <c r="W67" t="s" s="10">
        <v>737</v>
      </c>
      <c r="X67" t="s" s="10">
        <v>738</v>
      </c>
      <c r="Y67" s="10"/>
      <c r="Z67" s="10"/>
      <c r="AA67" t="s" s="10">
        <v>739</v>
      </c>
      <c r="AB67" t="s" s="10">
        <v>740</v>
      </c>
      <c r="AC67" s="10"/>
      <c r="AD67" t="s" s="10">
        <v>714</v>
      </c>
      <c r="AE67" t="s" s="10">
        <v>715</v>
      </c>
      <c r="AF67" t="s" s="10">
        <v>61</v>
      </c>
      <c r="AG67" t="s" s="10">
        <v>50</v>
      </c>
      <c r="AH67" t="s" s="10">
        <v>741</v>
      </c>
      <c r="AI67" t="s" s="10">
        <v>742</v>
      </c>
      <c r="AJ67" t="s" s="10">
        <v>743</v>
      </c>
      <c r="AK67" t="s" s="10">
        <v>744</v>
      </c>
    </row>
    <row r="68" ht="18.9" customHeight="1">
      <c r="B68" t="s" s="10">
        <v>701</v>
      </c>
      <c r="C68" t="str" s="11" cm="1">
        <f t="array" ref="C68">B68&amp;"_"&amp;G68&amp;"_"&amp;R68&amp;"_"&amp;X68</f>
        <v>LED_Orange_0603_20mA</v>
      </c>
      <c r="D68" t="str" s="12" cm="1">
        <f t="array" ref="D68">$G68&amp;IF($B68="LED"," LED","")&amp;IF($V68="",""," ")&amp;$V68&amp;IF($M68="",""," ")&amp;$M68&amp;IF($W68="",""," ")&amp;$W68&amp;IF($X68="",""," ")&amp;$X68&amp;IF($Y68="",""," ")&amp;$Y68&amp;IF($AB68="",""," ")&amp;$AB68&amp;IF($AB68="","","mcd")</f>
        <v>Orange LED clear 2.3V 20mA 315mcd</v>
      </c>
      <c r="E68" t="str" s="12" cm="1">
        <f t="array" ref="E68">$G68&amp;" "&amp;B68&amp;IF($V68="",""," ")&amp;$V68&amp;IF($M68="",""," ")&amp;$M68&amp;IF($W68="",""," ")&amp;$W68&amp;IF($X68="",""," ")&amp;$X68&amp;IF($Y68="",""," ")&amp;$Y68&amp;IF($AB68="",""," ")&amp;$AB68&amp;IF($AB68="","","mcd")</f>
        <v>Orange LED clear 2.3V 20mA 315mcd</v>
      </c>
      <c r="F68" t="str" s="11" cm="1">
        <f t="array" ref="F68">IF(ISBLANK(AH68),"",IF(AG68="LCSC",HYPERLINK("https://jlcpcb.com/partdetail/"&amp;$AH68,$AH68),IF(AG68="Mouser",$AH68,$AH68)))</f>
        <v>C965800</v>
      </c>
      <c r="G68" t="str" s="11" cm="1">
        <f t="array" ref="G68">J68</f>
        <v>Orange</v>
      </c>
      <c r="H68" s="13">
        <v>2</v>
      </c>
      <c r="I68" s="14"/>
      <c r="J68" t="s" s="10">
        <v>734</v>
      </c>
      <c r="K68" t="s" s="10">
        <v>735</v>
      </c>
      <c r="L68" t="s" s="10">
        <v>11</v>
      </c>
      <c r="M68" t="s" s="10">
        <v>707</v>
      </c>
      <c r="N68" t="s" s="10">
        <v>748</v>
      </c>
      <c r="O68" s="10"/>
      <c r="P68" s="10"/>
      <c r="Q68" s="10"/>
      <c r="R68" t="s" s="10">
        <v>45</v>
      </c>
      <c r="S68" s="10"/>
      <c r="T68" s="10"/>
      <c r="U68" s="10"/>
      <c r="V68" s="10"/>
      <c r="W68" t="s" s="10">
        <v>749</v>
      </c>
      <c r="X68" t="s" s="10">
        <v>710</v>
      </c>
      <c r="Y68" s="10"/>
      <c r="Z68" s="10"/>
      <c r="AA68" s="10"/>
      <c r="AB68" t="s" s="10">
        <v>750</v>
      </c>
      <c r="AC68" s="10"/>
      <c r="AD68" t="s" s="10">
        <v>714</v>
      </c>
      <c r="AE68" t="s" s="10">
        <v>715</v>
      </c>
      <c r="AF68" t="s" s="10">
        <v>61</v>
      </c>
      <c r="AG68" t="s" s="10">
        <v>50</v>
      </c>
      <c r="AH68" t="s" s="10">
        <v>751</v>
      </c>
      <c r="AI68" t="s" s="10">
        <v>717</v>
      </c>
      <c r="AJ68" t="s" s="10">
        <v>752</v>
      </c>
      <c r="AK68" t="s" s="10">
        <v>753</v>
      </c>
    </row>
    <row r="69" ht="16.4" customHeight="1">
      <c r="B69" t="s" s="10">
        <v>701</v>
      </c>
      <c r="C69" t="str" s="11" cm="1">
        <f t="array" ref="C69">B69&amp;"_"&amp;G69&amp;"_"&amp;R69&amp;"_"&amp;X69</f>
        <v>LED_Orange_0603_20mA</v>
      </c>
      <c r="D69" t="str" s="12" cm="1">
        <f t="array" ref="D69">$G69&amp;IF($B69="LED"," LED","")&amp;IF($V69="",""," ")&amp;$V69&amp;IF($M69="",""," ")&amp;$M69&amp;IF($W69="",""," ")&amp;$W69&amp;IF($X69="",""," ")&amp;$X69&amp;IF($Y69="",""," ")&amp;$Y69&amp;IF($AB69="",""," ")&amp;$AB69&amp;IF($AB69="","","mcd")</f>
        <v>Orange LED clear 2.3V 20mA 315mcd</v>
      </c>
      <c r="E69" t="str" s="12" cm="1">
        <f t="array" ref="E69">$G69&amp;" "&amp;B69&amp;IF($V69="",""," ")&amp;$V69&amp;IF($M69="",""," ")&amp;$M69&amp;IF($W69="",""," ")&amp;$W69&amp;IF($X69="",""," ")&amp;$X69&amp;IF($Y69="",""," ")&amp;$Y69&amp;IF($AB69="",""," ")&amp;$AB69&amp;IF($AB69="","","mcd")</f>
        <v>Orange LED clear 2.3V 20mA 315mcd</v>
      </c>
      <c r="F69" t="str" s="11" cm="1">
        <f t="array" ref="F69">IF(ISBLANK(AH69),"",IF(AG69="LCSC",HYPERLINK("https://jlcpcb.com/partdetail/"&amp;$AH69,$AH69),IF(AG69="Mouser",$AH69,$AH69)))</f>
        <v>C965801</v>
      </c>
      <c r="G69" t="str" s="11" cm="1">
        <f t="array" ref="G69">J69</f>
        <v>Orange</v>
      </c>
      <c r="H69" s="13">
        <v>3</v>
      </c>
      <c r="I69" s="14"/>
      <c r="J69" t="s" s="10">
        <v>734</v>
      </c>
      <c r="K69" t="s" s="10">
        <v>735</v>
      </c>
      <c r="L69" t="s" s="10">
        <v>11</v>
      </c>
      <c r="M69" t="s" s="10">
        <v>707</v>
      </c>
      <c r="N69" t="s" s="10">
        <v>748</v>
      </c>
      <c r="O69" s="10"/>
      <c r="P69" s="10"/>
      <c r="Q69" s="10"/>
      <c r="R69" t="s" s="10">
        <v>45</v>
      </c>
      <c r="S69" s="10"/>
      <c r="T69" s="10"/>
      <c r="U69" s="10"/>
      <c r="V69" s="10"/>
      <c r="W69" t="s" s="10">
        <v>749</v>
      </c>
      <c r="X69" t="s" s="10">
        <v>710</v>
      </c>
      <c r="Y69" s="10"/>
      <c r="Z69" t="s" s="10">
        <v>711</v>
      </c>
      <c r="AA69" t="s" s="10">
        <v>755</v>
      </c>
      <c r="AB69" t="s" s="10">
        <v>750</v>
      </c>
      <c r="AC69" s="10"/>
      <c r="AD69" t="s" s="10">
        <v>714</v>
      </c>
      <c r="AE69" t="s" s="10">
        <v>715</v>
      </c>
      <c r="AF69" s="14"/>
      <c r="AG69" t="s" s="10">
        <v>50</v>
      </c>
      <c r="AH69" t="s" s="10">
        <v>756</v>
      </c>
      <c r="AI69" t="s" s="10">
        <v>717</v>
      </c>
      <c r="AJ69" t="s" s="10">
        <v>757</v>
      </c>
      <c r="AK69" t="s" s="10">
        <v>753</v>
      </c>
    </row>
    <row r="70" ht="18.9" customHeight="1">
      <c r="B70" t="s" s="10">
        <v>701</v>
      </c>
      <c r="C70" t="str" s="11" cm="1">
        <f t="array" ref="C70">B70&amp;"_"&amp;G70&amp;"_"&amp;R70&amp;"_"&amp;X70</f>
        <v>LED_Red_0603_20mA</v>
      </c>
      <c r="D70" t="str" s="12" cm="1">
        <f t="array" ref="D70">$G70&amp;IF($B70="LED"," LED","")&amp;IF($V70="",""," ")&amp;$V70&amp;IF($M70="",""," ")&amp;$M70&amp;IF($W70="",""," ")&amp;$W70&amp;IF($X70="",""," ")&amp;$X70&amp;IF($Y70="",""," ")&amp;$Y70&amp;IF($AB70="",""," ")&amp;$AB70&amp;IF($AB70="","","mcd")</f>
        <v>Red LED clear 2.2V 20mA 150mcd</v>
      </c>
      <c r="E70" t="str" s="12" cm="1">
        <f t="array" ref="E70">$G70&amp;" "&amp;B70&amp;IF($V70="",""," ")&amp;$V70&amp;IF($M70="",""," ")&amp;$M70&amp;IF($W70="",""," ")&amp;$W70&amp;IF($X70="",""," ")&amp;$X70&amp;IF($Y70="",""," ")&amp;$Y70&amp;IF($AB70="",""," ")&amp;$AB70&amp;IF($AB70="","","mcd")</f>
        <v>Red LED clear 2.2V 20mA 150mcd</v>
      </c>
      <c r="F70" t="str" s="11" cm="1">
        <f t="array" ref="F70">IF(ISBLANK(AH70),"",IF(AG70="LCSC",HYPERLINK("https://jlcpcb.com/partdetail/"&amp;$AH70,$AH70),IF(AG70="Mouser",$AH70,$AH70)))</f>
        <v>C7288939</v>
      </c>
      <c r="G70" t="str" s="11" cm="1">
        <f t="array" ref="G70">J70</f>
        <v>Red</v>
      </c>
      <c r="H70" s="13">
        <v>2</v>
      </c>
      <c r="I70" s="14"/>
      <c r="J70" t="s" s="10">
        <v>761</v>
      </c>
      <c r="K70" t="s" s="10">
        <v>762</v>
      </c>
      <c r="L70" t="s" s="10">
        <v>11</v>
      </c>
      <c r="M70" t="s" s="10">
        <v>707</v>
      </c>
      <c r="N70" t="s" s="10">
        <v>763</v>
      </c>
      <c r="O70" s="10"/>
      <c r="P70" s="10"/>
      <c r="Q70" s="10"/>
      <c r="R70" t="s" s="10">
        <v>45</v>
      </c>
      <c r="S70" s="10"/>
      <c r="T70" s="10"/>
      <c r="U70" s="10"/>
      <c r="V70" s="10"/>
      <c r="W70" t="s" s="10">
        <v>737</v>
      </c>
      <c r="X70" t="s" s="10">
        <v>710</v>
      </c>
      <c r="Y70" s="10"/>
      <c r="Z70" s="10"/>
      <c r="AA70" s="10"/>
      <c r="AB70" t="s" s="10">
        <v>764</v>
      </c>
      <c r="AC70" s="10"/>
      <c r="AD70" t="s" s="10">
        <v>714</v>
      </c>
      <c r="AE70" t="s" s="10">
        <v>715</v>
      </c>
      <c r="AF70" t="s" s="10">
        <v>61</v>
      </c>
      <c r="AG70" t="s" s="10">
        <v>50</v>
      </c>
      <c r="AH70" t="s" s="10">
        <v>765</v>
      </c>
      <c r="AI70" t="s" s="10">
        <v>766</v>
      </c>
      <c r="AJ70" t="s" s="10">
        <v>767</v>
      </c>
      <c r="AK70" t="s" s="10">
        <v>768</v>
      </c>
    </row>
    <row r="71" ht="18.05" customHeight="1">
      <c r="B71" t="s" s="10">
        <v>701</v>
      </c>
      <c r="C71" t="str" s="11" cm="1">
        <f t="array" ref="C71">B71&amp;"_"&amp;G71&amp;"_"&amp;R71&amp;"_"&amp;X71</f>
        <v>LED_Red_0603_20mA</v>
      </c>
      <c r="D71" t="str" s="12" cm="1">
        <f t="array" ref="D71">$G71&amp;IF($B71="LED"," LED","")&amp;IF($V71="",""," ")&amp;$V71&amp;IF($M71="",""," ")&amp;$M71&amp;IF($W71="",""," ")&amp;$W71&amp;IF($X71="",""," ")&amp;$X71&amp;IF($Y71="",""," ")&amp;$Y71&amp;IF($AB71="",""," ")&amp;$AB71&amp;IF($AB71="","","mcd")</f>
        <v>Red LED clear 2.4V 20mA 360mcd</v>
      </c>
      <c r="E71" t="str" s="12" cm="1">
        <f t="array" ref="E71">$G71&amp;" "&amp;B71&amp;IF($V71="",""," ")&amp;$V71&amp;IF($M71="",""," ")&amp;$M71&amp;IF($W71="",""," ")&amp;$W71&amp;IF($X71="",""," ")&amp;$X71&amp;IF($Y71="",""," ")&amp;$Y71&amp;IF($AB71="",""," ")&amp;$AB71&amp;IF($AB71="","","mcd")</f>
        <v>Red LED clear 2.4V 20mA 360mcd</v>
      </c>
      <c r="F71" t="str" s="11" cm="1">
        <f t="array" ref="F71">IF(ISBLANK(AH71),"",IF(AG71="LCSC",HYPERLINK("https://jlcpcb.com/partdetail/"&amp;$AH71,$AH71),IF(AG71="Mouser",$AH71,$AH71)))</f>
        <v>C965798</v>
      </c>
      <c r="G71" t="str" s="11" cm="1">
        <f t="array" ref="G71">J71</f>
        <v>Red</v>
      </c>
      <c r="H71" s="13">
        <v>3</v>
      </c>
      <c r="I71" s="14"/>
      <c r="J71" t="s" s="10">
        <v>761</v>
      </c>
      <c r="K71" t="s" s="10">
        <v>762</v>
      </c>
      <c r="L71" t="s" s="10">
        <v>11</v>
      </c>
      <c r="M71" t="s" s="10">
        <v>707</v>
      </c>
      <c r="N71" t="s" s="10">
        <v>771</v>
      </c>
      <c r="O71" s="10"/>
      <c r="P71" s="10"/>
      <c r="Q71" s="10"/>
      <c r="R71" t="s" s="10">
        <v>45</v>
      </c>
      <c r="S71" s="10"/>
      <c r="T71" s="10"/>
      <c r="U71" s="10"/>
      <c r="V71" s="10"/>
      <c r="W71" t="s" s="10">
        <v>772</v>
      </c>
      <c r="X71" t="s" s="10">
        <v>710</v>
      </c>
      <c r="Y71" s="10"/>
      <c r="Z71" t="s" s="10">
        <v>711</v>
      </c>
      <c r="AA71" t="s" s="10">
        <v>773</v>
      </c>
      <c r="AB71" t="s" s="10">
        <v>774</v>
      </c>
      <c r="AC71" s="10"/>
      <c r="AD71" t="s" s="10">
        <v>714</v>
      </c>
      <c r="AE71" t="s" s="10">
        <v>715</v>
      </c>
      <c r="AF71" s="14"/>
      <c r="AG71" t="s" s="10">
        <v>50</v>
      </c>
      <c r="AH71" t="s" s="10">
        <v>775</v>
      </c>
      <c r="AI71" t="s" s="10">
        <v>717</v>
      </c>
      <c r="AJ71" t="s" s="19">
        <v>776</v>
      </c>
      <c r="AK71" t="s" s="10">
        <v>777</v>
      </c>
    </row>
    <row r="72" ht="18.9" customHeight="1">
      <c r="B72" t="s" s="10">
        <v>701</v>
      </c>
      <c r="C72" t="str" s="11" cm="1">
        <f t="array" ref="C72">B72&amp;"_"&amp;G72&amp;"_"&amp;R72&amp;"_"&amp;X72</f>
        <v>LED_Red_0603_20mA</v>
      </c>
      <c r="D72" t="str" s="12" cm="1">
        <f t="array" ref="D72">$G72&amp;IF($B72="LED"," LED","")&amp;IF($V72="",""," ")&amp;$V72&amp;IF($M72="",""," ")&amp;$M72&amp;IF($W72="",""," ")&amp;$W72&amp;IF($X72="",""," ")&amp;$X72&amp;IF($Y72="",""," ")&amp;$Y72&amp;IF($AB72="",""," ")&amp;$AB72&amp;IF($AB72="","","mcd")</f>
        <v>Red LED clear 2.3V 20mA 330mcd</v>
      </c>
      <c r="E72" t="str" s="12" cm="1">
        <f t="array" ref="E72">$G72&amp;" "&amp;B72&amp;IF($V72="",""," ")&amp;$V72&amp;IF($M72="",""," ")&amp;$M72&amp;IF($W72="",""," ")&amp;$W72&amp;IF($X72="",""," ")&amp;$X72&amp;IF($Y72="",""," ")&amp;$Y72&amp;IF($AB72="",""," ")&amp;$AB72&amp;IF($AB72="","","mcd")</f>
        <v>Red LED clear 2.3V 20mA 330mcd</v>
      </c>
      <c r="F72" t="str" s="11" cm="1">
        <f t="array" ref="F72">IF(ISBLANK(AH72),"",IF(AG72="LCSC",HYPERLINK("https://jlcpcb.com/partdetail/"&amp;$AH72,$AH72),IF(AG72="Mouser",$AH72,$AH72)))</f>
        <v>C965799</v>
      </c>
      <c r="G72" t="str" s="11" cm="1">
        <f t="array" ref="G72">J72</f>
        <v>Red</v>
      </c>
      <c r="H72" s="13">
        <v>1</v>
      </c>
      <c r="I72" s="14"/>
      <c r="J72" t="s" s="10">
        <v>761</v>
      </c>
      <c r="K72" t="s" s="10">
        <v>762</v>
      </c>
      <c r="L72" t="s" s="10">
        <v>11</v>
      </c>
      <c r="M72" t="s" s="10">
        <v>707</v>
      </c>
      <c r="N72" t="s" s="10">
        <v>780</v>
      </c>
      <c r="O72" s="10"/>
      <c r="P72" s="10"/>
      <c r="Q72" s="10"/>
      <c r="R72" t="s" s="10">
        <v>45</v>
      </c>
      <c r="S72" s="10"/>
      <c r="T72" s="10"/>
      <c r="U72" s="10"/>
      <c r="V72" s="10"/>
      <c r="W72" t="s" s="10">
        <v>749</v>
      </c>
      <c r="X72" t="s" s="10">
        <v>710</v>
      </c>
      <c r="Y72" s="10"/>
      <c r="Z72" s="10"/>
      <c r="AA72" s="10"/>
      <c r="AB72" t="s" s="10">
        <v>781</v>
      </c>
      <c r="AC72" s="10"/>
      <c r="AD72" t="s" s="10">
        <v>714</v>
      </c>
      <c r="AE72" t="s" s="10">
        <v>715</v>
      </c>
      <c r="AF72" t="s" s="10">
        <v>61</v>
      </c>
      <c r="AG72" t="s" s="10">
        <v>50</v>
      </c>
      <c r="AH72" t="s" s="10">
        <v>782</v>
      </c>
      <c r="AI72" t="s" s="10">
        <v>717</v>
      </c>
      <c r="AJ72" t="s" s="10">
        <v>783</v>
      </c>
      <c r="AK72" t="s" s="10">
        <v>784</v>
      </c>
    </row>
    <row r="73" ht="19.3" customHeight="1">
      <c r="B73" t="s" s="10">
        <v>701</v>
      </c>
      <c r="C73" t="str" s="11" cm="1">
        <f t="array" ref="C73">B73&amp;"_"&amp;G73&amp;"_"&amp;R73&amp;"_"&amp;X73</f>
        <v>LED_UltraViolet_0603_</v>
      </c>
      <c r="D73" t="str" s="12" cm="1">
        <f t="array" ref="D73">$G73&amp;IF($B73="LED"," LED","")&amp;IF($V73="",""," ")&amp;$V73&amp;IF($M73="",""," ")&amp;$M73&amp;IF($W73="",""," ")&amp;$W73&amp;IF($X73="",""," ")&amp;$X73&amp;IF($Y73="",""," ")&amp;$Y73&amp;IF($AB73="",""," ")&amp;$AB73&amp;IF($AB73="","","mcd")</f>
        <v>UltraViolet LED clear 3.4V</v>
      </c>
      <c r="E73" t="str" s="12" cm="1">
        <f t="array" ref="E73">$G73&amp;" "&amp;B73&amp;IF($V73="",""," ")&amp;$V73&amp;IF($M73="",""," ")&amp;$M73&amp;IF($W73="",""," ")&amp;$W73&amp;IF($X73="",""," ")&amp;$X73&amp;IF($Y73="",""," ")&amp;$Y73&amp;IF($AB73="",""," ")&amp;$AB73&amp;IF($AB73="","","mcd")</f>
        <v>UltraViolet LED clear 3.4V</v>
      </c>
      <c r="F73" t="str" s="11" cm="1">
        <f t="array" ref="F73">IF(ISBLANK(AH73),"",IF(AG73="LCSC",HYPERLINK("https://jlcpcb.com/partdetail/"&amp;$AH73,$AH73),IF(AG73="Mouser",$AH73,$AH73)))</f>
        <v>C7371898</v>
      </c>
      <c r="G73" t="str" s="11" cm="1">
        <f t="array" ref="G73">J73</f>
        <v>UltraViolet</v>
      </c>
      <c r="H73" s="15"/>
      <c r="I73" s="14"/>
      <c r="J73" t="s" s="10">
        <v>788</v>
      </c>
      <c r="K73" t="s" s="10">
        <v>789</v>
      </c>
      <c r="L73" t="s" s="10">
        <v>11</v>
      </c>
      <c r="M73" t="s" s="10">
        <v>707</v>
      </c>
      <c r="N73" t="s" s="10">
        <v>790</v>
      </c>
      <c r="O73" s="10"/>
      <c r="P73" s="10"/>
      <c r="Q73" s="10"/>
      <c r="R73" t="s" s="10">
        <v>45</v>
      </c>
      <c r="S73" s="10"/>
      <c r="T73" s="10"/>
      <c r="U73" s="10"/>
      <c r="V73" s="10"/>
      <c r="W73" t="s" s="10">
        <v>791</v>
      </c>
      <c r="X73" s="10"/>
      <c r="Y73" s="10"/>
      <c r="Z73" t="s" s="10">
        <v>711</v>
      </c>
      <c r="AA73" t="s" s="10">
        <v>792</v>
      </c>
      <c r="AB73" s="10"/>
      <c r="AC73" s="10"/>
      <c r="AD73" t="s" s="10">
        <v>714</v>
      </c>
      <c r="AE73" t="s" s="10">
        <v>715</v>
      </c>
      <c r="AF73" s="14"/>
      <c r="AG73" t="s" s="10">
        <v>50</v>
      </c>
      <c r="AH73" t="s" s="10">
        <v>793</v>
      </c>
      <c r="AI73" t="s" s="10">
        <v>717</v>
      </c>
      <c r="AJ73" t="s" s="10">
        <v>794</v>
      </c>
      <c r="AK73" t="s" s="10">
        <v>795</v>
      </c>
    </row>
    <row r="74" ht="20.95" customHeight="1">
      <c r="B74" t="s" s="10">
        <v>701</v>
      </c>
      <c r="C74" t="str" s="11" cm="1">
        <f t="array" ref="C74">B74&amp;"_"&amp;G74&amp;"_"&amp;R74&amp;"_"&amp;X74</f>
        <v>LED_White_0603_20mA</v>
      </c>
      <c r="D74" t="str" s="12" cm="1">
        <f t="array" ref="D74">$G74&amp;IF($B74="LED"," LED","")&amp;IF($V74="",""," ")&amp;$V74&amp;IF($M74="",""," ")&amp;$M74&amp;IF($W74="",""," ")&amp;$W74&amp;IF($X74="",""," ")&amp;$X74&amp;IF($Y74="",""," ")&amp;$Y74&amp;IF($AB74="",""," ")&amp;$AB74&amp;IF($AB74="","","mcd")</f>
        <v>White LED warm 2.7V 20mA 130mcd</v>
      </c>
      <c r="E74" t="str" s="12" cm="1">
        <f t="array" ref="E74">$G74&amp;" "&amp;B74&amp;IF($V74="",""," ")&amp;$V74&amp;IF($M74="",""," ")&amp;$M74&amp;IF($W74="",""," ")&amp;$W74&amp;IF($X74="",""," ")&amp;$X74&amp;IF($Y74="",""," ")&amp;$Y74&amp;IF($AB74="",""," ")&amp;$AB74&amp;IF($AB74="","","mcd")</f>
        <v>White LED warm 2.7V 20mA 130mcd</v>
      </c>
      <c r="F74" t="str" s="11" cm="1">
        <f t="array" ref="F74">IF(ISBLANK(AH74),"",IF(AG74="LCSC",HYPERLINK("https://jlcpcb.com/partdetail/"&amp;$AH74,$AH74),IF(AG74="Mouser",$AH74,$AH74)))</f>
        <v>C965808</v>
      </c>
      <c r="G74" t="str" s="11" cm="1">
        <f t="array" ref="G74">J74</f>
        <v>White</v>
      </c>
      <c r="H74" s="15"/>
      <c r="I74" s="14"/>
      <c r="J74" t="s" s="10">
        <v>799</v>
      </c>
      <c r="K74" t="s" s="10">
        <v>800</v>
      </c>
      <c r="L74" t="s" s="10">
        <v>11</v>
      </c>
      <c r="M74" t="s" s="10">
        <v>801</v>
      </c>
      <c r="N74" t="s" s="10">
        <v>802</v>
      </c>
      <c r="O74" s="10"/>
      <c r="P74" s="10"/>
      <c r="Q74" s="10"/>
      <c r="R74" t="s" s="10">
        <v>45</v>
      </c>
      <c r="S74" s="10"/>
      <c r="T74" s="10"/>
      <c r="U74" s="10"/>
      <c r="V74" s="10"/>
      <c r="W74" t="s" s="10">
        <v>803</v>
      </c>
      <c r="X74" t="s" s="10">
        <v>710</v>
      </c>
      <c r="Y74" s="10"/>
      <c r="Z74" t="s" s="10">
        <v>711</v>
      </c>
      <c r="AA74" t="s" s="10">
        <v>804</v>
      </c>
      <c r="AB74" t="s" s="10">
        <v>805</v>
      </c>
      <c r="AC74" s="10"/>
      <c r="AD74" t="s" s="10">
        <v>714</v>
      </c>
      <c r="AE74" t="s" s="10">
        <v>715</v>
      </c>
      <c r="AF74" s="14"/>
      <c r="AG74" t="s" s="10">
        <v>50</v>
      </c>
      <c r="AH74" t="s" s="10">
        <v>806</v>
      </c>
      <c r="AI74" t="s" s="10">
        <v>717</v>
      </c>
      <c r="AJ74" t="s" s="10">
        <v>807</v>
      </c>
      <c r="AK74" t="s" s="10">
        <v>808</v>
      </c>
    </row>
    <row r="75" ht="18.05" customHeight="1">
      <c r="B75" t="s" s="10">
        <v>701</v>
      </c>
      <c r="C75" t="str" s="11" cm="1">
        <f t="array" ref="C75">B75&amp;"_"&amp;G75&amp;"_"&amp;R75</f>
        <v>LED_WS2812B_SMD5050</v>
      </c>
      <c r="D75" t="str" s="12" cm="1">
        <f t="array" ref="D75">$G75&amp;IF($B75="LED"," LED","")&amp;IF($V75="",""," ")&amp;$V75&amp;IF($M75="",""," ")&amp;$M75&amp;IF($W75="",""," ")&amp;$W75&amp;IF($X75="",""," ")&amp;$X75&amp;IF($Y75="",""," ")&amp;$Y75&amp;IF($AB75="",""," ")&amp;$AB75&amp;IF($AB75="","","mcd")</f>
        <v>WS2812B LED WS2812B-WS2812B5050 5v 12mA</v>
      </c>
      <c r="E75" t="str" s="12" cm="1">
        <f t="array" ref="E75">$G75&amp;" "&amp;B75&amp;IF($V75="",""," ")&amp;$V75&amp;IF($M75="",""," ")&amp;$M75&amp;IF($W75="",""," ")&amp;$W75&amp;IF($X75="",""," ")&amp;$X75&amp;IF($Y75="",""," ")&amp;$Y75&amp;IF($AB75="",""," ")&amp;$AB75&amp;IF($AB75="","","mcd")</f>
        <v>WS2812B LED WS2812B-WS2812B5050 5v 12mA</v>
      </c>
      <c r="F75" t="str" s="11" cm="1">
        <f t="array" ref="F75">IF(ISBLANK(AH75),"",IF(AG75="LCSC",HYPERLINK("https://jlcpcb.com/partdetail/"&amp;$AH75,$AH75),IF(AG75="Mouser",$AH75,$AH75)))</f>
        <v>C2843785</v>
      </c>
      <c r="G75" t="str" s="11" cm="1">
        <f t="array" ref="G75">J75</f>
        <v>WS2812B</v>
      </c>
      <c r="H75" s="15"/>
      <c r="I75" s="14"/>
      <c r="J75" t="s" s="10">
        <v>812</v>
      </c>
      <c r="K75" t="s" s="10">
        <v>813</v>
      </c>
      <c r="L75" t="s" s="10">
        <v>11</v>
      </c>
      <c r="M75" t="s" s="10">
        <v>814</v>
      </c>
      <c r="N75" t="s" s="10">
        <v>815</v>
      </c>
      <c r="O75" s="10"/>
      <c r="P75" s="10"/>
      <c r="Q75" s="10"/>
      <c r="R75" t="s" s="10">
        <v>816</v>
      </c>
      <c r="S75" s="10"/>
      <c r="T75" s="10"/>
      <c r="U75" s="10"/>
      <c r="V75" s="10"/>
      <c r="W75" t="s" s="10">
        <v>817</v>
      </c>
      <c r="X75" t="s" s="10">
        <v>818</v>
      </c>
      <c r="Y75" s="10"/>
      <c r="Z75" s="10"/>
      <c r="AA75" s="10"/>
      <c r="AB75" s="10"/>
      <c r="AC75" s="10"/>
      <c r="AD75" t="s" s="10">
        <v>819</v>
      </c>
      <c r="AE75" t="s" s="10">
        <v>819</v>
      </c>
      <c r="AF75" s="14"/>
      <c r="AG75" t="s" s="10">
        <v>50</v>
      </c>
      <c r="AH75" t="s" s="10">
        <v>820</v>
      </c>
      <c r="AI75" t="s" s="10">
        <v>717</v>
      </c>
      <c r="AJ75" t="s" s="10">
        <v>821</v>
      </c>
      <c r="AK75" t="s" s="10">
        <v>822</v>
      </c>
    </row>
    <row r="76" ht="18.05" customHeight="1">
      <c r="B76" t="s" s="10">
        <v>701</v>
      </c>
      <c r="C76" t="str" s="11" cm="1">
        <f t="array" ref="C76">B76&amp;"_"&amp;G76&amp;"_"&amp;R76&amp;"_"&amp;X76</f>
        <v>LED_Yellow_0603_20mA</v>
      </c>
      <c r="D76" t="str" s="12" cm="1">
        <f t="array" ref="D76">$G76&amp;IF($B76="LED"," LED","")&amp;IF($V76="",""," ")&amp;$V76&amp;IF($M76="",""," ")&amp;$M76&amp;IF($W76="",""," ")&amp;$W76&amp;IF($X76="",""," ")&amp;$X76&amp;IF($Y76="",""," ")&amp;$Y76&amp;IF($AB76="",""," ")&amp;$AB76&amp;IF($AB76="","","mcd")</f>
        <v>Yellow LED clear 2.3V 20mA 450mcd</v>
      </c>
      <c r="E76" t="str" s="12" cm="1">
        <f t="array" ref="E76">$G76&amp;" "&amp;B76&amp;IF($V76="",""," ")&amp;$V76&amp;IF($M76="",""," ")&amp;$M76&amp;IF($W76="",""," ")&amp;$W76&amp;IF($X76="",""," ")&amp;$X76&amp;IF($Y76="",""," ")&amp;$Y76&amp;IF($AB76="",""," ")&amp;$AB76&amp;IF($AB76="","","mcd")</f>
        <v>Yellow LED clear 2.3V 20mA 450mcd</v>
      </c>
      <c r="F76" t="str" s="11" cm="1">
        <f t="array" ref="F76">IF(ISBLANK(AH76),"",IF(AG76="LCSC",HYPERLINK("https://jlcpcb.com/partdetail/"&amp;$AH76,$AH76),IF(AG76="Mouser",$AH76,$AH76)))</f>
        <v>C965803</v>
      </c>
      <c r="G76" t="str" s="11" cm="1">
        <f t="array" ref="G76">J76</f>
        <v>Yellow</v>
      </c>
      <c r="H76" s="15"/>
      <c r="I76" s="14"/>
      <c r="J76" t="s" s="10">
        <v>826</v>
      </c>
      <c r="K76" t="s" s="10">
        <v>827</v>
      </c>
      <c r="L76" t="s" s="10">
        <v>11</v>
      </c>
      <c r="M76" t="s" s="10">
        <v>707</v>
      </c>
      <c r="N76" t="s" s="10">
        <v>828</v>
      </c>
      <c r="O76" s="10"/>
      <c r="P76" s="10"/>
      <c r="Q76" s="10"/>
      <c r="R76" t="s" s="10">
        <v>45</v>
      </c>
      <c r="S76" s="10"/>
      <c r="T76" s="10"/>
      <c r="U76" s="10"/>
      <c r="V76" s="10"/>
      <c r="W76" t="s" s="10">
        <v>749</v>
      </c>
      <c r="X76" t="s" s="10">
        <v>710</v>
      </c>
      <c r="Y76" s="10"/>
      <c r="Z76" t="s" s="10">
        <v>711</v>
      </c>
      <c r="AA76" t="s" s="10">
        <v>829</v>
      </c>
      <c r="AB76" t="s" s="10">
        <v>830</v>
      </c>
      <c r="AC76" s="10"/>
      <c r="AD76" t="s" s="10">
        <v>714</v>
      </c>
      <c r="AE76" t="s" s="10">
        <v>715</v>
      </c>
      <c r="AF76" s="14"/>
      <c r="AG76" t="s" s="10">
        <v>50</v>
      </c>
      <c r="AH76" t="s" s="10">
        <v>831</v>
      </c>
      <c r="AI76" t="s" s="10">
        <v>717</v>
      </c>
      <c r="AJ76" t="s" s="10">
        <v>832</v>
      </c>
      <c r="AK76" t="s" s="10">
        <v>833</v>
      </c>
    </row>
    <row r="77" ht="18.9" customHeight="1">
      <c r="B77" t="s" s="10">
        <v>701</v>
      </c>
      <c r="C77" t="str" s="11" cm="1">
        <f t="array" ref="C77">B77&amp;"_"&amp;G77&amp;"_"&amp;R77&amp;"_"&amp;X77</f>
        <v>LED_Yellow Green_0603_20mA</v>
      </c>
      <c r="D77" t="str" s="12" cm="1">
        <f t="array" ref="D77">$G77&amp;IF($B77="LED"," LED","")&amp;IF($V77="",""," ")&amp;$V77&amp;IF($M77="",""," ")&amp;$M77&amp;IF($W77="",""," ")&amp;$W77&amp;IF($X77="",""," ")&amp;$X77&amp;IF($Y77="",""," ")&amp;$Y77&amp;IF($AB77="",""," ")&amp;$AB77&amp;IF($AB77="","","mcd")</f>
        <v>Yellow Green LED clear 2.4V 20mA 240mcd</v>
      </c>
      <c r="E77" t="str" s="12" cm="1">
        <f t="array" ref="E77">$G77&amp;" "&amp;B77&amp;IF($V77="",""," ")&amp;$V77&amp;IF($M77="",""," ")&amp;$M77&amp;IF($W77="",""," ")&amp;$W77&amp;IF($X77="",""," ")&amp;$X77&amp;IF($Y77="",""," ")&amp;$Y77&amp;IF($AB77="",""," ")&amp;$AB77&amp;IF($AB77="","","mcd")</f>
        <v>Yellow Green LED clear 2.4V 20mA 240mcd</v>
      </c>
      <c r="F77" t="str" s="11" cm="1">
        <f t="array" ref="F77">IF(ISBLANK(AH77),"",IF(AG77="LCSC",HYPERLINK("https://jlcpcb.com/partdetail/"&amp;$AH77,$AH77),IF(AG77="Mouser",$AH77,$AH77)))</f>
        <v>C965806</v>
      </c>
      <c r="G77" t="str" s="11" cm="1">
        <f t="array" ref="G77">J77</f>
        <v>Yellow Green</v>
      </c>
      <c r="H77" s="15"/>
      <c r="I77" s="14"/>
      <c r="J77" t="s" s="10">
        <v>837</v>
      </c>
      <c r="K77" t="s" s="10">
        <v>838</v>
      </c>
      <c r="L77" t="s" s="10">
        <v>11</v>
      </c>
      <c r="M77" t="s" s="10">
        <v>707</v>
      </c>
      <c r="N77" t="s" s="10">
        <v>839</v>
      </c>
      <c r="O77" s="10"/>
      <c r="P77" s="10"/>
      <c r="Q77" s="10"/>
      <c r="R77" t="s" s="10">
        <v>45</v>
      </c>
      <c r="S77" s="10"/>
      <c r="T77" s="10"/>
      <c r="U77" s="10"/>
      <c r="V77" s="10"/>
      <c r="W77" t="s" s="10">
        <v>772</v>
      </c>
      <c r="X77" t="s" s="10">
        <v>710</v>
      </c>
      <c r="Y77" s="10"/>
      <c r="Z77" s="10"/>
      <c r="AA77" t="s" s="10">
        <v>840</v>
      </c>
      <c r="AB77" t="s" s="10">
        <v>713</v>
      </c>
      <c r="AC77" s="10"/>
      <c r="AD77" t="s" s="10">
        <v>714</v>
      </c>
      <c r="AE77" t="s" s="10">
        <v>715</v>
      </c>
      <c r="AF77" t="s" s="10">
        <v>61</v>
      </c>
      <c r="AG77" t="s" s="10">
        <v>50</v>
      </c>
      <c r="AH77" t="s" s="10">
        <v>841</v>
      </c>
      <c r="AI77" t="s" s="10">
        <v>717</v>
      </c>
      <c r="AJ77" t="s" s="10">
        <v>842</v>
      </c>
      <c r="AK77" t="s" s="10">
        <v>843</v>
      </c>
    </row>
    <row r="78" ht="18.9" customHeight="1">
      <c r="B78" t="s" s="10">
        <v>844</v>
      </c>
      <c r="C78" t="str" s="11" cm="1">
        <f t="array" ref="C78">B78&amp;"_"&amp;G78</f>
        <v>MCU_ESP32-DevKit_V1</v>
      </c>
      <c r="D78" t="str" s="12" cm="1">
        <f t="array" ref="D78">$G78&amp;IF($B78="LED"," LED","")&amp;IF($V78="",""," ")&amp;$V78&amp;IF($M78="",""," ")&amp;$M78&amp;IF($W78="",""," ")&amp;$W78&amp;IF($X78="",""," ")&amp;$X78&amp;IF($Y78="",""," ")&amp;$Y78&amp;IF($AB78="",""," ")&amp;$AB78&amp;IF($AB78="","","mcd")</f>
        <v>ESP32-DevKit_V1 ESP32</v>
      </c>
      <c r="E78" t="str" s="12" cm="1">
        <f t="array" ref="E78">$G78&amp;" "&amp;B78&amp;IF($V78="",""," ")&amp;$V78&amp;IF($M78="",""," ")&amp;$M78&amp;IF($W78="",""," ")&amp;$W78&amp;IF($X78="",""," ")&amp;$X78&amp;IF($Y78="",""," ")&amp;$Y78&amp;IF($AB78="",""," ")&amp;$AB78&amp;IF($AB78="","","mcd")</f>
        <v>ESP32-DevKit_V1 MCU ESP32</v>
      </c>
      <c r="F78" t="str" s="11" cm="1">
        <f t="array" ref="F78">IF(ISBLANK(AH78),"",IF(AG78="LCSC",HYPERLINK("https://jlcpcb.com/partdetail/"&amp;$AH78,$AH78),IF(AG78="Mouser",$AH78,$AH78)))</f>
      </c>
      <c r="G78" t="str" s="11" cm="1">
        <f t="array" ref="G78">J78</f>
        <v>ESP32-DevKit_V1</v>
      </c>
      <c r="H78" s="15"/>
      <c r="I78" t="s" s="10">
        <v>8</v>
      </c>
      <c r="J78" t="str" s="14" cm="1">
        <f t="array" ref="J78">AJ78</f>
        <v>ESP32-DevKit_V1</v>
      </c>
      <c r="K78" s="14"/>
      <c r="L78" t="s" s="10">
        <v>96</v>
      </c>
      <c r="M78" t="s" s="10">
        <v>849</v>
      </c>
      <c r="N78" t="s" s="10">
        <v>850</v>
      </c>
      <c r="O78" s="10"/>
      <c r="P78" s="10"/>
      <c r="Q78" s="10"/>
      <c r="R78" s="10"/>
      <c r="S78" s="10"/>
      <c r="T78" t="s" s="10">
        <v>851</v>
      </c>
      <c r="U78" t="s" s="10">
        <v>852</v>
      </c>
      <c r="V78" s="10"/>
      <c r="W78" s="10"/>
      <c r="X78" s="10"/>
      <c r="Y78" s="10"/>
      <c r="Z78" s="10"/>
      <c r="AA78" s="10"/>
      <c r="AB78" s="10"/>
      <c r="AC78" s="10"/>
      <c r="AD78" t="s" s="10">
        <v>853</v>
      </c>
      <c r="AE78" t="s" s="10">
        <v>853</v>
      </c>
      <c r="AF78" s="14"/>
      <c r="AG78" s="14"/>
      <c r="AH78" s="14"/>
      <c r="AI78" t="s" s="10">
        <v>854</v>
      </c>
      <c r="AJ78" t="s" s="10">
        <v>848</v>
      </c>
      <c r="AK78" t="s" s="10">
        <v>855</v>
      </c>
    </row>
    <row r="79" ht="18.9" customHeight="1">
      <c r="B79" t="s" s="10">
        <v>844</v>
      </c>
      <c r="C79" t="str" s="11" cm="1">
        <f t="array" ref="C79">B79&amp;"_"&amp;G79</f>
        <v>MCU_WT32-ETH01</v>
      </c>
      <c r="D79" t="str" s="12" cm="1">
        <f t="array" ref="D79">$G79&amp;IF($B79="LED"," LED","")&amp;IF($V79="",""," ")&amp;$V79&amp;IF($M79="",""," ")&amp;$M79&amp;IF($W79="",""," ")&amp;$W79&amp;IF($X79="",""," ")&amp;$X79&amp;IF($Y79="",""," ")&amp;$Y79&amp;IF($AB79="",""," ")&amp;$AB79&amp;IF($AB79="","","mcd")</f>
        <v>WT32-ETH01 ESP32</v>
      </c>
      <c r="E79" t="str" s="12" cm="1">
        <f t="array" ref="E79">$G79&amp;" "&amp;B79&amp;IF($V79="",""," ")&amp;$V79&amp;IF($M79="",""," ")&amp;$M79&amp;IF($W79="",""," ")&amp;$W79&amp;IF($X79="",""," ")&amp;$X79&amp;IF($Y79="",""," ")&amp;$Y79&amp;IF($AB79="",""," ")&amp;$AB79&amp;IF($AB79="","","mcd")</f>
        <v>WT32-ETH01 MCU ESP32</v>
      </c>
      <c r="F79" t="str" s="11" cm="1">
        <f t="array" ref="F79">IF(ISBLANK(AH79),"",IF(AG79="LCSC",HYPERLINK("https://jlcpcb.com/partdetail/"&amp;$AH79,$AH79),IF(AG79="Mouser",$AH79,$AH79)))</f>
      </c>
      <c r="G79" t="str" s="11" cm="1">
        <f t="array" ref="G79">J79</f>
        <v>WT32-ETH01</v>
      </c>
      <c r="H79" s="15"/>
      <c r="I79" t="s" s="10">
        <v>8</v>
      </c>
      <c r="J79" t="str" s="14" cm="1">
        <f t="array" ref="J79">AJ79</f>
        <v>WT32-ETH01</v>
      </c>
      <c r="K79" s="14"/>
      <c r="L79" t="s" s="10">
        <v>96</v>
      </c>
      <c r="M79" t="s" s="10">
        <v>849</v>
      </c>
      <c r="N79" t="s" s="10">
        <v>859</v>
      </c>
      <c r="O79" s="10"/>
      <c r="P79" s="10"/>
      <c r="Q79" s="10"/>
      <c r="R79" s="10"/>
      <c r="S79" s="10"/>
      <c r="T79" t="s" s="10">
        <v>860</v>
      </c>
      <c r="U79" t="s" s="10">
        <v>852</v>
      </c>
      <c r="V79" s="10"/>
      <c r="W79" s="10"/>
      <c r="X79" s="10"/>
      <c r="Y79" s="10"/>
      <c r="Z79" s="10"/>
      <c r="AA79" s="10"/>
      <c r="AB79" s="10"/>
      <c r="AC79" s="10"/>
      <c r="AD79" t="s" s="10">
        <v>861</v>
      </c>
      <c r="AE79" t="s" s="10">
        <v>861</v>
      </c>
      <c r="AF79" s="14"/>
      <c r="AG79" s="14"/>
      <c r="AH79" s="14"/>
      <c r="AI79" t="s" s="10">
        <v>862</v>
      </c>
      <c r="AJ79" t="s" s="10">
        <v>859</v>
      </c>
      <c r="AK79" t="s" s="10">
        <v>863</v>
      </c>
    </row>
    <row r="80" ht="19" customHeight="1">
      <c r="B80" t="s" s="10">
        <v>864</v>
      </c>
      <c r="C80" t="str" s="11" cm="1">
        <f t="array" ref="C80">B80&amp;"_"&amp;M80&amp;"_"&amp;X80&amp;"_"&amp;R81&amp;"_"&amp;G80</f>
        <v>Q_P-FET_2.3A_SOT-23_2301V</v>
      </c>
      <c r="D80" t="str" s="12" cm="1">
        <f t="array" ref="D80">$G80&amp;IF($B80="LED"," LED","")&amp;IF($V80="",""," ")&amp;$V80&amp;IF($M80="",""," ")&amp;$M80&amp;IF($W80="",""," ")&amp;$W80&amp;IF($X80="",""," ")&amp;$X80&amp;IF($Y80="",""," ")&amp;$Y80&amp;IF($AB80="",""," ")&amp;$AB80&amp;IF($AB80="","","mcd")</f>
        <v>2301V P-FET 20V 2.3A</v>
      </c>
      <c r="E80" t="str" s="12" cm="1">
        <f t="array" ref="E80">$G80&amp;" "&amp;B80&amp;IF($V80="",""," ")&amp;$V80&amp;IF($M80="",""," ")&amp;$M80&amp;IF($W80="",""," ")&amp;$W80&amp;IF($X80="",""," ")&amp;$X80&amp;IF($Y80="",""," ")&amp;$Y80&amp;IF($AB80="",""," ")&amp;$AB80&amp;IF($AB80="","","mcd")</f>
        <v>2301V Q P-FET 20V 2.3A</v>
      </c>
      <c r="F80" t="str" s="11" cm="1">
        <f t="array" ref="F80">IF(ISBLANK(AH80),"",IF(AG80="LCSC",HYPERLINK("https://jlcpcb.com/partdetail/"&amp;$AH80,$AH80),IF(AG80="Mouser",$AH80,$AH80)))</f>
        <v>C7499856</v>
      </c>
      <c r="G80" t="str" s="11" cm="1">
        <f t="array" ref="G80">J80</f>
        <v>2301V</v>
      </c>
      <c r="H80" s="15"/>
      <c r="I80" s="14"/>
      <c r="J80" t="str" s="14" cm="1">
        <f t="array" ref="J80">AJ80</f>
        <v>2301V</v>
      </c>
      <c r="K80" s="14"/>
      <c r="L80" t="s" s="10">
        <v>11</v>
      </c>
      <c r="M80" t="s" s="10">
        <v>870</v>
      </c>
      <c r="N80" t="s" s="10">
        <v>871</v>
      </c>
      <c r="O80" s="10"/>
      <c r="P80" s="10"/>
      <c r="Q80" s="10"/>
      <c r="R80" t="s" s="10">
        <v>528</v>
      </c>
      <c r="S80" t="s" s="10">
        <v>872</v>
      </c>
      <c r="T80" s="10"/>
      <c r="U80" s="10"/>
      <c r="V80" s="10"/>
      <c r="W80" t="s" s="10">
        <v>873</v>
      </c>
      <c r="X80" t="s" s="10">
        <v>874</v>
      </c>
      <c r="Y80" s="10"/>
      <c r="Z80" s="10"/>
      <c r="AA80" s="10"/>
      <c r="AB80" s="10"/>
      <c r="AC80" s="10"/>
      <c r="AD80" t="s" s="10">
        <v>875</v>
      </c>
      <c r="AE80" t="s" s="10">
        <v>531</v>
      </c>
      <c r="AF80" s="14"/>
      <c r="AG80" t="s" s="10">
        <v>50</v>
      </c>
      <c r="AH80" t="s" s="10">
        <v>876</v>
      </c>
      <c r="AI80" t="s" s="10">
        <v>877</v>
      </c>
      <c r="AJ80" t="s" s="10">
        <v>869</v>
      </c>
      <c r="AK80" t="s" s="10">
        <v>878</v>
      </c>
    </row>
    <row r="81" ht="19" customHeight="1">
      <c r="B81" t="s" s="10">
        <v>864</v>
      </c>
      <c r="C81" t="str" s="11" cm="1">
        <f t="array" ref="C81">B81&amp;"_"&amp;M81&amp;"_"&amp;X81&amp;"_"&amp;R84&amp;"_"&amp;G81</f>
        <v>Q_N-FET_300mA_SOT-23_2N7002</v>
      </c>
      <c r="D81" t="str" s="12" cm="1">
        <f t="array" ref="D81">$G81&amp;IF($B81="LED"," LED","")&amp;IF($V81="",""," ")&amp;$V81&amp;IF($M81="",""," ")&amp;$M81&amp;IF($W81="",""," ")&amp;$W81&amp;IF($X81="",""," ")&amp;$X81&amp;IF($Y81="",""," ")&amp;$Y81&amp;IF($AB81="",""," ")&amp;$AB81&amp;IF($AB81="","","mcd")</f>
        <v>2N7002 N-FET 60V 300mA</v>
      </c>
      <c r="E81" t="str" s="12" cm="1">
        <f t="array" ref="E81">$G81&amp;" "&amp;B81&amp;IF($V81="",""," ")&amp;$V81&amp;IF($M81="",""," ")&amp;$M81&amp;IF($W81="",""," ")&amp;$W81&amp;IF($X81="",""," ")&amp;$X81&amp;IF($Y81="",""," ")&amp;$Y81&amp;IF($AB81="",""," ")&amp;$AB81&amp;IF($AB81="","","mcd")</f>
        <v>2N7002 Q N-FET 60V 300mA</v>
      </c>
      <c r="F81" t="str" s="11" cm="1">
        <f t="array" ref="F81">IF(ISBLANK(AH81),"",IF(AG81="LCSC",HYPERLINK("https://jlcpcb.com/partdetail/"&amp;$AH81,$AH81),IF(AG81="Mouser",$AH81,$AH81)))</f>
        <v>C5224215</v>
      </c>
      <c r="G81" t="str" s="11" cm="1">
        <f t="array" ref="G81">J81</f>
        <v>2N7002</v>
      </c>
      <c r="H81" s="15"/>
      <c r="I81" s="14"/>
      <c r="J81" t="str" s="14" cm="1">
        <f t="array" ref="J81">AJ81</f>
        <v>2N7002</v>
      </c>
      <c r="K81" s="14"/>
      <c r="L81" t="s" s="10">
        <v>11</v>
      </c>
      <c r="M81" t="s" s="10">
        <v>884</v>
      </c>
      <c r="N81" t="s" s="10">
        <v>885</v>
      </c>
      <c r="O81" s="10"/>
      <c r="P81" s="10"/>
      <c r="Q81" s="10"/>
      <c r="R81" t="s" s="10">
        <v>528</v>
      </c>
      <c r="S81" t="s" s="10">
        <v>872</v>
      </c>
      <c r="T81" s="10"/>
      <c r="U81" s="10"/>
      <c r="V81" s="10"/>
      <c r="W81" t="s" s="10">
        <v>886</v>
      </c>
      <c r="X81" t="s" s="10">
        <v>887</v>
      </c>
      <c r="Y81" s="10"/>
      <c r="Z81" s="10"/>
      <c r="AA81" s="10"/>
      <c r="AB81" s="10"/>
      <c r="AC81" s="10"/>
      <c r="AD81" t="s" s="10">
        <v>888</v>
      </c>
      <c r="AE81" t="s" s="10">
        <v>531</v>
      </c>
      <c r="AF81" s="14"/>
      <c r="AG81" t="s" s="10">
        <v>50</v>
      </c>
      <c r="AH81" t="s" s="10">
        <v>889</v>
      </c>
      <c r="AI81" t="s" s="10">
        <v>890</v>
      </c>
      <c r="AJ81" t="s" s="10">
        <v>883</v>
      </c>
      <c r="AK81" t="s" s="10">
        <v>891</v>
      </c>
    </row>
    <row r="82" ht="19" customHeight="1">
      <c r="B82" t="s" s="10">
        <v>864</v>
      </c>
      <c r="C82" t="str" s="11" cm="1">
        <f t="array" ref="C82">B82&amp;"_"&amp;M82&amp;"_"&amp;X82&amp;"_"&amp;R82&amp;"_"&amp;G82</f>
        <v>Q_P-FET_8A_SOP-8_A04443</v>
      </c>
      <c r="D82" t="str" s="12" cm="1">
        <f t="array" ref="D82">$G82&amp;IF($B82="LED"," LED","")&amp;IF($V82="",""," ")&amp;$V82&amp;IF($M82="",""," ")&amp;$M82&amp;IF($W82="",""," ")&amp;$W82&amp;IF($X82="",""," ")&amp;$X82&amp;IF($Y82="",""," ")&amp;$Y82&amp;IF($AB82="",""," ")&amp;$AB82&amp;IF($AB82="","","mcd")</f>
        <v>A04443 P-FET 40v 8A</v>
      </c>
      <c r="E82" t="str" s="12" cm="1">
        <f t="array" ref="E82">$G82&amp;" "&amp;B82&amp;IF($V82="",""," ")&amp;$V82&amp;IF($M82="",""," ")&amp;$M82&amp;IF($W82="",""," ")&amp;$W82&amp;IF($X82="",""," ")&amp;$X82&amp;IF($Y82="",""," ")&amp;$Y82&amp;IF($AB82="",""," ")&amp;$AB82&amp;IF($AB82="","","mcd")</f>
        <v>A04443 Q P-FET 40v 8A</v>
      </c>
      <c r="F82" t="str" s="11" cm="1">
        <f t="array" ref="F82">IF(ISBLANK(AH82),"",IF(AG82="LCSC",HYPERLINK("https://jlcpcb.com/partdetail/"&amp;$AH82,$AH82),IF(AG82="Mouser",$AH82,$AH82)))</f>
        <v>C2944309</v>
      </c>
      <c r="G82" t="str" s="11" cm="1">
        <f t="array" ref="G82">J82</f>
        <v>A04443</v>
      </c>
      <c r="H82" s="15"/>
      <c r="I82" s="14"/>
      <c r="J82" t="s" s="10">
        <v>896</v>
      </c>
      <c r="K82" s="14"/>
      <c r="L82" t="s" s="10">
        <v>11</v>
      </c>
      <c r="M82" t="s" s="10">
        <v>870</v>
      </c>
      <c r="N82" t="s" s="10">
        <v>897</v>
      </c>
      <c r="O82" s="10"/>
      <c r="P82" s="10"/>
      <c r="Q82" s="10"/>
      <c r="R82" t="s" s="10">
        <v>606</v>
      </c>
      <c r="S82" s="10"/>
      <c r="T82" s="10"/>
      <c r="U82" s="10"/>
      <c r="V82" s="10"/>
      <c r="W82" t="s" s="10">
        <v>898</v>
      </c>
      <c r="X82" t="s" s="10">
        <v>899</v>
      </c>
      <c r="Y82" s="10"/>
      <c r="Z82" s="10"/>
      <c r="AA82" s="10"/>
      <c r="AB82" s="10"/>
      <c r="AC82" s="10"/>
      <c r="AD82" t="s" s="10">
        <v>900</v>
      </c>
      <c r="AE82" t="s" s="10">
        <v>901</v>
      </c>
      <c r="AF82" s="14"/>
      <c r="AG82" t="s" s="10">
        <v>50</v>
      </c>
      <c r="AH82" t="s" s="10">
        <v>902</v>
      </c>
      <c r="AI82" t="s" s="10">
        <v>903</v>
      </c>
      <c r="AJ82" t="s" s="10">
        <v>904</v>
      </c>
      <c r="AK82" t="s" s="10">
        <v>905</v>
      </c>
    </row>
    <row r="83" ht="19" customHeight="1">
      <c r="B83" t="s" s="10">
        <v>864</v>
      </c>
      <c r="C83" t="str" s="11" cm="1">
        <f t="array" ref="C83">B83&amp;"_"&amp;M83&amp;"_"&amp;X83&amp;"_"&amp;R81&amp;"_"&amp;G83</f>
        <v>Q_PNP_500mA_SOT-23_BC807</v>
      </c>
      <c r="D83" t="str" s="12" cm="1">
        <f t="array" ref="D83">$G83&amp;IF($B83="LED"," LED","")&amp;IF($V83="",""," ")&amp;$V83&amp;IF($M83="",""," ")&amp;$M83&amp;IF($W83="",""," ")&amp;$W83&amp;IF($X83="",""," ")&amp;$X83&amp;IF($Y83="",""," ")&amp;$Y83&amp;IF($AB83="",""," ")&amp;$AB83&amp;IF($AB83="","","mcd")</f>
        <v>BC807 PNP 45V 500mA 300mW</v>
      </c>
      <c r="E83" t="str" s="12" cm="1">
        <f t="array" ref="E83">$G83&amp;" "&amp;B83&amp;IF($V83="",""," ")&amp;$V83&amp;IF($M83="",""," ")&amp;$M83&amp;IF($W83="",""," ")&amp;$W83&amp;IF($X83="",""," ")&amp;$X83&amp;IF($Y83="",""," ")&amp;$Y83&amp;IF($AB83="",""," ")&amp;$AB83&amp;IF($AB83="","","mcd")</f>
        <v>BC807 Q PNP 45V 500mA 300mW</v>
      </c>
      <c r="F83" t="str" s="11" cm="1">
        <f t="array" ref="F83">IF(ISBLANK(AH83),"",IF(AG83="LCSC",HYPERLINK("https://jlcpcb.com/partdetail/"&amp;$AH83,$AH83),IF(AG83="Mouser",$AH83,$AH83)))</f>
        <v>C5184433</v>
      </c>
      <c r="G83" t="str" s="11" cm="1">
        <f t="array" ref="G83">J83</f>
        <v>BC807</v>
      </c>
      <c r="H83" s="15"/>
      <c r="I83" s="14"/>
      <c r="J83" t="s" s="10">
        <v>910</v>
      </c>
      <c r="K83" s="14"/>
      <c r="L83" t="s" s="10">
        <v>11</v>
      </c>
      <c r="M83" t="s" s="10">
        <v>911</v>
      </c>
      <c r="N83" t="s" s="10">
        <v>912</v>
      </c>
      <c r="O83" s="10"/>
      <c r="P83" s="10"/>
      <c r="Q83" s="10"/>
      <c r="R83" t="s" s="10">
        <v>528</v>
      </c>
      <c r="S83" s="10"/>
      <c r="T83" s="10"/>
      <c r="U83" s="10"/>
      <c r="V83" s="10"/>
      <c r="W83" t="s" s="10">
        <v>913</v>
      </c>
      <c r="X83" t="s" s="10">
        <v>914</v>
      </c>
      <c r="Y83" t="s" s="10">
        <v>915</v>
      </c>
      <c r="Z83" s="10"/>
      <c r="AA83" s="10"/>
      <c r="AB83" s="10"/>
      <c r="AC83" s="10"/>
      <c r="AD83" t="s" s="10">
        <v>916</v>
      </c>
      <c r="AE83" t="s" s="10">
        <v>531</v>
      </c>
      <c r="AF83" s="14"/>
      <c r="AG83" t="s" s="10">
        <v>50</v>
      </c>
      <c r="AH83" t="s" s="10">
        <v>917</v>
      </c>
      <c r="AI83" t="s" s="10">
        <v>533</v>
      </c>
      <c r="AJ83" t="s" s="10">
        <v>918</v>
      </c>
      <c r="AK83" t="s" s="10">
        <v>919</v>
      </c>
    </row>
    <row r="84" ht="18.9" customHeight="1">
      <c r="B84" t="s" s="10">
        <v>864</v>
      </c>
      <c r="C84" t="str" s="11" cm="1">
        <f t="array" ref="C84">B84&amp;"_"&amp;G84</f>
        <v>Q_BSS138</v>
      </c>
      <c r="D84" t="str" s="12" cm="1">
        <f t="array" ref="D84">$G84&amp;IF($B84="LED"," LED","")&amp;IF($V84="",""," ")&amp;$V84&amp;IF($M84="",""," ")&amp;$M84&amp;IF($W84="",""," ")&amp;$W84&amp;IF($X84="",""," ")&amp;$X84&amp;IF($Y84="",""," ")&amp;$Y84&amp;IF($AB84="",""," ")&amp;$AB84&amp;IF($AB84="","","mcd")</f>
        <v>BSS138 N-FET 60V 400mA</v>
      </c>
      <c r="E84" s="12"/>
      <c r="F84" t="str" s="11" cm="1">
        <f t="array" ref="F84">IF(ISBLANK(AH84),"",IF(AG84="LCSC",HYPERLINK("https://jlcpcb.com/partdetail/"&amp;$AH84,$AH84),IF(AG84="Mouser",$AH84,$AH84)))</f>
        <v>C5224269</v>
      </c>
      <c r="G84" t="str" s="11" cm="1">
        <f t="array" ref="G84">J84</f>
        <v>BSS138</v>
      </c>
      <c r="H84" s="15"/>
      <c r="I84" s="14"/>
      <c r="J84" t="s" s="10">
        <v>923</v>
      </c>
      <c r="K84" s="14"/>
      <c r="L84" t="s" s="10">
        <v>11</v>
      </c>
      <c r="M84" t="s" s="10">
        <v>884</v>
      </c>
      <c r="N84" t="s" s="10">
        <v>924</v>
      </c>
      <c r="O84" s="10"/>
      <c r="P84" s="10"/>
      <c r="Q84" s="10"/>
      <c r="R84" t="s" s="10">
        <v>528</v>
      </c>
      <c r="S84" t="s" s="10">
        <v>872</v>
      </c>
      <c r="T84" s="10"/>
      <c r="U84" s="10"/>
      <c r="V84" s="10"/>
      <c r="W84" t="s" s="10">
        <v>886</v>
      </c>
      <c r="X84" t="s" s="10">
        <v>925</v>
      </c>
      <c r="Y84" s="10"/>
      <c r="Z84" s="10"/>
      <c r="AA84" s="10"/>
      <c r="AB84" s="10"/>
      <c r="AC84" s="10"/>
      <c r="AD84" t="s" s="10">
        <v>888</v>
      </c>
      <c r="AE84" t="s" s="10">
        <v>531</v>
      </c>
      <c r="AF84" s="14"/>
      <c r="AG84" t="s" s="10">
        <v>50</v>
      </c>
      <c r="AH84" t="s" s="10">
        <v>926</v>
      </c>
      <c r="AI84" t="s" s="10">
        <v>890</v>
      </c>
      <c r="AJ84" t="s" s="10">
        <v>927</v>
      </c>
      <c r="AK84" t="s" s="10">
        <v>928</v>
      </c>
    </row>
    <row r="85" ht="19" customHeight="1">
      <c r="B85" t="s" s="10">
        <v>864</v>
      </c>
      <c r="C85" t="str" s="11" cm="1">
        <f t="array" ref="C85">B85&amp;"_"&amp;M85&amp;"_"&amp;X85&amp;"_"&amp;R87&amp;"_"&amp;G85</f>
        <v>Q_N-FET_10A_SOT-23_DMN4468</v>
      </c>
      <c r="D85" t="str" s="12" cm="1">
        <f t="array" ref="D85">$G85&amp;IF($B85="LED"," LED","")&amp;IF($V85="",""," ")&amp;$V85&amp;IF($M85="",""," ")&amp;$M85&amp;IF($W85="",""," ")&amp;$W85&amp;IF($X85="",""," ")&amp;$X85&amp;IF($Y85="",""," ")&amp;$Y85&amp;IF($AB85="",""," ")&amp;$AB85&amp;IF($AB85="","","mcd")</f>
        <v>DMN4468 N-FET 30v 10A</v>
      </c>
      <c r="E85" t="str" s="12" cm="1">
        <f t="array" ref="E85">$G85&amp;" "&amp;B85&amp;IF($V85="",""," ")&amp;$V85&amp;IF($M85="",""," ")&amp;$M85&amp;IF($W85="",""," ")&amp;$W85&amp;IF($X85="",""," ")&amp;$X85&amp;IF($Y85="",""," ")&amp;$Y85&amp;IF($AB85="",""," ")&amp;$AB85&amp;IF($AB85="","","mcd")</f>
        <v>DMN4468 Q N-FET 30v 10A</v>
      </c>
      <c r="F85" t="str" s="11" cm="1">
        <f t="array" ref="F85">IF(ISBLANK(AH85),"",IF(AG85="LCSC",HYPERLINK("https://jlcpcb.com/partdetail/"&amp;$AH85,$AH85),IF(AG85="Mouser",$AH85,$AH85)))</f>
        <v>C878901</v>
      </c>
      <c r="G85" t="str" s="11" cm="1">
        <f t="array" ref="G85">J85</f>
        <v>DMN4468</v>
      </c>
      <c r="H85" s="15"/>
      <c r="I85" s="14"/>
      <c r="J85" t="s" s="10">
        <v>933</v>
      </c>
      <c r="K85" s="14"/>
      <c r="L85" t="s" s="10">
        <v>11</v>
      </c>
      <c r="M85" t="s" s="10">
        <v>884</v>
      </c>
      <c r="N85" t="s" s="10">
        <v>934</v>
      </c>
      <c r="O85" s="10"/>
      <c r="P85" s="10"/>
      <c r="Q85" s="10"/>
      <c r="R85" t="s" s="10">
        <v>935</v>
      </c>
      <c r="S85" s="10"/>
      <c r="T85" s="10"/>
      <c r="U85" s="10"/>
      <c r="V85" s="10"/>
      <c r="W85" t="s" s="10">
        <v>936</v>
      </c>
      <c r="X85" t="s" s="10">
        <v>937</v>
      </c>
      <c r="Y85" s="10"/>
      <c r="Z85" s="10"/>
      <c r="AA85" s="10"/>
      <c r="AB85" s="10"/>
      <c r="AC85" s="10"/>
      <c r="AD85" t="s" s="10">
        <v>938</v>
      </c>
      <c r="AE85" t="s" s="10">
        <v>939</v>
      </c>
      <c r="AF85" s="14"/>
      <c r="AG85" t="s" s="10">
        <v>50</v>
      </c>
      <c r="AH85" t="s" s="10">
        <v>940</v>
      </c>
      <c r="AI85" t="s" s="10">
        <v>941</v>
      </c>
      <c r="AJ85" t="s" s="10">
        <v>942</v>
      </c>
      <c r="AK85" t="s" s="10">
        <v>943</v>
      </c>
    </row>
    <row r="86" ht="19" customHeight="1">
      <c r="B86" t="s" s="10">
        <v>864</v>
      </c>
      <c r="C86" t="str" s="11" cm="1">
        <f t="array" ref="C86">B86&amp;"_"&amp;M86&amp;"_"&amp;X86&amp;"_"&amp;R87&amp;"_"&amp;G86</f>
        <v>Q_NPN_600mA_SOT-23_MMBT2222LT1G</v>
      </c>
      <c r="D86" t="str" s="12" cm="1">
        <f t="array" ref="D86">$G86&amp;IF($B86="LED"," LED","")&amp;IF($V86="",""," ")&amp;$V86&amp;IF($M86="",""," ")&amp;$M86&amp;IF($W86="",""," ")&amp;$W86&amp;IF($X86="",""," ")&amp;$X86&amp;IF($Y86="",""," ")&amp;$Y86&amp;IF($AB86="",""," ")&amp;$AB86&amp;IF($AB86="","","mcd")</f>
        <v>MMBT2222LT1G NPN 30V 600mA 300mW</v>
      </c>
      <c r="E86" t="str" s="12" cm="1">
        <f t="array" ref="E86">$G86&amp;" "&amp;B86&amp;IF($V86="",""," ")&amp;$V86&amp;IF($M86="",""," ")&amp;$M86&amp;IF($W86="",""," ")&amp;$W86&amp;IF($X86="",""," ")&amp;$X86&amp;IF($Y86="",""," ")&amp;$Y86&amp;IF($AB86="",""," ")&amp;$AB86&amp;IF($AB86="","","mcd")</f>
        <v>MMBT2222LT1G Q NPN 30V 600mA 300mW</v>
      </c>
      <c r="F86" t="str" s="11" cm="1">
        <f t="array" ref="F86">IF(ISBLANK(AH86),"",IF(AG86="LCSC",HYPERLINK("https://jlcpcb.com/partdetail/"&amp;$AH86,$AH86),IF(AG86="Mouser",$AH86,$AH86)))</f>
      </c>
      <c r="G86" t="str" s="11" cm="1">
        <f t="array" ref="G86">J86</f>
        <v>MMBT2222LT1G</v>
      </c>
      <c r="H86" s="15"/>
      <c r="I86" s="14"/>
      <c r="J86" t="str" s="14" cm="1">
        <f t="array" ref="J86">AJ86</f>
        <v>MMBT2222LT1G</v>
      </c>
      <c r="K86" s="14"/>
      <c r="L86" t="s" s="10">
        <v>11</v>
      </c>
      <c r="M86" t="s" s="10">
        <v>948</v>
      </c>
      <c r="N86" t="s" s="10">
        <v>949</v>
      </c>
      <c r="O86" s="10"/>
      <c r="P86" s="10"/>
      <c r="Q86" s="10"/>
      <c r="R86" t="s" s="10">
        <v>528</v>
      </c>
      <c r="S86" s="10"/>
      <c r="T86" s="10"/>
      <c r="U86" s="10"/>
      <c r="V86" s="10"/>
      <c r="W86" t="s" s="10">
        <v>529</v>
      </c>
      <c r="X86" t="s" s="10">
        <v>950</v>
      </c>
      <c r="Y86" t="s" s="10">
        <v>915</v>
      </c>
      <c r="Z86" s="10"/>
      <c r="AA86" s="10"/>
      <c r="AB86" s="10"/>
      <c r="AC86" s="10"/>
      <c r="AD86" t="s" s="10">
        <v>951</v>
      </c>
      <c r="AE86" t="s" s="10">
        <v>531</v>
      </c>
      <c r="AF86" s="14"/>
      <c r="AG86" s="14"/>
      <c r="AH86" s="14"/>
      <c r="AI86" t="s" s="10">
        <v>596</v>
      </c>
      <c r="AJ86" t="s" s="10">
        <v>947</v>
      </c>
      <c r="AK86" s="14"/>
    </row>
    <row r="87" ht="19" customHeight="1">
      <c r="B87" t="s" s="10">
        <v>864</v>
      </c>
      <c r="C87" t="str" s="11" cm="1">
        <f t="array" ref="C87">B87&amp;"_"&amp;M87&amp;"_"&amp;X87&amp;"_"&amp;R88&amp;"_"&amp;G87</f>
        <v>Q_NPN_200mA_TO-220_MMBT3904</v>
      </c>
      <c r="D87" t="str" s="12" cm="1">
        <f t="array" ref="D87">$G87&amp;IF($B87="LED"," LED","")&amp;IF($V87="",""," ")&amp;$V87&amp;IF($M87="",""," ")&amp;$M87&amp;IF($W87="",""," ")&amp;$W87&amp;IF($X87="",""," ")&amp;$X87&amp;IF($Y87="",""," ")&amp;$Y87&amp;IF($AB87="",""," ")&amp;$AB87&amp;IF($AB87="","","mcd")</f>
        <v>MMBT3904 NPN 40V 200mA 200mW</v>
      </c>
      <c r="E87" t="str" s="12" cm="1">
        <f t="array" ref="E87">$G87&amp;" "&amp;B87&amp;IF($V87="",""," ")&amp;$V87&amp;IF($M87="",""," ")&amp;$M87&amp;IF($W87="",""," ")&amp;$W87&amp;IF($X87="",""," ")&amp;$X87&amp;IF($Y87="",""," ")&amp;$Y87&amp;IF($AB87="",""," ")&amp;$AB87&amp;IF($AB87="","","mcd")</f>
        <v>MMBT3904 Q NPN 40V 200mA 200mW</v>
      </c>
      <c r="F87" t="str" s="11" cm="1">
        <f t="array" ref="F87">IF(ISBLANK(AH87),"",IF(AG87="LCSC",HYPERLINK("https://jlcpcb.com/partdetail/"&amp;$AH87,$AH87),IF(AG87="Mouser",$AH87,$AH87)))</f>
        <v>C5184404</v>
      </c>
      <c r="G87" t="str" s="11" cm="1">
        <f t="array" ref="G87">J87</f>
        <v>MMBT3904</v>
      </c>
      <c r="H87" s="15"/>
      <c r="I87" s="14"/>
      <c r="J87" t="str" s="14" cm="1">
        <f t="array" ref="J87">AJ87</f>
        <v>MMBT3904</v>
      </c>
      <c r="K87" s="14"/>
      <c r="L87" t="s" s="10">
        <v>11</v>
      </c>
      <c r="M87" t="s" s="10">
        <v>948</v>
      </c>
      <c r="N87" t="s" s="10">
        <v>957</v>
      </c>
      <c r="O87" s="10"/>
      <c r="P87" s="10"/>
      <c r="Q87" s="10"/>
      <c r="R87" t="s" s="10">
        <v>528</v>
      </c>
      <c r="S87" s="10"/>
      <c r="T87" s="10"/>
      <c r="U87" s="10"/>
      <c r="V87" s="10"/>
      <c r="W87" t="s" s="10">
        <v>958</v>
      </c>
      <c r="X87" t="s" s="10">
        <v>959</v>
      </c>
      <c r="Y87" t="s" s="10">
        <v>514</v>
      </c>
      <c r="Z87" s="10"/>
      <c r="AA87" s="10"/>
      <c r="AB87" s="10"/>
      <c r="AC87" s="10"/>
      <c r="AD87" t="s" s="10">
        <v>153</v>
      </c>
      <c r="AE87" t="s" s="10">
        <v>531</v>
      </c>
      <c r="AF87" s="14"/>
      <c r="AG87" t="s" s="10">
        <v>50</v>
      </c>
      <c r="AH87" t="s" s="10">
        <v>960</v>
      </c>
      <c r="AI87" t="s" s="10">
        <v>533</v>
      </c>
      <c r="AJ87" t="s" s="10">
        <v>956</v>
      </c>
      <c r="AK87" t="s" s="10">
        <v>961</v>
      </c>
    </row>
    <row r="88" ht="19" customHeight="1">
      <c r="B88" t="s" s="10">
        <v>962</v>
      </c>
      <c r="C88" t="str" s="11" cm="1">
        <f t="array" ref="C88">B88&amp;"_"&amp;G88&amp;"_"&amp;R88</f>
        <v>REG_78L05_TO-220</v>
      </c>
      <c r="D88" t="str" s="12" cm="1">
        <f t="array" ref="D88">$G88&amp;IF($B88="LED"," LED","")&amp;IF($V88="",""," ")&amp;$V88&amp;IF($M88="",""," ")&amp;$M88&amp;IF($W88="",""," ")&amp;$W88&amp;IF($X88="",""," ")&amp;$X88&amp;IF($Y88="",""," ")&amp;$Y88&amp;IF($AB88="",""," ")&amp;$AB88&amp;IF($AB88="","","mcd")</f>
        <v>78L05 Linear 5v 1A</v>
      </c>
      <c r="E88" t="str" s="12" cm="1">
        <f t="array" ref="E88">$G88&amp;" "&amp;B88&amp;IF($V88="",""," ")&amp;$V88&amp;IF($M88="",""," ")&amp;$M88&amp;IF($W88="",""," ")&amp;$W88&amp;IF($X88="",""," ")&amp;$X88&amp;IF($Y88="",""," ")&amp;$Y88&amp;IF($AB88="",""," ")&amp;$AB88&amp;IF($AB88="","","mcd")</f>
        <v>78L05 REG Linear 5v 1A</v>
      </c>
      <c r="F88" t="str" s="11" cm="1">
        <f t="array" ref="F88">IF(ISBLANK(AH88),"",IF(AG88="LCSC",HYPERLINK("https://jlcpcb.com/partdetail/"&amp;$AH88,$AH88),IF(AG88="Mouser",$AH88,$AH88)))</f>
      </c>
      <c r="G88" t="str" s="11" cm="1">
        <f t="array" ref="G88">J88</f>
        <v>78L05</v>
      </c>
      <c r="H88" s="15"/>
      <c r="I88" s="14"/>
      <c r="J88" t="s" s="10">
        <v>966</v>
      </c>
      <c r="K88" s="20">
        <v>7805</v>
      </c>
      <c r="L88" t="s" s="10">
        <v>96</v>
      </c>
      <c r="M88" t="s" s="10">
        <v>967</v>
      </c>
      <c r="N88" t="s" s="10">
        <v>968</v>
      </c>
      <c r="O88" s="10"/>
      <c r="P88" s="10"/>
      <c r="Q88" s="10"/>
      <c r="R88" t="s" s="10">
        <v>969</v>
      </c>
      <c r="S88" s="10"/>
      <c r="T88" s="10"/>
      <c r="U88" s="10"/>
      <c r="V88" s="10"/>
      <c r="W88" t="s" s="10">
        <v>817</v>
      </c>
      <c r="X88" t="s" s="10">
        <v>970</v>
      </c>
      <c r="Y88" s="10"/>
      <c r="Z88" s="10"/>
      <c r="AA88" s="10"/>
      <c r="AB88" s="10"/>
      <c r="AC88" s="10"/>
      <c r="AD88" s="16"/>
      <c r="AE88" s="14"/>
      <c r="AF88" s="14"/>
      <c r="AG88" s="14"/>
      <c r="AH88" s="14"/>
      <c r="AI88" s="14"/>
      <c r="AJ88" s="14"/>
      <c r="AK88" s="14"/>
    </row>
    <row r="89" ht="19" customHeight="1">
      <c r="B89" t="s" s="10">
        <v>962</v>
      </c>
      <c r="C89" t="str" s="11" cm="1">
        <f t="array" ref="C89">B89&amp;"_"&amp;G89&amp;"_"&amp;R89</f>
        <v>REG_78M05_TO-252-2</v>
      </c>
      <c r="D89" t="str" s="12" cm="1">
        <f t="array" ref="D89">$G89&amp;IF($B89="LED"," LED","")&amp;IF($V89="",""," ")&amp;$V89&amp;IF($M89="",""," ")&amp;$M89&amp;IF($W89="",""," ")&amp;$W89&amp;IF($X89="",""," ")&amp;$X89&amp;IF($Y89="",""," ")&amp;$Y89&amp;IF($AB89="",""," ")&amp;$AB89&amp;IF($AB89="","","mcd")</f>
        <v>78M05 Linear 5v 1A</v>
      </c>
      <c r="E89" t="str" s="12" cm="1">
        <f t="array" ref="E89">$G89&amp;" "&amp;B89&amp;IF($V89="",""," ")&amp;$V89&amp;IF($M89="",""," ")&amp;$M89&amp;IF($W89="",""," ")&amp;$W89&amp;IF($X89="",""," ")&amp;$X89&amp;IF($Y89="",""," ")&amp;$Y89&amp;IF($AB89="",""," ")&amp;$AB89&amp;IF($AB89="","","mcd")</f>
        <v>78M05 REG Linear 5v 1A</v>
      </c>
      <c r="F89" t="str" s="11" cm="1">
        <f t="array" ref="F89">IF(ISBLANK(AH89),"",IF(AG89="LCSC",HYPERLINK("https://jlcpcb.com/partdetail/"&amp;$AH89,$AH89),IF(AG89="Mouser",$AH89,$AH89)))</f>
        <v>C347278</v>
      </c>
      <c r="G89" t="s" s="18">
        <v>975</v>
      </c>
      <c r="H89" s="15"/>
      <c r="I89" s="14"/>
      <c r="J89" t="s" s="10">
        <v>975</v>
      </c>
      <c r="K89" s="14"/>
      <c r="L89" t="s" s="10">
        <v>11</v>
      </c>
      <c r="M89" t="s" s="10">
        <v>967</v>
      </c>
      <c r="N89" t="s" s="10">
        <v>976</v>
      </c>
      <c r="O89" s="10"/>
      <c r="P89" s="10"/>
      <c r="Q89" s="10"/>
      <c r="R89" t="s" s="10">
        <v>977</v>
      </c>
      <c r="S89" s="10"/>
      <c r="T89" s="10"/>
      <c r="U89" s="10"/>
      <c r="V89" s="10"/>
      <c r="W89" t="s" s="10">
        <v>817</v>
      </c>
      <c r="X89" t="s" s="10">
        <v>970</v>
      </c>
      <c r="Y89" s="10"/>
      <c r="Z89" s="10"/>
      <c r="AA89" s="10"/>
      <c r="AB89" s="10"/>
      <c r="AC89" s="10"/>
      <c r="AD89" t="s" s="10">
        <v>978</v>
      </c>
      <c r="AE89" t="s" s="10">
        <v>979</v>
      </c>
      <c r="AF89" s="14"/>
      <c r="AG89" t="s" s="10">
        <v>50</v>
      </c>
      <c r="AH89" t="s" s="10">
        <v>980</v>
      </c>
      <c r="AI89" t="s" s="10">
        <v>903</v>
      </c>
      <c r="AJ89" t="s" s="10">
        <v>975</v>
      </c>
      <c r="AK89" t="s" s="10">
        <v>981</v>
      </c>
    </row>
    <row r="90" ht="19" customHeight="1">
      <c r="B90" t="s" s="10">
        <v>962</v>
      </c>
      <c r="C90" t="str" s="11" cm="1">
        <f t="array" ref="C90">B90&amp;"_"&amp;G90&amp;"_"&amp;R90</f>
        <v>REG_AMS1117-3.3_SOT-223-3</v>
      </c>
      <c r="D90" t="str" s="12" cm="1">
        <f t="array" ref="D90">$G90&amp;IF($B90="LED"," LED","")&amp;IF($V90="",""," ")&amp;$V90&amp;IF($M90="",""," ")&amp;$M90&amp;IF($W90="",""," ")&amp;$W90&amp;IF($X90="",""," ")&amp;$X90&amp;IF($Y90="",""," ")&amp;$Y90&amp;IF($AB90="",""," ")&amp;$AB90&amp;IF($AB90="","","mcd")</f>
        <v>AMS1117-3.3 LDO 3v3 1A</v>
      </c>
      <c r="E90" t="str" s="12" cm="1">
        <f t="array" ref="E90">$G90&amp;" "&amp;B90&amp;IF($V90="",""," ")&amp;$V90&amp;IF($M90="",""," ")&amp;$M90&amp;IF($W90="",""," ")&amp;$W90&amp;IF($X90="",""," ")&amp;$X90&amp;IF($Y90="",""," ")&amp;$Y90&amp;IF($AB90="",""," ")&amp;$AB90&amp;IF($AB90="","","mcd")</f>
        <v>AMS1117-3.3 REG LDO 3v3 1A</v>
      </c>
      <c r="F90" t="str" s="11" cm="1">
        <f t="array" ref="F90">IF(ISBLANK(AH90),"",IF(AG90="LCSC",HYPERLINK("https://jlcpcb.com/partdetail/"&amp;$AH90,$AH90),IF(AG90="Mouser",$AH90,$AH90)))</f>
        <v>C5345982</v>
      </c>
      <c r="G90" t="str" s="11" cm="1">
        <f t="array" ref="G90">J90</f>
        <v>AMS1117-3.3</v>
      </c>
      <c r="H90" s="15"/>
      <c r="I90" s="14"/>
      <c r="J90" t="str" s="14" cm="1">
        <f t="array" ref="J90">AJ90</f>
        <v>AMS1117-3.3</v>
      </c>
      <c r="K90" s="14"/>
      <c r="L90" t="s" s="10">
        <v>11</v>
      </c>
      <c r="M90" t="s" s="10">
        <v>987</v>
      </c>
      <c r="N90" t="s" s="10">
        <v>988</v>
      </c>
      <c r="O90" s="10"/>
      <c r="P90" s="10"/>
      <c r="Q90" s="10"/>
      <c r="R90" t="s" s="10">
        <v>989</v>
      </c>
      <c r="S90" s="10"/>
      <c r="T90" s="10"/>
      <c r="U90" s="10"/>
      <c r="V90" s="10"/>
      <c r="W90" t="s" s="10">
        <v>623</v>
      </c>
      <c r="X90" t="s" s="10">
        <v>970</v>
      </c>
      <c r="Y90" s="10"/>
      <c r="Z90" s="10"/>
      <c r="AA90" s="10"/>
      <c r="AB90" s="10"/>
      <c r="AC90" s="10"/>
      <c r="AD90" t="s" s="10">
        <v>990</v>
      </c>
      <c r="AE90" t="s" s="10">
        <v>991</v>
      </c>
      <c r="AF90" s="14"/>
      <c r="AG90" t="s" s="10">
        <v>50</v>
      </c>
      <c r="AH90" t="s" s="10">
        <v>992</v>
      </c>
      <c r="AI90" t="s" s="10">
        <v>993</v>
      </c>
      <c r="AJ90" t="s" s="10">
        <v>986</v>
      </c>
      <c r="AK90" t="s" s="10">
        <v>994</v>
      </c>
    </row>
    <row r="91" ht="19" customHeight="1">
      <c r="B91" t="s" s="10">
        <v>962</v>
      </c>
      <c r="C91" t="str" s="11" cm="1">
        <f t="array" ref="C91">B91&amp;"_"&amp;G91&amp;"_"&amp;R91</f>
        <v>REG_AMS1117-5.0_SOT-223-3</v>
      </c>
      <c r="D91" t="str" s="12" cm="1">
        <f t="array" ref="D91">$G91&amp;IF($B91="LED"," LED","")&amp;IF($V91="",""," ")&amp;$V91&amp;IF($M91="",""," ")&amp;$M91&amp;IF($W91="",""," ")&amp;$W91&amp;IF($X91="",""," ")&amp;$X91&amp;IF($Y91="",""," ")&amp;$Y91&amp;IF($AB91="",""," ")&amp;$AB91&amp;IF($AB91="","","mcd")</f>
        <v>AMS1117-5.0 LDO 5v 1A</v>
      </c>
      <c r="E91" t="str" s="12" cm="1">
        <f t="array" ref="E91">$G91&amp;" "&amp;B91&amp;IF($V91="",""," ")&amp;$V91&amp;IF($M91="",""," ")&amp;$M91&amp;IF($W91="",""," ")&amp;$W91&amp;IF($X91="",""," ")&amp;$X91&amp;IF($Y91="",""," ")&amp;$Y91&amp;IF($AB91="",""," ")&amp;$AB91&amp;IF($AB91="","","mcd")</f>
        <v>AMS1117-5.0 REG LDO 5v 1A</v>
      </c>
      <c r="F91" t="str" s="11" cm="1">
        <f t="array" ref="F91">IF(ISBLANK(AH91),"",IF(AG91="LCSC",HYPERLINK("https://jlcpcb.com/partdetail/"&amp;$AH91,$AH91),IF(AG91="Mouser",$AH91,$AH91)))</f>
        <v>C5345984</v>
      </c>
      <c r="G91" t="str" s="11" cm="1">
        <f t="array" ref="G91">J91</f>
        <v>AMS1117-5.0</v>
      </c>
      <c r="H91" s="15"/>
      <c r="I91" s="14"/>
      <c r="J91" t="str" s="14" cm="1">
        <f t="array" ref="J91">AJ91</f>
        <v>AMS1117-5.0</v>
      </c>
      <c r="K91" s="14"/>
      <c r="L91" t="s" s="10">
        <v>11</v>
      </c>
      <c r="M91" t="s" s="10">
        <v>987</v>
      </c>
      <c r="N91" t="s" s="10">
        <v>1000</v>
      </c>
      <c r="O91" s="10"/>
      <c r="P91" s="10"/>
      <c r="Q91" s="10"/>
      <c r="R91" t="s" s="10">
        <v>989</v>
      </c>
      <c r="S91" s="10"/>
      <c r="T91" s="10"/>
      <c r="U91" s="10"/>
      <c r="V91" s="10"/>
      <c r="W91" t="s" s="10">
        <v>817</v>
      </c>
      <c r="X91" t="s" s="10">
        <v>970</v>
      </c>
      <c r="Y91" s="10"/>
      <c r="Z91" s="10"/>
      <c r="AA91" s="10"/>
      <c r="AB91" s="10"/>
      <c r="AC91" s="10"/>
      <c r="AD91" t="s" s="10">
        <v>990</v>
      </c>
      <c r="AE91" t="s" s="10">
        <v>991</v>
      </c>
      <c r="AF91" s="14"/>
      <c r="AG91" t="s" s="10">
        <v>50</v>
      </c>
      <c r="AH91" t="s" s="10">
        <v>1001</v>
      </c>
      <c r="AI91" t="s" s="10">
        <v>993</v>
      </c>
      <c r="AJ91" t="s" s="10">
        <v>999</v>
      </c>
      <c r="AK91" t="s" s="10">
        <v>1002</v>
      </c>
    </row>
    <row r="92" ht="19" customHeight="1">
      <c r="B92" t="s" s="10">
        <v>962</v>
      </c>
      <c r="C92" t="str" s="11" cm="1">
        <f t="array" ref="C92">B92&amp;"_"&amp;G92&amp;"_"&amp;R92</f>
        <v>REG_AMS1117-ADJ_SOT-223-3</v>
      </c>
      <c r="D92" t="str" s="12" cm="1">
        <f t="array" ref="D92">$G92&amp;IF($B92="LED"," LED","")&amp;IF($V92="",""," ")&amp;$V92&amp;IF($M92="",""," ")&amp;$M92&amp;IF($W92="",""," ")&amp;$W92&amp;IF($X92="",""," ")&amp;$X92&amp;IF($Y92="",""," ")&amp;$Y92&amp;IF($AB92="",""," ")&amp;$AB92&amp;IF($AB92="","","mcd")</f>
        <v>AMS1117-ADJ LDO-ADJ 1.25-10.5v 1A</v>
      </c>
      <c r="E92" t="str" s="12" cm="1">
        <f t="array" ref="E92">$G92&amp;" "&amp;B92&amp;IF($V92="",""," ")&amp;$V92&amp;IF($M92="",""," ")&amp;$M92&amp;IF($W92="",""," ")&amp;$W92&amp;IF($X92="",""," ")&amp;$X92&amp;IF($Y92="",""," ")&amp;$Y92&amp;IF($AB92="",""," ")&amp;$AB92&amp;IF($AB92="","","mcd")</f>
        <v>AMS1117-ADJ REG LDO-ADJ 1.25-10.5v 1A</v>
      </c>
      <c r="F92" t="str" s="11" cm="1">
        <f t="array" ref="F92">IF(ISBLANK(AH92),"",IF(AG92="LCSC",HYPERLINK("https://jlcpcb.com/partdetail/"&amp;$AH92,$AH92),IF(AG92="Mouser",$AH92,$AH92)))</f>
        <v>C5345985</v>
      </c>
      <c r="G92" t="str" s="11" cm="1">
        <f t="array" ref="G92">J92</f>
        <v>AMS1117-ADJ</v>
      </c>
      <c r="H92" s="15"/>
      <c r="I92" s="14"/>
      <c r="J92" t="str" s="14" cm="1">
        <f t="array" ref="J92">AJ92</f>
        <v>AMS1117-ADJ</v>
      </c>
      <c r="K92" s="14"/>
      <c r="L92" t="s" s="10">
        <v>11</v>
      </c>
      <c r="M92" t="s" s="10">
        <v>1008</v>
      </c>
      <c r="N92" t="s" s="10">
        <v>1009</v>
      </c>
      <c r="O92" s="10"/>
      <c r="P92" s="10"/>
      <c r="Q92" s="10"/>
      <c r="R92" t="s" s="10">
        <v>989</v>
      </c>
      <c r="S92" s="10"/>
      <c r="T92" s="10"/>
      <c r="U92" s="10"/>
      <c r="V92" s="10"/>
      <c r="W92" t="s" s="10">
        <v>1010</v>
      </c>
      <c r="X92" t="s" s="10">
        <v>970</v>
      </c>
      <c r="Y92" s="10"/>
      <c r="Z92" s="10"/>
      <c r="AA92" s="10"/>
      <c r="AB92" s="10"/>
      <c r="AC92" s="10"/>
      <c r="AD92" t="s" s="10">
        <v>990</v>
      </c>
      <c r="AE92" t="s" s="10">
        <v>991</v>
      </c>
      <c r="AF92" s="14"/>
      <c r="AG92" t="s" s="10">
        <v>50</v>
      </c>
      <c r="AH92" t="s" s="10">
        <v>1011</v>
      </c>
      <c r="AI92" t="s" s="10">
        <v>993</v>
      </c>
      <c r="AJ92" t="s" s="10">
        <v>1007</v>
      </c>
      <c r="AK92" t="s" s="10">
        <v>1012</v>
      </c>
    </row>
    <row r="93" ht="18.9" customHeight="1">
      <c r="B93" t="s" s="10">
        <v>1013</v>
      </c>
      <c r="C93" t="str" s="11" cm="1">
        <f t="array" ref="C93">B93&amp;"_"&amp;V93&amp;"_"&amp;Y93&amp;"_"&amp;R93&amp;"_"&amp;G93</f>
        <v>RES_5%_100mW_0603_100K</v>
      </c>
      <c r="D93" t="str" s="12" cm="1">
        <f t="array" ref="D93">$G93&amp;IF($B93="LED"," LED","")&amp;IF($V93="",""," ")&amp;$V93&amp;IF($M93="",""," ")&amp;$M93&amp;IF($W93="",""," ")&amp;$W93&amp;IF($X93="",""," ")&amp;$X93&amp;IF($Y93="",""," ")&amp;$Y93&amp;IF($AB93="",""," ")&amp;$AB93&amp;IF($AB93="","","mcd")</f>
        <v>100K 5% thick film 75V 100mW</v>
      </c>
      <c r="E93" t="str" s="12" cm="1">
        <f t="array" ref="E93">$G93&amp;" "&amp;B93&amp;IF($V93="",""," ")&amp;$V93&amp;IF($M93="",""," ")&amp;$M93&amp;IF($W93="",""," ")&amp;$W93&amp;IF($X93="",""," ")&amp;$X93&amp;IF($Y93="",""," ")&amp;$Y93&amp;IF($AB93="",""," ")&amp;$AB93&amp;IF($AB93="","","mcd")</f>
        <v>100K RES 5% thick film 75V 100mW</v>
      </c>
      <c r="F93" t="str" s="11" cm="1">
        <f t="array" ref="F93">IF(ISBLANK(AH93),"",IF(AG93="LCSC",HYPERLINK("https://jlcpcb.com/partdetail/"&amp;$AH93,$AH93),IF(AG93="Mouser",$AH93,$AH93)))</f>
        <v>C15458</v>
      </c>
      <c r="G93" t="str" s="11" cm="1">
        <f t="array" ref="G93">O93</f>
        <v>100K</v>
      </c>
      <c r="H93" s="15"/>
      <c r="I93" s="10"/>
      <c r="J93" s="10"/>
      <c r="K93" s="10"/>
      <c r="L93" t="s" s="10">
        <v>11</v>
      </c>
      <c r="M93" t="s" s="10">
        <v>1019</v>
      </c>
      <c r="N93" t="s" s="10">
        <v>1020</v>
      </c>
      <c r="O93" t="s" s="10">
        <v>1018</v>
      </c>
      <c r="P93" s="10"/>
      <c r="Q93" s="10"/>
      <c r="R93" t="s" s="10">
        <v>45</v>
      </c>
      <c r="S93" s="10"/>
      <c r="T93" s="10"/>
      <c r="U93" s="10"/>
      <c r="V93" t="s" s="10">
        <v>1021</v>
      </c>
      <c r="W93" t="s" s="10">
        <v>1022</v>
      </c>
      <c r="X93" s="10"/>
      <c r="Y93" t="s" s="10">
        <v>1023</v>
      </c>
      <c r="Z93" s="10"/>
      <c r="AA93" s="10"/>
      <c r="AB93" s="10"/>
      <c r="AC93" s="10"/>
      <c r="AD93" t="s" s="10">
        <v>1024</v>
      </c>
      <c r="AE93" t="s" s="10">
        <v>1025</v>
      </c>
      <c r="AF93" s="14"/>
      <c r="AG93" t="s" s="10">
        <v>50</v>
      </c>
      <c r="AH93" t="s" s="10">
        <v>1026</v>
      </c>
      <c r="AI93" t="s" s="10">
        <v>1027</v>
      </c>
      <c r="AJ93" t="s" s="10">
        <v>1028</v>
      </c>
      <c r="AK93" t="s" s="10">
        <v>1029</v>
      </c>
    </row>
    <row r="94" ht="18.9" customHeight="1">
      <c r="B94" t="s" s="10">
        <v>1013</v>
      </c>
      <c r="C94" t="str" s="11" cm="1">
        <f t="array" ref="C94">B94&amp;"_"&amp;V94&amp;"_"&amp;Y94&amp;"_"&amp;R94&amp;"_"&amp;G94</f>
        <v>RES_5%_100mW_0603_10K</v>
      </c>
      <c r="D94" t="str" s="12" cm="1">
        <f t="array" ref="D94">$G94&amp;IF($B94="LED"," LED","")&amp;IF($V94="",""," ")&amp;$V94&amp;IF($M94="",""," ")&amp;$M94&amp;IF($W94="",""," ")&amp;$W94&amp;IF($X94="",""," ")&amp;$X94&amp;IF($Y94="",""," ")&amp;$Y94&amp;IF($AB94="",""," ")&amp;$AB94&amp;IF($AB94="","","mcd")</f>
        <v>10K 5% thick film 75V 100mW</v>
      </c>
      <c r="E94" t="str" s="12" cm="1">
        <f t="array" ref="E94">$G94&amp;" "&amp;B94&amp;IF($V94="",""," ")&amp;$V94&amp;IF($M94="",""," ")&amp;$M94&amp;IF($W94="",""," ")&amp;$W94&amp;IF($X94="",""," ")&amp;$X94&amp;IF($Y94="",""," ")&amp;$Y94&amp;IF($AB94="",""," ")&amp;$AB94&amp;IF($AB94="","","mcd")</f>
        <v>10K RES 5% thick film 75V 100mW</v>
      </c>
      <c r="F94" t="str" s="11" cm="1">
        <f t="array" ref="F94">IF(ISBLANK(AH94),"",IF(AG94="LCSC",HYPERLINK("https://jlcpcb.com/partdetail/"&amp;$AH94,$AH94),IF(AG94="Mouser",$AH94,$AH94)))</f>
        <v>C15401</v>
      </c>
      <c r="G94" t="str" s="11" cm="1">
        <f t="array" ref="G94">O94</f>
        <v>10K</v>
      </c>
      <c r="H94" s="13">
        <v>3</v>
      </c>
      <c r="I94" s="10"/>
      <c r="J94" s="10"/>
      <c r="K94" s="10"/>
      <c r="L94" t="s" s="10">
        <v>11</v>
      </c>
      <c r="M94" t="s" s="10">
        <v>1019</v>
      </c>
      <c r="N94" t="s" s="10">
        <v>1035</v>
      </c>
      <c r="O94" t="s" s="10">
        <v>1034</v>
      </c>
      <c r="P94" s="10"/>
      <c r="Q94" s="10"/>
      <c r="R94" t="s" s="10">
        <v>45</v>
      </c>
      <c r="S94" s="10"/>
      <c r="T94" s="10"/>
      <c r="U94" s="10"/>
      <c r="V94" t="s" s="10">
        <v>1021</v>
      </c>
      <c r="W94" t="s" s="10">
        <v>1022</v>
      </c>
      <c r="X94" s="10"/>
      <c r="Y94" t="s" s="10">
        <v>1023</v>
      </c>
      <c r="Z94" s="10"/>
      <c r="AA94" s="10"/>
      <c r="AB94" s="10"/>
      <c r="AC94" s="10"/>
      <c r="AD94" t="s" s="10">
        <v>1024</v>
      </c>
      <c r="AE94" t="s" s="10">
        <v>1025</v>
      </c>
      <c r="AF94" s="14"/>
      <c r="AG94" t="s" s="10">
        <v>50</v>
      </c>
      <c r="AH94" t="s" s="10">
        <v>1036</v>
      </c>
      <c r="AI94" t="s" s="10">
        <v>1027</v>
      </c>
      <c r="AJ94" t="s" s="10">
        <v>1037</v>
      </c>
      <c r="AK94" t="s" s="10">
        <v>1038</v>
      </c>
    </row>
    <row r="95" ht="18.9" customHeight="1">
      <c r="B95" t="s" s="10">
        <v>1013</v>
      </c>
      <c r="C95" t="str" s="11" cm="1">
        <f t="array" ref="C95">B95&amp;"_"&amp;V95&amp;"_"&amp;Y95&amp;"_"&amp;R95&amp;"_"&amp;G95</f>
        <v>RES_5%_100mW_0603_10K</v>
      </c>
      <c r="D95" t="str" s="12" cm="1">
        <f t="array" ref="D95">$G95&amp;IF($B95="LED"," LED","")&amp;IF($V95="",""," ")&amp;$V95&amp;IF($M95="",""," ")&amp;$M95&amp;IF($W95="",""," ")&amp;$W95&amp;IF($X95="",""," ")&amp;$X95&amp;IF($Y95="",""," ")&amp;$Y95&amp;IF($AB95="",""," ")&amp;$AB95&amp;IF($AB95="","","mcd")</f>
        <v>10K 5% thick film 75V 100mW</v>
      </c>
      <c r="E95" t="str" s="12" cm="1">
        <f t="array" ref="E95">$G95&amp;" "&amp;B95&amp;IF($V95="",""," ")&amp;$V95&amp;IF($M95="",""," ")&amp;$M95&amp;IF($W95="",""," ")&amp;$W95&amp;IF($X95="",""," ")&amp;$X95&amp;IF($Y95="",""," ")&amp;$Y95&amp;IF($AB95="",""," ")&amp;$AB95&amp;IF($AB95="","","mcd")</f>
        <v>10K RES 5% thick film 75V 100mW</v>
      </c>
      <c r="F95" t="str" s="11" cm="1">
        <f t="array" ref="F95">IF(ISBLANK(AH95),"",IF(AG95="LCSC",HYPERLINK("https://jlcpcb.com/partdetail/"&amp;$AH95,$AH95),IF(AG95="Mouser",$AH95,$AH95)))</f>
        <v>C2930027</v>
      </c>
      <c r="G95" t="str" s="11" cm="1">
        <f t="array" ref="G95">O95</f>
        <v>10K</v>
      </c>
      <c r="H95" s="13">
        <v>2</v>
      </c>
      <c r="I95" s="10"/>
      <c r="J95" s="10"/>
      <c r="K95" s="10"/>
      <c r="L95" t="s" s="10">
        <v>11</v>
      </c>
      <c r="M95" t="s" s="10">
        <v>1019</v>
      </c>
      <c r="N95" t="s" s="10">
        <v>1035</v>
      </c>
      <c r="O95" t="s" s="10">
        <v>1034</v>
      </c>
      <c r="P95" s="10"/>
      <c r="Q95" s="10"/>
      <c r="R95" t="s" s="10">
        <v>45</v>
      </c>
      <c r="S95" s="10"/>
      <c r="T95" s="10"/>
      <c r="U95" s="10"/>
      <c r="V95" t="s" s="10">
        <v>1021</v>
      </c>
      <c r="W95" t="s" s="10">
        <v>1022</v>
      </c>
      <c r="X95" s="10"/>
      <c r="Y95" t="s" s="10">
        <v>1023</v>
      </c>
      <c r="Z95" s="10"/>
      <c r="AA95" s="10"/>
      <c r="AB95" s="10"/>
      <c r="AC95" s="10"/>
      <c r="AD95" t="s" s="10">
        <v>1024</v>
      </c>
      <c r="AE95" t="s" s="10">
        <v>1025</v>
      </c>
      <c r="AF95" t="s" s="10">
        <v>61</v>
      </c>
      <c r="AG95" t="s" s="10">
        <v>50</v>
      </c>
      <c r="AH95" t="s" s="10">
        <v>1040</v>
      </c>
      <c r="AI95" t="s" s="10">
        <v>1041</v>
      </c>
      <c r="AJ95" t="s" s="10">
        <v>1042</v>
      </c>
      <c r="AK95" t="s" s="10">
        <v>1043</v>
      </c>
    </row>
    <row r="96" ht="18.9" customHeight="1">
      <c r="B96" t="s" s="10">
        <v>1013</v>
      </c>
      <c r="C96" t="str" s="11" cm="1">
        <f t="array" ref="C96">B96&amp;"_"&amp;V96&amp;"_"&amp;Y96&amp;"_"&amp;R96&amp;"_"&amp;G96</f>
        <v>RES_5%_100mW_0603_10K</v>
      </c>
      <c r="D96" t="str" s="12" cm="1">
        <f t="array" ref="D96">$G96&amp;IF($B96="LED"," LED","")&amp;IF($V96="",""," ")&amp;$V96&amp;IF($M96="",""," ")&amp;$M96&amp;IF($W96="",""," ")&amp;$W96&amp;IF($X96="",""," ")&amp;$X96&amp;IF($Y96="",""," ")&amp;$Y96&amp;IF($AB96="",""," ")&amp;$AB96&amp;IF($AB96="","","mcd")</f>
        <v>10K 5% thick film 150V 100mW</v>
      </c>
      <c r="E96" t="str" s="12" cm="1">
        <f t="array" ref="E96">$G96&amp;" "&amp;B96&amp;IF($V96="",""," ")&amp;$V96&amp;IF($M96="",""," ")&amp;$M96&amp;IF($W96="",""," ")&amp;$W96&amp;IF($X96="",""," ")&amp;$X96&amp;IF($Y96="",""," ")&amp;$Y96&amp;IF($AB96="",""," ")&amp;$AB96&amp;IF($AB96="","","mcd")</f>
        <v>10K RES 5% thick film 150V 100mW</v>
      </c>
      <c r="F96" t="str" s="11" cm="1">
        <f t="array" ref="F96">IF(ISBLANK(AH96),"",IF(AG96="LCSC",HYPERLINK("https://jlcpcb.com/partdetail/"&amp;$AH96,$AH96),IF(AG96="Mouser",$AH96,$AH96)))</f>
        <v>C4118381</v>
      </c>
      <c r="G96" t="str" s="11" cm="1">
        <f t="array" ref="G96">O96</f>
        <v>10K</v>
      </c>
      <c r="H96" s="13">
        <v>1</v>
      </c>
      <c r="I96" s="10"/>
      <c r="J96" s="10"/>
      <c r="K96" s="10"/>
      <c r="L96" t="s" s="10">
        <v>11</v>
      </c>
      <c r="M96" t="s" s="10">
        <v>1019</v>
      </c>
      <c r="N96" t="s" s="10">
        <v>1047</v>
      </c>
      <c r="O96" t="s" s="10">
        <v>1034</v>
      </c>
      <c r="P96" s="10"/>
      <c r="Q96" s="10"/>
      <c r="R96" t="s" s="10">
        <v>45</v>
      </c>
      <c r="S96" s="10"/>
      <c r="T96" s="10"/>
      <c r="U96" s="10"/>
      <c r="V96" t="s" s="10">
        <v>1021</v>
      </c>
      <c r="W96" t="s" s="10">
        <v>1048</v>
      </c>
      <c r="X96" s="10"/>
      <c r="Y96" t="s" s="10">
        <v>1023</v>
      </c>
      <c r="Z96" s="10"/>
      <c r="AA96" s="10"/>
      <c r="AB96" s="10"/>
      <c r="AC96" s="10"/>
      <c r="AD96" t="s" s="10">
        <v>1024</v>
      </c>
      <c r="AE96" t="s" s="10">
        <v>1025</v>
      </c>
      <c r="AF96" t="s" s="10">
        <v>61</v>
      </c>
      <c r="AG96" t="s" s="10">
        <v>50</v>
      </c>
      <c r="AH96" t="s" s="10">
        <v>1049</v>
      </c>
      <c r="AI96" t="s" s="10">
        <v>52</v>
      </c>
      <c r="AJ96" t="s" s="10">
        <v>1050</v>
      </c>
      <c r="AK96" t="s" s="10">
        <v>1051</v>
      </c>
    </row>
    <row r="97" ht="18.9" customHeight="1">
      <c r="B97" t="s" s="10">
        <v>1013</v>
      </c>
      <c r="C97" t="str" s="11" cm="1">
        <f t="array" ref="C97">B97&amp;"_"&amp;V97&amp;"_"&amp;Y97&amp;"_"&amp;R97&amp;"_"&amp;G97</f>
        <v>RES_5%_100mW_0603_12k</v>
      </c>
      <c r="D97" t="str" s="12" cm="1">
        <f t="array" ref="D97">$G97&amp;IF($B97="LED"," LED","")&amp;IF($V97="",""," ")&amp;$V97&amp;IF($M97="",""," ")&amp;$M97&amp;IF($W97="",""," ")&amp;$W97&amp;IF($X97="",""," ")&amp;$X97&amp;IF($Y97="",""," ")&amp;$Y97&amp;IF($AB97="",""," ")&amp;$AB97&amp;IF($AB97="","","mcd")</f>
        <v>12k 5% thick film 75V 100mW</v>
      </c>
      <c r="E97" t="str" s="12" cm="1">
        <f t="array" ref="E97">$G97&amp;" "&amp;B97&amp;IF($V97="",""," ")&amp;$V97&amp;IF($M97="",""," ")&amp;$M97&amp;IF($W97="",""," ")&amp;$W97&amp;IF($X97="",""," ")&amp;$X97&amp;IF($Y97="",""," ")&amp;$Y97&amp;IF($AB97="",""," ")&amp;$AB97&amp;IF($AB97="","","mcd")</f>
        <v>12k RES 5% thick film 75V 100mW</v>
      </c>
      <c r="F97" t="str" s="11" cm="1">
        <f t="array" ref="F97">IF(ISBLANK(AH97),"",IF(AG97="LCSC",HYPERLINK("https://jlcpcb.com/partdetail/"&amp;$AH97,$AH97),IF(AG97="Mouser",$AH97,$AH97)))</f>
        <v>C25577</v>
      </c>
      <c r="G97" t="str" s="11" cm="1">
        <f t="array" ref="G97">O97</f>
        <v>12k</v>
      </c>
      <c r="H97" s="15"/>
      <c r="I97" s="10"/>
      <c r="J97" s="10"/>
      <c r="K97" s="10"/>
      <c r="L97" t="s" s="10">
        <v>11</v>
      </c>
      <c r="M97" t="s" s="10">
        <v>1019</v>
      </c>
      <c r="N97" t="s" s="10">
        <v>1057</v>
      </c>
      <c r="O97" t="s" s="10">
        <v>1056</v>
      </c>
      <c r="P97" s="10"/>
      <c r="Q97" s="10"/>
      <c r="R97" t="s" s="10">
        <v>45</v>
      </c>
      <c r="S97" s="10"/>
      <c r="T97" s="10"/>
      <c r="U97" s="10"/>
      <c r="V97" t="s" s="10">
        <v>1021</v>
      </c>
      <c r="W97" t="s" s="10">
        <v>1022</v>
      </c>
      <c r="X97" s="10"/>
      <c r="Y97" t="s" s="10">
        <v>1023</v>
      </c>
      <c r="Z97" s="10"/>
      <c r="AA97" s="10"/>
      <c r="AB97" s="10"/>
      <c r="AC97" s="10"/>
      <c r="AD97" t="s" s="10">
        <v>1024</v>
      </c>
      <c r="AE97" t="s" s="10">
        <v>1025</v>
      </c>
      <c r="AF97" s="14"/>
      <c r="AG97" t="s" s="10">
        <v>50</v>
      </c>
      <c r="AH97" t="s" s="10">
        <v>1058</v>
      </c>
      <c r="AI97" t="s" s="10">
        <v>1027</v>
      </c>
      <c r="AJ97" t="s" s="10">
        <v>1059</v>
      </c>
      <c r="AK97" t="s" s="10">
        <v>1060</v>
      </c>
    </row>
    <row r="98" ht="18.4" customHeight="1">
      <c r="B98" t="s" s="10">
        <v>1013</v>
      </c>
      <c r="C98" t="str" s="11" cm="1">
        <f t="array" ref="C98">B98&amp;"_"&amp;V98&amp;"_"&amp;Y98&amp;"_"&amp;R98&amp;"_"&amp;G98</f>
        <v>RES_5%_100mW_0603_1K</v>
      </c>
      <c r="D98" t="str" s="12" cm="1">
        <f t="array" ref="D98">$G98&amp;IF($B98="LED"," LED","")&amp;IF($V98="",""," ")&amp;$V98&amp;IF($M98="",""," ")&amp;$M98&amp;IF($W98="",""," ")&amp;$W98&amp;IF($X98="",""," ")&amp;$X98&amp;IF($Y98="",""," ")&amp;$Y98&amp;IF($AB98="",""," ")&amp;$AB98&amp;IF($AB98="","","mcd")</f>
        <v>1K 5% thick film 75V 100mW</v>
      </c>
      <c r="E98" t="str" s="12" cm="1">
        <f t="array" ref="E98">$G98&amp;" "&amp;B98&amp;IF($V98="",""," ")&amp;$V98&amp;IF($M98="",""," ")&amp;$M98&amp;IF($W98="",""," ")&amp;$W98&amp;IF($X98="",""," ")&amp;$X98&amp;IF($Y98="",""," ")&amp;$Y98&amp;IF($AB98="",""," ")&amp;$AB98&amp;IF($AB98="","","mcd")</f>
        <v>1K RES 5% thick film 75V 100mW</v>
      </c>
      <c r="F98" t="str" s="11" cm="1">
        <f t="array" ref="F98">IF(ISBLANK(AH98),"",IF(AG98="LCSC",HYPERLINK("https://jlcpcb.com/partdetail/"&amp;$AH98,$AH98),IF(AG98="Mouser",$AH98,$AH98)))</f>
        <v>C25585</v>
      </c>
      <c r="G98" t="str" s="11" cm="1">
        <f t="array" ref="G98">O98</f>
        <v>1K</v>
      </c>
      <c r="H98" s="15"/>
      <c r="I98" s="10"/>
      <c r="J98" s="10"/>
      <c r="K98" s="10"/>
      <c r="L98" t="s" s="10">
        <v>11</v>
      </c>
      <c r="M98" t="s" s="10">
        <v>1019</v>
      </c>
      <c r="N98" t="s" s="10">
        <v>1066</v>
      </c>
      <c r="O98" t="s" s="10">
        <v>1065</v>
      </c>
      <c r="P98" s="10"/>
      <c r="Q98" s="10"/>
      <c r="R98" t="s" s="10">
        <v>45</v>
      </c>
      <c r="S98" s="10"/>
      <c r="T98" s="10"/>
      <c r="U98" s="10"/>
      <c r="V98" t="s" s="10">
        <v>1021</v>
      </c>
      <c r="W98" t="s" s="10">
        <v>1022</v>
      </c>
      <c r="X98" s="10"/>
      <c r="Y98" t="s" s="10">
        <v>1023</v>
      </c>
      <c r="Z98" s="10"/>
      <c r="AA98" s="10"/>
      <c r="AB98" s="10"/>
      <c r="AC98" s="10"/>
      <c r="AD98" t="s" s="10">
        <v>1024</v>
      </c>
      <c r="AE98" t="s" s="10">
        <v>1025</v>
      </c>
      <c r="AF98" s="14"/>
      <c r="AG98" t="s" s="10">
        <v>50</v>
      </c>
      <c r="AH98" t="s" s="10">
        <v>1067</v>
      </c>
      <c r="AI98" t="s" s="10">
        <v>1027</v>
      </c>
      <c r="AJ98" t="s" s="10">
        <v>1068</v>
      </c>
      <c r="AK98" t="s" s="10">
        <v>1069</v>
      </c>
    </row>
    <row r="99" ht="18.9" customHeight="1">
      <c r="B99" t="s" s="10">
        <v>1013</v>
      </c>
      <c r="C99" t="str" s="11" cm="1">
        <f t="array" ref="C99">B99&amp;"_"&amp;V99&amp;"_"&amp;Y99&amp;"_"&amp;R99&amp;"_"&amp;G99</f>
        <v>RES_1%_100mW_0603_1M</v>
      </c>
      <c r="D99" t="str" s="12" cm="1">
        <f t="array" ref="D99">$G99&amp;IF($B99="LED"," LED","")&amp;IF($V99="",""," ")&amp;$V99&amp;IF($M99="",""," ")&amp;$M99&amp;IF($W99="",""," ")&amp;$W99&amp;IF($X99="",""," ")&amp;$X99&amp;IF($Y99="",""," ")&amp;$Y99&amp;IF($AB99="",""," ")&amp;$AB99&amp;IF($AB99="","","mcd")</f>
        <v>1M 1% thick film 75V 100mW</v>
      </c>
      <c r="E99" t="str" s="12" cm="1">
        <f t="array" ref="E99">$G99&amp;" "&amp;B99&amp;IF($V99="",""," ")&amp;$V99&amp;IF($M99="",""," ")&amp;$M99&amp;IF($W99="",""," ")&amp;$W99&amp;IF($X99="",""," ")&amp;$X99&amp;IF($Y99="",""," ")&amp;$Y99&amp;IF($AB99="",""," ")&amp;$AB99&amp;IF($AB99="","","mcd")</f>
        <v>1M RES 1% thick film 75V 100mW</v>
      </c>
      <c r="F99" t="str" s="11" cm="1">
        <f t="array" ref="F99">IF(ISBLANK(AH99),"",IF(AG99="LCSC",HYPERLINK("https://jlcpcb.com/partdetail/"&amp;$AH99,$AH99),IF(AG99="Mouser",$AH99,$AH99)))</f>
        <v>C22935</v>
      </c>
      <c r="G99" t="str" s="11" cm="1">
        <f t="array" ref="G99">O99</f>
        <v>1M</v>
      </c>
      <c r="H99" s="13">
        <v>1</v>
      </c>
      <c r="I99" s="10"/>
      <c r="J99" s="10"/>
      <c r="K99" s="10"/>
      <c r="L99" t="s" s="10">
        <v>11</v>
      </c>
      <c r="M99" t="s" s="10">
        <v>1019</v>
      </c>
      <c r="N99" t="s" s="10">
        <v>1075</v>
      </c>
      <c r="O99" t="s" s="10">
        <v>1074</v>
      </c>
      <c r="P99" s="10"/>
      <c r="Q99" s="10"/>
      <c r="R99" t="s" s="10">
        <v>45</v>
      </c>
      <c r="S99" s="10"/>
      <c r="T99" s="10"/>
      <c r="U99" s="10"/>
      <c r="V99" t="s" s="10">
        <v>1076</v>
      </c>
      <c r="W99" t="s" s="10">
        <v>1022</v>
      </c>
      <c r="X99" s="10"/>
      <c r="Y99" t="s" s="10">
        <v>1023</v>
      </c>
      <c r="Z99" s="10"/>
      <c r="AA99" s="10"/>
      <c r="AB99" s="10"/>
      <c r="AC99" s="10"/>
      <c r="AD99" t="s" s="10">
        <v>1024</v>
      </c>
      <c r="AE99" t="s" s="10">
        <v>1025</v>
      </c>
      <c r="AF99" t="s" s="10">
        <v>61</v>
      </c>
      <c r="AG99" t="s" s="10">
        <v>50</v>
      </c>
      <c r="AH99" t="s" s="10">
        <v>1077</v>
      </c>
      <c r="AI99" t="s" s="10">
        <v>1027</v>
      </c>
      <c r="AJ99" t="s" s="10">
        <v>1078</v>
      </c>
      <c r="AK99" t="s" s="10">
        <v>1079</v>
      </c>
    </row>
    <row r="100" ht="17.7" customHeight="1">
      <c r="B100" t="s" s="10">
        <v>1013</v>
      </c>
      <c r="C100" t="str" s="11" cm="1">
        <f t="array" ref="C100">B100&amp;"_"&amp;V100&amp;"_"&amp;Y100&amp;"_"&amp;R100&amp;"_"&amp;G100</f>
        <v>RES_5%_100mW_0603_1M</v>
      </c>
      <c r="D100" t="str" s="12" cm="1">
        <f t="array" ref="D100">$G100&amp;IF($B100="LED"," LED","")&amp;IF($V100="",""," ")&amp;$V100&amp;IF($M100="",""," ")&amp;$M100&amp;IF($W100="",""," ")&amp;$W100&amp;IF($X100="",""," ")&amp;$X100&amp;IF($Y100="",""," ")&amp;$Y100&amp;IF($AB100="",""," ")&amp;$AB100&amp;IF($AB100="","","mcd")</f>
        <v>1M 5% thick film 75V 100mW</v>
      </c>
      <c r="E100" t="str" s="12" cm="1">
        <f t="array" ref="E100">$G100&amp;" "&amp;B100&amp;IF($V100="",""," ")&amp;$V100&amp;IF($M100="",""," ")&amp;$M100&amp;IF($W100="",""," ")&amp;$W100&amp;IF($X100="",""," ")&amp;$X100&amp;IF($Y100="",""," ")&amp;$Y100&amp;IF($AB100="",""," ")&amp;$AB100&amp;IF($AB100="","","mcd")</f>
        <v>1M RES 5% thick film 75V 100mW</v>
      </c>
      <c r="F100" t="str" s="11" cm="1">
        <f t="array" ref="F100">IF(ISBLANK(AH100),"",IF(AG100="LCSC",HYPERLINK("https://jlcpcb.com/partdetail/"&amp;$AH100,$AH100),IF(AG100="Mouser",$AH100,$AH100)))</f>
        <v>C26098</v>
      </c>
      <c r="G100" t="str" s="11" cm="1">
        <f t="array" ref="G100">O100</f>
        <v>1M</v>
      </c>
      <c r="H100" s="13">
        <v>2</v>
      </c>
      <c r="I100" s="10"/>
      <c r="J100" s="10"/>
      <c r="K100" s="10"/>
      <c r="L100" t="s" s="10">
        <v>11</v>
      </c>
      <c r="M100" t="s" s="10">
        <v>1019</v>
      </c>
      <c r="N100" t="s" s="10">
        <v>1084</v>
      </c>
      <c r="O100" t="s" s="10">
        <v>1074</v>
      </c>
      <c r="P100" s="10"/>
      <c r="Q100" s="10"/>
      <c r="R100" t="s" s="10">
        <v>45</v>
      </c>
      <c r="S100" s="10"/>
      <c r="T100" s="10"/>
      <c r="U100" s="10"/>
      <c r="V100" t="s" s="10">
        <v>1021</v>
      </c>
      <c r="W100" t="s" s="10">
        <v>1022</v>
      </c>
      <c r="X100" s="10"/>
      <c r="Y100" t="s" s="10">
        <v>1023</v>
      </c>
      <c r="Z100" s="10"/>
      <c r="AA100" s="10"/>
      <c r="AB100" s="10"/>
      <c r="AC100" s="10"/>
      <c r="AD100" t="s" s="10">
        <v>1024</v>
      </c>
      <c r="AE100" t="s" s="10">
        <v>1025</v>
      </c>
      <c r="AF100" s="14"/>
      <c r="AG100" t="s" s="10">
        <v>50</v>
      </c>
      <c r="AH100" t="s" s="10">
        <v>1085</v>
      </c>
      <c r="AI100" t="s" s="10">
        <v>1027</v>
      </c>
      <c r="AJ100" t="s" s="10">
        <v>1086</v>
      </c>
      <c r="AK100" t="s" s="10">
        <v>1087</v>
      </c>
    </row>
    <row r="101" ht="19.3" customHeight="1">
      <c r="B101" t="s" s="10">
        <v>1013</v>
      </c>
      <c r="C101" t="str" s="11" cm="1">
        <f t="array" ref="C101">B101&amp;"_"&amp;V101&amp;"_"&amp;Y101&amp;"_"&amp;R101&amp;"_"&amp;G101</f>
        <v>RES_5%_100mW_0603_2.2K</v>
      </c>
      <c r="D101" t="str" s="12" cm="1">
        <f t="array" ref="D101">$G101&amp;IF($B101="LED"," LED","")&amp;IF($V101="",""," ")&amp;$V101&amp;IF($M101="",""," ")&amp;$M101&amp;IF($W101="",""," ")&amp;$W101&amp;IF($X101="",""," ")&amp;$X101&amp;IF($Y101="",""," ")&amp;$Y101&amp;IF($AB101="",""," ")&amp;$AB101&amp;IF($AB101="","","mcd")</f>
        <v>2.2K 5% thick film 75V 100mW</v>
      </c>
      <c r="E101" t="str" s="12" cm="1">
        <f t="array" ref="E101">$G101&amp;" "&amp;B101&amp;IF($V101="",""," ")&amp;$V101&amp;IF($M101="",""," ")&amp;$M101&amp;IF($W101="",""," ")&amp;$W101&amp;IF($X101="",""," ")&amp;$X101&amp;IF($Y101="",""," ")&amp;$Y101&amp;IF($AB101="",""," ")&amp;$AB101&amp;IF($AB101="","","mcd")</f>
        <v>2.2K RES 5% thick film 75V 100mW</v>
      </c>
      <c r="F101" t="str" s="11" cm="1">
        <f t="array" ref="F101">IF(ISBLANK(AH101),"",IF(AG101="LCSC",HYPERLINK("https://jlcpcb.com/partdetail/"&amp;$AH101,$AH101),IF(AG101="Mouser",$AH101,$AH101)))</f>
        <v>C25992</v>
      </c>
      <c r="G101" t="str" s="11" cm="1">
        <f t="array" ref="G101">O101</f>
        <v>2.2K</v>
      </c>
      <c r="H101" s="15"/>
      <c r="I101" s="10"/>
      <c r="J101" s="10"/>
      <c r="K101" s="10"/>
      <c r="L101" t="s" s="10">
        <v>11</v>
      </c>
      <c r="M101" t="s" s="10">
        <v>1019</v>
      </c>
      <c r="N101" t="s" s="10">
        <v>1093</v>
      </c>
      <c r="O101" t="s" s="10">
        <v>1092</v>
      </c>
      <c r="P101" s="10"/>
      <c r="Q101" s="10"/>
      <c r="R101" t="s" s="10">
        <v>45</v>
      </c>
      <c r="S101" s="10"/>
      <c r="T101" s="10"/>
      <c r="U101" s="10"/>
      <c r="V101" t="s" s="10">
        <v>1021</v>
      </c>
      <c r="W101" t="s" s="10">
        <v>1022</v>
      </c>
      <c r="X101" s="10"/>
      <c r="Y101" t="s" s="10">
        <v>1023</v>
      </c>
      <c r="Z101" s="10"/>
      <c r="AA101" s="10"/>
      <c r="AB101" s="10"/>
      <c r="AC101" s="10"/>
      <c r="AD101" t="s" s="10">
        <v>1024</v>
      </c>
      <c r="AE101" t="s" s="10">
        <v>1025</v>
      </c>
      <c r="AF101" s="14"/>
      <c r="AG101" t="s" s="10">
        <v>50</v>
      </c>
      <c r="AH101" t="s" s="10">
        <v>1094</v>
      </c>
      <c r="AI101" t="s" s="10">
        <v>1027</v>
      </c>
      <c r="AJ101" t="s" s="10">
        <v>1095</v>
      </c>
      <c r="AK101" t="s" s="10">
        <v>1096</v>
      </c>
    </row>
    <row r="102" ht="18.9" customHeight="1">
      <c r="B102" t="s" s="10">
        <v>1013</v>
      </c>
      <c r="C102" t="str" s="11" cm="1">
        <f t="array" ref="C102">B102&amp;"_"&amp;V102&amp;"_"&amp;Y102&amp;"_"&amp;R102&amp;"_"&amp;G102</f>
        <v>RES_5%_100mW_0603_2.2M</v>
      </c>
      <c r="D102" t="str" s="12" cm="1">
        <f t="array" ref="D102">$G102&amp;IF($B102="LED"," LED","")&amp;IF($V102="",""," ")&amp;$V102&amp;IF($M102="",""," ")&amp;$M102&amp;IF($W102="",""," ")&amp;$W102&amp;IF($X102="",""," ")&amp;$X102&amp;IF($Y102="",""," ")&amp;$Y102&amp;IF($AB102="",""," ")&amp;$AB102&amp;IF($AB102="","","mcd")</f>
        <v>2.2M 5% thick film 75V 100mW</v>
      </c>
      <c r="E102" t="str" s="12" cm="1">
        <f t="array" ref="E102">$G102&amp;" "&amp;B102&amp;IF($V102="",""," ")&amp;$V102&amp;IF($M102="",""," ")&amp;$M102&amp;IF($W102="",""," ")&amp;$W102&amp;IF($X102="",""," ")&amp;$X102&amp;IF($Y102="",""," ")&amp;$Y102&amp;IF($AB102="",""," ")&amp;$AB102&amp;IF($AB102="","","mcd")</f>
        <v>2.2M RES 5% thick film 75V 100mW</v>
      </c>
      <c r="F102" t="str" s="11" cm="1">
        <f t="array" ref="F102">IF(ISBLANK(AH102),"",IF(AG102="LCSC",HYPERLINK("https://jlcpcb.com/partdetail/"&amp;$AH102,$AH102),IF(AG102="Mouser",$AH102,$AH102)))</f>
        <v>C18679</v>
      </c>
      <c r="G102" t="str" s="11" cm="1">
        <f t="array" ref="G102">O102</f>
        <v>2.2M</v>
      </c>
      <c r="H102" s="13">
        <v>2</v>
      </c>
      <c r="I102" s="10"/>
      <c r="J102" s="10"/>
      <c r="K102" s="10"/>
      <c r="L102" t="s" s="10">
        <v>11</v>
      </c>
      <c r="M102" t="s" s="10">
        <v>1019</v>
      </c>
      <c r="N102" t="s" s="10">
        <v>1102</v>
      </c>
      <c r="O102" t="s" s="10">
        <v>1101</v>
      </c>
      <c r="P102" s="10"/>
      <c r="Q102" s="10"/>
      <c r="R102" t="s" s="10">
        <v>45</v>
      </c>
      <c r="S102" s="10"/>
      <c r="T102" s="10"/>
      <c r="U102" s="10"/>
      <c r="V102" t="s" s="10">
        <v>1021</v>
      </c>
      <c r="W102" t="s" s="10">
        <v>1022</v>
      </c>
      <c r="X102" s="10"/>
      <c r="Y102" t="s" s="10">
        <v>1023</v>
      </c>
      <c r="Z102" s="10"/>
      <c r="AA102" s="10"/>
      <c r="AB102" s="10"/>
      <c r="AC102" s="10"/>
      <c r="AD102" t="s" s="10">
        <v>1024</v>
      </c>
      <c r="AE102" t="s" s="10">
        <v>1025</v>
      </c>
      <c r="AF102" t="s" s="10">
        <v>61</v>
      </c>
      <c r="AG102" t="s" s="10">
        <v>50</v>
      </c>
      <c r="AH102" t="s" s="10">
        <v>1103</v>
      </c>
      <c r="AI102" t="s" s="10">
        <v>1027</v>
      </c>
      <c r="AJ102" t="s" s="10">
        <v>1104</v>
      </c>
      <c r="AK102" t="s" s="10">
        <v>1105</v>
      </c>
    </row>
    <row r="103" ht="18.9" customHeight="1">
      <c r="B103" t="s" s="10">
        <v>1013</v>
      </c>
      <c r="C103" t="str" s="11" cm="1">
        <f t="array" ref="C103">B103&amp;"_"&amp;V103&amp;"_"&amp;Y103&amp;"_"&amp;R103&amp;"_"&amp;G103</f>
        <v>RES_5%_100mW_0603_2.2M</v>
      </c>
      <c r="D103" t="str" s="12" cm="1">
        <f t="array" ref="D103">$G103&amp;IF($B103="LED"," LED","")&amp;IF($V103="",""," ")&amp;$V103&amp;IF($M103="",""," ")&amp;$M103&amp;IF($W103="",""," ")&amp;$W103&amp;IF($X103="",""," ")&amp;$X103&amp;IF($Y103="",""," ")&amp;$Y103&amp;IF($AB103="",""," ")&amp;$AB103&amp;IF($AB103="","","mcd")</f>
        <v>2.2M 5% thick film 75V 100mW</v>
      </c>
      <c r="E103" t="str" s="12" cm="1">
        <f t="array" ref="E103">$G103&amp;" "&amp;B103&amp;IF($V103="",""," ")&amp;$V103&amp;IF($M103="",""," ")&amp;$M103&amp;IF($W103="",""," ")&amp;$W103&amp;IF($X103="",""," ")&amp;$X103&amp;IF($Y103="",""," ")&amp;$Y103&amp;IF($AB103="",""," ")&amp;$AB103&amp;IF($AB103="","","mcd")</f>
        <v>2.2M RES 5% thick film 75V 100mW</v>
      </c>
      <c r="F103" t="str" s="11" cm="1">
        <f t="array" ref="F103">IF(ISBLANK(AH103),"",IF(AG103="LCSC",HYPERLINK("https://jlcpcb.com/partdetail/"&amp;$AH103,$AH103),IF(AG103="Mouser",$AH103,$AH103)))</f>
        <v>C18679</v>
      </c>
      <c r="G103" t="str" s="11" cm="1">
        <f t="array" ref="G103">O103</f>
        <v>2.2M</v>
      </c>
      <c r="H103" s="13">
        <v>3</v>
      </c>
      <c r="I103" s="10"/>
      <c r="J103" s="10"/>
      <c r="K103" s="10"/>
      <c r="L103" t="s" s="10">
        <v>11</v>
      </c>
      <c r="M103" t="s" s="10">
        <v>1019</v>
      </c>
      <c r="N103" t="s" s="10">
        <v>1102</v>
      </c>
      <c r="O103" t="s" s="10">
        <v>1101</v>
      </c>
      <c r="P103" s="10"/>
      <c r="Q103" s="10"/>
      <c r="R103" t="s" s="10">
        <v>45</v>
      </c>
      <c r="S103" s="10"/>
      <c r="T103" s="10"/>
      <c r="U103" s="10"/>
      <c r="V103" t="s" s="10">
        <v>1021</v>
      </c>
      <c r="W103" t="s" s="10">
        <v>1022</v>
      </c>
      <c r="X103" s="10"/>
      <c r="Y103" t="s" s="10">
        <v>1023</v>
      </c>
      <c r="Z103" s="10"/>
      <c r="AA103" s="10"/>
      <c r="AB103" s="10"/>
      <c r="AC103" s="10"/>
      <c r="AD103" t="s" s="10">
        <v>1024</v>
      </c>
      <c r="AE103" t="s" s="10">
        <v>1025</v>
      </c>
      <c r="AF103" s="14"/>
      <c r="AG103" t="s" s="10">
        <v>50</v>
      </c>
      <c r="AH103" t="s" s="10">
        <v>1103</v>
      </c>
      <c r="AI103" t="s" s="10">
        <v>1027</v>
      </c>
      <c r="AJ103" t="s" s="10">
        <v>1104</v>
      </c>
      <c r="AK103" t="s" s="10">
        <v>1105</v>
      </c>
    </row>
    <row r="104" ht="18.9" customHeight="1">
      <c r="B104" t="s" s="10">
        <v>1013</v>
      </c>
      <c r="C104" t="str" s="11" cm="1">
        <f t="array" ref="C104">B104&amp;"_"&amp;V104&amp;"_"&amp;Y104&amp;"_"&amp;R104&amp;"_"&amp;G104</f>
        <v>RES_5%_100mW_0603_2.2M</v>
      </c>
      <c r="D104" t="str" s="12" cm="1">
        <f t="array" ref="D104">$G104&amp;IF($B104="LED"," LED","")&amp;IF($V104="",""," ")&amp;$V104&amp;IF($M104="",""," ")&amp;$M104&amp;IF($W104="",""," ")&amp;$W104&amp;IF($X104="",""," ")&amp;$X104&amp;IF($Y104="",""," ")&amp;$Y104&amp;IF($AB104="",""," ")&amp;$AB104&amp;IF($AB104="","","mcd")</f>
        <v>2.2M 5% thick film 50V 100mW</v>
      </c>
      <c r="E104" t="str" s="12" cm="1">
        <f t="array" ref="E104">$G104&amp;" "&amp;B104&amp;IF($V104="",""," ")&amp;$V104&amp;IF($M104="",""," ")&amp;$M104&amp;IF($W104="",""," ")&amp;$W104&amp;IF($X104="",""," ")&amp;$X104&amp;IF($Y104="",""," ")&amp;$Y104&amp;IF($AB104="",""," ")&amp;$AB104&amp;IF($AB104="","","mcd")</f>
        <v>2.2M RES 5% thick film 50V 100mW</v>
      </c>
      <c r="F104" t="str" s="11" cm="1">
        <f t="array" ref="F104">IF(ISBLANK(AH104),"",IF(AG104="LCSC",HYPERLINK("https://jlcpcb.com/partdetail/"&amp;$AH104,$AH104),IF(AG104="Mouser",$AH104,$AH104)))</f>
        <v>C403986</v>
      </c>
      <c r="G104" t="str" s="11" cm="1">
        <f t="array" ref="G104">O104</f>
        <v>2.2M</v>
      </c>
      <c r="H104" s="13">
        <v>1</v>
      </c>
      <c r="I104" s="10"/>
      <c r="J104" s="10"/>
      <c r="K104" s="10"/>
      <c r="L104" t="s" s="10">
        <v>11</v>
      </c>
      <c r="M104" t="s" s="10">
        <v>1019</v>
      </c>
      <c r="N104" t="s" s="10">
        <v>1109</v>
      </c>
      <c r="O104" t="s" s="10">
        <v>1101</v>
      </c>
      <c r="P104" s="10"/>
      <c r="Q104" s="10"/>
      <c r="R104" t="s" s="10">
        <v>45</v>
      </c>
      <c r="S104" s="10"/>
      <c r="T104" s="10"/>
      <c r="U104" s="10"/>
      <c r="V104" t="s" s="10">
        <v>1021</v>
      </c>
      <c r="W104" t="s" s="10">
        <v>47</v>
      </c>
      <c r="X104" s="10"/>
      <c r="Y104" t="s" s="10">
        <v>1023</v>
      </c>
      <c r="Z104" s="10"/>
      <c r="AA104" s="10"/>
      <c r="AB104" s="10"/>
      <c r="AC104" s="10"/>
      <c r="AD104" t="s" s="10">
        <v>1024</v>
      </c>
      <c r="AE104" t="s" s="10">
        <v>1025</v>
      </c>
      <c r="AF104" t="s" s="10">
        <v>61</v>
      </c>
      <c r="AG104" t="s" s="10">
        <v>50</v>
      </c>
      <c r="AH104" t="s" s="10">
        <v>1110</v>
      </c>
      <c r="AI104" t="s" s="10">
        <v>1111</v>
      </c>
      <c r="AJ104" t="s" s="10">
        <v>1112</v>
      </c>
      <c r="AK104" t="s" s="10">
        <v>1113</v>
      </c>
    </row>
    <row r="105" ht="18.9" customHeight="1">
      <c r="B105" t="s" s="10">
        <v>1013</v>
      </c>
      <c r="C105" t="str" s="11" cm="1">
        <f t="array" ref="C105">B105&amp;"_"&amp;V105&amp;"_"&amp;Y105&amp;"_"&amp;R105&amp;"_"&amp;G105</f>
        <v>RES_5%_100mW_0603_200</v>
      </c>
      <c r="D105" t="str" s="12" cm="1">
        <f t="array" ref="D105">$G105&amp;IF($B105="LED"," LED","")&amp;IF($V105="",""," ")&amp;$V105&amp;IF($M105="",""," ")&amp;$M105&amp;IF($W105="",""," ")&amp;$W105&amp;IF($X105="",""," ")&amp;$X105&amp;IF($Y105="",""," ")&amp;$Y105&amp;IF($AB105="",""," ")&amp;$AB105&amp;IF($AB105="","","mcd")</f>
        <v>200 5% thick film 75V 100mW</v>
      </c>
      <c r="E105" t="str" s="12" cm="1">
        <f t="array" ref="E105">$G105&amp;" "&amp;B105&amp;IF($V105="",""," ")&amp;$V105&amp;IF($M105="",""," ")&amp;$M105&amp;IF($W105="",""," ")&amp;$W105&amp;IF($X105="",""," ")&amp;$X105&amp;IF($Y105="",""," ")&amp;$Y105&amp;IF($AB105="",""," ")&amp;$AB105&amp;IF($AB105="","","mcd")</f>
        <v>200 RES 5% thick film 75V 100mW</v>
      </c>
      <c r="F105" t="str" s="11" cm="1">
        <f t="array" ref="F105">IF(ISBLANK(AH105),"",IF(AG105="LCSC",HYPERLINK("https://jlcpcb.com/partdetail/"&amp;$AH105,$AH105),IF(AG105="Mouser",$AH105,$AH105)))</f>
        <v>C2907123</v>
      </c>
      <c r="G105" t="str" s="11" cm="1">
        <f t="array" ref="G105">O105</f>
        <v>200</v>
      </c>
      <c r="H105" s="15"/>
      <c r="I105" s="10"/>
      <c r="J105" s="10"/>
      <c r="K105" s="10"/>
      <c r="L105" t="s" s="10">
        <v>11</v>
      </c>
      <c r="M105" t="s" s="10">
        <v>1019</v>
      </c>
      <c r="N105" t="s" s="10">
        <v>1119</v>
      </c>
      <c r="O105" t="s" s="10">
        <v>1118</v>
      </c>
      <c r="P105" s="10"/>
      <c r="Q105" s="10"/>
      <c r="R105" t="s" s="10">
        <v>45</v>
      </c>
      <c r="S105" s="10"/>
      <c r="T105" s="10"/>
      <c r="U105" s="10"/>
      <c r="V105" t="s" s="10">
        <v>1021</v>
      </c>
      <c r="W105" t="s" s="10">
        <v>1022</v>
      </c>
      <c r="X105" s="10"/>
      <c r="Y105" t="s" s="10">
        <v>1023</v>
      </c>
      <c r="Z105" s="10"/>
      <c r="AA105" s="10"/>
      <c r="AB105" s="10"/>
      <c r="AC105" s="10"/>
      <c r="AD105" t="s" s="10">
        <v>1024</v>
      </c>
      <c r="AE105" t="s" s="10">
        <v>1025</v>
      </c>
      <c r="AF105" t="s" s="10">
        <v>61</v>
      </c>
      <c r="AG105" t="s" s="10">
        <v>50</v>
      </c>
      <c r="AH105" t="s" s="10">
        <v>1120</v>
      </c>
      <c r="AI105" t="s" s="10">
        <v>1041</v>
      </c>
      <c r="AJ105" t="s" s="10">
        <v>1121</v>
      </c>
      <c r="AK105" t="s" s="10">
        <v>1122</v>
      </c>
    </row>
    <row r="106" ht="18.9" customHeight="1">
      <c r="B106" t="s" s="10">
        <v>1013</v>
      </c>
      <c r="C106" t="str" s="11" cm="1">
        <f t="array" ref="C106">B106&amp;"_"&amp;V106&amp;"_"&amp;Y106&amp;"_"&amp;R106&amp;"_"&amp;G106</f>
        <v>RES_5%_100mW_0603_220</v>
      </c>
      <c r="D106" t="str" s="12" cm="1">
        <f t="array" ref="D106">$G106&amp;IF($B106="LED"," LED","")&amp;IF($V106="",""," ")&amp;$V106&amp;IF($M106="",""," ")&amp;$M106&amp;IF($W106="",""," ")&amp;$W106&amp;IF($X106="",""," ")&amp;$X106&amp;IF($Y106="",""," ")&amp;$Y106&amp;IF($AB106="",""," ")&amp;$AB106&amp;IF($AB106="","","mcd")</f>
        <v>220 5% thick film 75V 100mW</v>
      </c>
      <c r="E106" t="str" s="12" cm="1">
        <f t="array" ref="E106">$G106&amp;" "&amp;B106&amp;IF($V106="",""," ")&amp;$V106&amp;IF($M106="",""," ")&amp;$M106&amp;IF($W106="",""," ")&amp;$W106&amp;IF($X106="",""," ")&amp;$X106&amp;IF($Y106="",""," ")&amp;$Y106&amp;IF($AB106="",""," ")&amp;$AB106&amp;IF($AB106="","","mcd")</f>
        <v>220 RES 5% thick film 75V 100mW</v>
      </c>
      <c r="F106" t="str" s="11" cm="1">
        <f t="array" ref="F106">IF(ISBLANK(AH106),"",IF(AG106="LCSC",HYPERLINK("https://jlcpcb.com/partdetail/"&amp;$AH106,$AH106),IF(AG106="Mouser",$AH106,$AH106)))</f>
        <v>C1226</v>
      </c>
      <c r="G106" t="str" s="11" cm="1">
        <f t="array" ref="G106">O106</f>
        <v>220</v>
      </c>
      <c r="H106" s="13">
        <v>2</v>
      </c>
      <c r="I106" s="10"/>
      <c r="J106" s="10"/>
      <c r="K106" s="10"/>
      <c r="L106" t="s" s="10">
        <v>11</v>
      </c>
      <c r="M106" t="s" s="10">
        <v>1019</v>
      </c>
      <c r="N106" t="s" s="10">
        <v>1128</v>
      </c>
      <c r="O106" t="s" s="10">
        <v>1127</v>
      </c>
      <c r="P106" s="10"/>
      <c r="Q106" s="10"/>
      <c r="R106" t="s" s="10">
        <v>45</v>
      </c>
      <c r="S106" s="10"/>
      <c r="T106" s="10"/>
      <c r="U106" s="10"/>
      <c r="V106" t="s" s="10">
        <v>1021</v>
      </c>
      <c r="W106" t="s" s="10">
        <v>1022</v>
      </c>
      <c r="X106" s="10"/>
      <c r="Y106" t="s" s="10">
        <v>1023</v>
      </c>
      <c r="Z106" s="10"/>
      <c r="AA106" s="10"/>
      <c r="AB106" s="10"/>
      <c r="AC106" s="10"/>
      <c r="AD106" t="s" s="10">
        <v>1024</v>
      </c>
      <c r="AE106" t="s" s="10">
        <v>1025</v>
      </c>
      <c r="AF106" s="14"/>
      <c r="AG106" t="s" s="10">
        <v>50</v>
      </c>
      <c r="AH106" t="s" s="10">
        <v>1129</v>
      </c>
      <c r="AI106" t="s" s="10">
        <v>1027</v>
      </c>
      <c r="AJ106" t="s" s="10">
        <v>1130</v>
      </c>
      <c r="AK106" t="s" s="10">
        <v>1131</v>
      </c>
    </row>
    <row r="107" ht="18.9" customHeight="1">
      <c r="B107" t="s" s="10">
        <v>1013</v>
      </c>
      <c r="C107" t="str" s="11" cm="1">
        <f t="array" ref="C107">B107&amp;"_"&amp;V107&amp;"_"&amp;Y107&amp;"_"&amp;R107&amp;"_"&amp;G107</f>
        <v>RES_1%_100mW_0603_220</v>
      </c>
      <c r="D107" t="str" s="12" cm="1">
        <f t="array" ref="D107">$G107&amp;IF($B107="LED"," LED","")&amp;IF($V107="",""," ")&amp;$V107&amp;IF($M107="",""," ")&amp;$M107&amp;IF($W107="",""," ")&amp;$W107&amp;IF($X107="",""," ")&amp;$X107&amp;IF($Y107="",""," ")&amp;$Y107&amp;IF($AB107="",""," ")&amp;$AB107&amp;IF($AB107="","","mcd")</f>
        <v>220 1% thick film 150V 100mW</v>
      </c>
      <c r="E107" t="str" s="12" cm="1">
        <f t="array" ref="E107">$G107&amp;" "&amp;B107&amp;IF($V107="",""," ")&amp;$V107&amp;IF($M107="",""," ")&amp;$M107&amp;IF($W107="",""," ")&amp;$W107&amp;IF($X107="",""," ")&amp;$X107&amp;IF($Y107="",""," ")&amp;$Y107&amp;IF($AB107="",""," ")&amp;$AB107&amp;IF($AB107="","","mcd")</f>
        <v>220 RES 1% thick film 150V 100mW</v>
      </c>
      <c r="F107" t="str" s="11" cm="1">
        <f t="array" ref="F107">IF(ISBLANK(AH107),"",IF(AG107="LCSC",HYPERLINK("https://jlcpcb.com/partdetail/"&amp;$AH107,$AH107),IF(AG107="Mouser",$AH107,$AH107)))</f>
        <v>C5842375</v>
      </c>
      <c r="G107" t="str" s="11" cm="1">
        <f t="array" ref="G107">O107</f>
        <v>220</v>
      </c>
      <c r="H107" s="13">
        <v>1</v>
      </c>
      <c r="I107" s="10"/>
      <c r="J107" s="10"/>
      <c r="K107" s="10"/>
      <c r="L107" t="s" s="10">
        <v>11</v>
      </c>
      <c r="M107" t="s" s="10">
        <v>1019</v>
      </c>
      <c r="N107" t="s" s="10">
        <v>1136</v>
      </c>
      <c r="O107" t="s" s="10">
        <v>1127</v>
      </c>
      <c r="P107" s="10"/>
      <c r="Q107" s="10"/>
      <c r="R107" t="s" s="10">
        <v>45</v>
      </c>
      <c r="S107" s="10"/>
      <c r="T107" s="10"/>
      <c r="U107" s="10"/>
      <c r="V107" t="s" s="10">
        <v>1076</v>
      </c>
      <c r="W107" t="s" s="10">
        <v>1048</v>
      </c>
      <c r="X107" s="10"/>
      <c r="Y107" t="s" s="10">
        <v>1023</v>
      </c>
      <c r="Z107" s="10"/>
      <c r="AA107" s="10"/>
      <c r="AB107" s="10"/>
      <c r="AC107" s="10"/>
      <c r="AD107" t="s" s="10">
        <v>1024</v>
      </c>
      <c r="AE107" t="s" s="10">
        <v>1025</v>
      </c>
      <c r="AF107" t="s" s="10">
        <v>61</v>
      </c>
      <c r="AG107" t="s" s="10">
        <v>50</v>
      </c>
      <c r="AH107" t="s" s="10">
        <v>1137</v>
      </c>
      <c r="AI107" t="s" s="10">
        <v>52</v>
      </c>
      <c r="AJ107" t="s" s="10">
        <v>1138</v>
      </c>
      <c r="AK107" t="s" s="10">
        <v>1139</v>
      </c>
    </row>
    <row r="108" ht="18.9" customHeight="1">
      <c r="B108" t="s" s="10">
        <v>1013</v>
      </c>
      <c r="C108" t="str" s="11" cm="1">
        <f t="array" ref="C108">B108&amp;"_"&amp;V108&amp;"_"&amp;Y108&amp;"_"&amp;R108&amp;"_"&amp;G108</f>
        <v>RES_5%_100mW_0603_22K</v>
      </c>
      <c r="D108" t="str" s="12" cm="1">
        <f t="array" ref="D108">$G108&amp;IF($B108="LED"," LED","")&amp;IF($V108="",""," ")&amp;$V108&amp;IF($M108="",""," ")&amp;$M108&amp;IF($W108="",""," ")&amp;$W108&amp;IF($X108="",""," ")&amp;$X108&amp;IF($Y108="",""," ")&amp;$Y108&amp;IF($AB108="",""," ")&amp;$AB108&amp;IF($AB108="","","mcd")</f>
        <v>22K 5% thick film 75V 100mW</v>
      </c>
      <c r="E108" t="str" s="12" cm="1">
        <f t="array" ref="E108">$G108&amp;" "&amp;B108&amp;IF($V108="",""," ")&amp;$V108&amp;IF($M108="",""," ")&amp;$M108&amp;IF($W108="",""," ")&amp;$W108&amp;IF($X108="",""," ")&amp;$X108&amp;IF($Y108="",""," ")&amp;$Y108&amp;IF($AB108="",""," ")&amp;$AB108&amp;IF($AB108="","","mcd")</f>
        <v>22K RES 5% thick film 75V 100mW</v>
      </c>
      <c r="F108" t="str" s="11" cm="1">
        <f t="array" ref="F108">IF(ISBLANK(AH108),"",IF(AG108="LCSC",HYPERLINK("https://jlcpcb.com/partdetail/"&amp;$AH108,$AH108),IF(AG108="Mouser",$AH108,$AH108)))</f>
        <v>C23344</v>
      </c>
      <c r="G108" t="str" s="11" cm="1">
        <f t="array" ref="G108">O108</f>
        <v>22K</v>
      </c>
      <c r="H108" s="15"/>
      <c r="I108" s="10"/>
      <c r="J108" s="10"/>
      <c r="K108" s="10"/>
      <c r="L108" t="s" s="10">
        <v>11</v>
      </c>
      <c r="M108" t="s" s="10">
        <v>1019</v>
      </c>
      <c r="N108" t="s" s="10">
        <v>1145</v>
      </c>
      <c r="O108" t="s" s="10">
        <v>1144</v>
      </c>
      <c r="P108" s="10"/>
      <c r="Q108" s="10"/>
      <c r="R108" t="s" s="10">
        <v>45</v>
      </c>
      <c r="S108" s="10"/>
      <c r="T108" s="10"/>
      <c r="U108" s="10"/>
      <c r="V108" t="s" s="10">
        <v>1021</v>
      </c>
      <c r="W108" t="s" s="10">
        <v>1022</v>
      </c>
      <c r="X108" s="10"/>
      <c r="Y108" t="s" s="10">
        <v>1023</v>
      </c>
      <c r="Z108" s="10"/>
      <c r="AA108" s="10"/>
      <c r="AB108" s="10"/>
      <c r="AC108" s="10"/>
      <c r="AD108" t="s" s="10">
        <v>1024</v>
      </c>
      <c r="AE108" t="s" s="10">
        <v>1025</v>
      </c>
      <c r="AF108" s="14"/>
      <c r="AG108" t="s" s="10">
        <v>50</v>
      </c>
      <c r="AH108" t="s" s="10">
        <v>1146</v>
      </c>
      <c r="AI108" t="s" s="10">
        <v>1027</v>
      </c>
      <c r="AJ108" t="s" s="10">
        <v>1147</v>
      </c>
      <c r="AK108" t="s" s="10">
        <v>1148</v>
      </c>
    </row>
    <row r="109" ht="19.3" customHeight="1">
      <c r="B109" t="s" s="10">
        <v>1013</v>
      </c>
      <c r="C109" t="str" s="11" cm="1">
        <f t="array" ref="C109">B109&amp;"_"&amp;V109&amp;"_"&amp;Y109&amp;"_"&amp;R109&amp;"_"&amp;G109</f>
        <v>RES_5%_100mW_0603_3.3K</v>
      </c>
      <c r="D109" t="str" s="12" cm="1">
        <f t="array" ref="D109">$G109&amp;IF($B109="LED"," LED","")&amp;IF($V109="",""," ")&amp;$V109&amp;IF($M109="",""," ")&amp;$M109&amp;IF($W109="",""," ")&amp;$W109&amp;IF($X109="",""," ")&amp;$X109&amp;IF($Y109="",""," ")&amp;$Y109&amp;IF($AB109="",""," ")&amp;$AB109&amp;IF($AB109="","","mcd")</f>
        <v>3.3K 5% thick film 75V 100mW</v>
      </c>
      <c r="E109" t="str" s="12" cm="1">
        <f t="array" ref="E109">$G109&amp;" "&amp;B109&amp;IF($V109="",""," ")&amp;$V109&amp;IF($M109="",""," ")&amp;$M109&amp;IF($W109="",""," ")&amp;$W109&amp;IF($X109="",""," ")&amp;$X109&amp;IF($Y109="",""," ")&amp;$Y109&amp;IF($AB109="",""," ")&amp;$AB109&amp;IF($AB109="","","mcd")</f>
        <v>3.3K RES 5% thick film 75V 100mW</v>
      </c>
      <c r="F109" t="str" s="11" cm="1">
        <f t="array" ref="F109">IF(ISBLANK(AH109),"",IF(AG109="LCSC",HYPERLINK("https://jlcpcb.com/partdetail/"&amp;$AH109,$AH109),IF(AG109="Mouser",$AH109,$AH109)))</f>
        <v>C25995</v>
      </c>
      <c r="G109" t="str" s="11" cm="1">
        <f t="array" ref="G109">O109</f>
        <v>3.3K</v>
      </c>
      <c r="H109" s="13">
        <v>2</v>
      </c>
      <c r="I109" s="10"/>
      <c r="J109" s="10"/>
      <c r="K109" s="10"/>
      <c r="L109" t="s" s="10">
        <v>11</v>
      </c>
      <c r="M109" t="s" s="10">
        <v>1019</v>
      </c>
      <c r="N109" t="s" s="10">
        <v>1154</v>
      </c>
      <c r="O109" t="s" s="10">
        <v>1153</v>
      </c>
      <c r="P109" s="10"/>
      <c r="Q109" s="10"/>
      <c r="R109" t="s" s="10">
        <v>45</v>
      </c>
      <c r="S109" s="10"/>
      <c r="T109" s="10"/>
      <c r="U109" s="10"/>
      <c r="V109" t="s" s="10">
        <v>1021</v>
      </c>
      <c r="W109" t="s" s="10">
        <v>1022</v>
      </c>
      <c r="X109" s="10"/>
      <c r="Y109" t="s" s="10">
        <v>1023</v>
      </c>
      <c r="Z109" s="10"/>
      <c r="AA109" s="10"/>
      <c r="AB109" s="10"/>
      <c r="AC109" s="10"/>
      <c r="AD109" t="s" s="10">
        <v>1024</v>
      </c>
      <c r="AE109" t="s" s="10">
        <v>1025</v>
      </c>
      <c r="AF109" s="14"/>
      <c r="AG109" t="s" s="10">
        <v>50</v>
      </c>
      <c r="AH109" t="s" s="10">
        <v>1155</v>
      </c>
      <c r="AI109" t="s" s="10">
        <v>1027</v>
      </c>
      <c r="AJ109" t="s" s="10">
        <v>1156</v>
      </c>
      <c r="AK109" t="s" s="10">
        <v>1157</v>
      </c>
    </row>
    <row r="110" ht="18.9" customHeight="1">
      <c r="B110" t="s" s="10">
        <v>1013</v>
      </c>
      <c r="C110" t="str" s="11" cm="1">
        <f t="array" ref="C110">B110&amp;"_"&amp;V110&amp;"_"&amp;Y110&amp;"_"&amp;R110&amp;"_"&amp;G110</f>
        <v>RES_1%_100mW_0603_3.3K</v>
      </c>
      <c r="D110" t="str" s="12" cm="1">
        <f t="array" ref="D110">$G110&amp;IF($B110="LED"," LED","")&amp;IF($V110="",""," ")&amp;$V110&amp;IF($M110="",""," ")&amp;$M110&amp;IF($W110="",""," ")&amp;$W110&amp;IF($X110="",""," ")&amp;$X110&amp;IF($Y110="",""," ")&amp;$Y110&amp;IF($AB110="",""," ")&amp;$AB110&amp;IF($AB110="","","mcd")</f>
        <v>3.3K 1% thick film 75V 100mW</v>
      </c>
      <c r="E110" t="str" s="12" cm="1">
        <f t="array" ref="E110">$G110&amp;" "&amp;B110&amp;IF($V110="",""," ")&amp;$V110&amp;IF($M110="",""," ")&amp;$M110&amp;IF($W110="",""," ")&amp;$W110&amp;IF($X110="",""," ")&amp;$X110&amp;IF($Y110="",""," ")&amp;$Y110&amp;IF($AB110="",""," ")&amp;$AB110&amp;IF($AB110="","","mcd")</f>
        <v>3.3K RES 1% thick film 75V 100mW</v>
      </c>
      <c r="F110" t="str" s="11" cm="1">
        <f t="array" ref="F110">IF(ISBLANK(AH110),"",IF(AG110="LCSC",HYPERLINK("https://jlcpcb.com/partdetail/"&amp;$AH110,$AH110),IF(AG110="Mouser",$AH110,$AH110)))</f>
        <v>C2907023</v>
      </c>
      <c r="G110" t="str" s="11" cm="1">
        <f t="array" ref="G110">O110</f>
        <v>3.3K</v>
      </c>
      <c r="H110" s="13">
        <v>1</v>
      </c>
      <c r="I110" s="10"/>
      <c r="J110" s="10"/>
      <c r="K110" s="10"/>
      <c r="L110" t="s" s="10">
        <v>11</v>
      </c>
      <c r="M110" t="s" s="10">
        <v>1019</v>
      </c>
      <c r="N110" t="s" s="10">
        <v>1162</v>
      </c>
      <c r="O110" t="s" s="10">
        <v>1153</v>
      </c>
      <c r="P110" s="10"/>
      <c r="Q110" s="10"/>
      <c r="R110" t="s" s="10">
        <v>45</v>
      </c>
      <c r="S110" s="10"/>
      <c r="T110" s="10"/>
      <c r="U110" s="10"/>
      <c r="V110" t="s" s="10">
        <v>1076</v>
      </c>
      <c r="W110" t="s" s="10">
        <v>1022</v>
      </c>
      <c r="X110" s="10"/>
      <c r="Y110" t="s" s="10">
        <v>1023</v>
      </c>
      <c r="Z110" s="10"/>
      <c r="AA110" s="10"/>
      <c r="AB110" s="10"/>
      <c r="AC110" s="10"/>
      <c r="AD110" t="s" s="10">
        <v>1024</v>
      </c>
      <c r="AE110" t="s" s="10">
        <v>1025</v>
      </c>
      <c r="AF110" t="s" s="10">
        <v>61</v>
      </c>
      <c r="AG110" t="s" s="10">
        <v>50</v>
      </c>
      <c r="AH110" t="s" s="10">
        <v>1163</v>
      </c>
      <c r="AI110" t="s" s="10">
        <v>1041</v>
      </c>
      <c r="AJ110" t="s" s="10">
        <v>1164</v>
      </c>
      <c r="AK110" t="s" s="10">
        <v>1165</v>
      </c>
    </row>
    <row r="111" ht="18.9" customHeight="1">
      <c r="B111" t="s" s="10">
        <v>1013</v>
      </c>
      <c r="C111" t="str" s="11" cm="1">
        <f t="array" ref="C111">B111&amp;"_"&amp;V111&amp;"_"&amp;Y111&amp;"_"&amp;R111&amp;"_"&amp;G111</f>
        <v>RES_5%_100mW_0603_330</v>
      </c>
      <c r="D111" t="str" s="12" cm="1">
        <f t="array" ref="D111">$G111&amp;IF($B111="LED"," LED","")&amp;IF($V111="",""," ")&amp;$V111&amp;IF($M111="",""," ")&amp;$M111&amp;IF($W111="",""," ")&amp;$W111&amp;IF($X111="",""," ")&amp;$X111&amp;IF($Y111="",""," ")&amp;$Y111&amp;IF($AB111="",""," ")&amp;$AB111&amp;IF($AB111="","","mcd")</f>
        <v>330 5% thick film 75V 100mW</v>
      </c>
      <c r="E111" t="str" s="12" cm="1">
        <f t="array" ref="E111">$G111&amp;" "&amp;B111&amp;IF($V111="",""," ")&amp;$V111&amp;IF($M111="",""," ")&amp;$M111&amp;IF($W111="",""," ")&amp;$W111&amp;IF($X111="",""," ")&amp;$X111&amp;IF($Y111="",""," ")&amp;$Y111&amp;IF($AB111="",""," ")&amp;$AB111&amp;IF($AB111="","","mcd")</f>
        <v>330 RES 5% thick film 75V 100mW</v>
      </c>
      <c r="F111" t="str" s="11" cm="1">
        <f t="array" ref="F111">IF(ISBLANK(AH111),"",IF(AG111="LCSC",HYPERLINK("https://jlcpcb.com/partdetail/"&amp;$AH111,$AH111),IF(AG111="Mouser",$AH111,$AH111)))</f>
        <v>C25231</v>
      </c>
      <c r="G111" t="str" s="11" cm="1">
        <f t="array" ref="G111">O111</f>
        <v>330</v>
      </c>
      <c r="H111" s="15"/>
      <c r="I111" s="10"/>
      <c r="J111" s="10"/>
      <c r="K111" s="10"/>
      <c r="L111" t="s" s="10">
        <v>11</v>
      </c>
      <c r="M111" t="s" s="10">
        <v>1019</v>
      </c>
      <c r="N111" t="s" s="10">
        <v>1170</v>
      </c>
      <c r="O111" t="s" s="10">
        <v>781</v>
      </c>
      <c r="P111" s="10"/>
      <c r="Q111" s="10"/>
      <c r="R111" t="s" s="10">
        <v>45</v>
      </c>
      <c r="S111" s="10"/>
      <c r="T111" s="10"/>
      <c r="U111" s="10"/>
      <c r="V111" t="s" s="10">
        <v>1021</v>
      </c>
      <c r="W111" t="s" s="10">
        <v>1022</v>
      </c>
      <c r="X111" s="10"/>
      <c r="Y111" t="s" s="10">
        <v>1023</v>
      </c>
      <c r="Z111" s="10"/>
      <c r="AA111" s="10"/>
      <c r="AB111" s="10"/>
      <c r="AC111" s="10"/>
      <c r="AD111" t="s" s="10">
        <v>1024</v>
      </c>
      <c r="AE111" t="s" s="10">
        <v>1025</v>
      </c>
      <c r="AF111" s="14"/>
      <c r="AG111" t="s" s="10">
        <v>50</v>
      </c>
      <c r="AH111" t="s" s="10">
        <v>1171</v>
      </c>
      <c r="AI111" t="s" s="10">
        <v>1027</v>
      </c>
      <c r="AJ111" t="s" s="10">
        <v>1172</v>
      </c>
      <c r="AK111" t="s" s="10">
        <v>1173</v>
      </c>
    </row>
    <row r="112" ht="19.3" customHeight="1">
      <c r="B112" t="s" s="10">
        <v>1013</v>
      </c>
      <c r="C112" t="str" s="11" cm="1">
        <f t="array" ref="C112">B112&amp;"_"&amp;V112&amp;"_"&amp;Y112&amp;"_"&amp;R112&amp;"_"&amp;G112</f>
        <v>RES_5%_100mW_0603_4.7K</v>
      </c>
      <c r="D112" t="str" s="12" cm="1">
        <f t="array" ref="D112">$G112&amp;IF($B112="LED"," LED","")&amp;IF($V112="",""," ")&amp;$V112&amp;IF($M112="",""," ")&amp;$M112&amp;IF($W112="",""," ")&amp;$W112&amp;IF($X112="",""," ")&amp;$X112&amp;IF($Y112="",""," ")&amp;$Y112&amp;IF($AB112="",""," ")&amp;$AB112&amp;IF($AB112="","","mcd")</f>
        <v>4.7K 5% thick film 75V 100mW</v>
      </c>
      <c r="E112" t="str" s="12" cm="1">
        <f t="array" ref="E112">$G112&amp;" "&amp;B112&amp;IF($V112="",""," ")&amp;$V112&amp;IF($M112="",""," ")&amp;$M112&amp;IF($W112="",""," ")&amp;$W112&amp;IF($X112="",""," ")&amp;$X112&amp;IF($Y112="",""," ")&amp;$Y112&amp;IF($AB112="",""," ")&amp;$AB112&amp;IF($AB112="","","mcd")</f>
        <v>4.7K RES 5% thick film 75V 100mW</v>
      </c>
      <c r="F112" t="str" s="11" cm="1">
        <f t="array" ref="F112">IF(ISBLANK(AH112),"",IF(AG112="LCSC",HYPERLINK("https://jlcpcb.com/partdetail/"&amp;$AH112,$AH112),IF(AG112="Mouser",$AH112,$AH112)))</f>
        <v>C25999</v>
      </c>
      <c r="G112" t="str" s="11" cm="1">
        <f t="array" ref="G112">O112</f>
        <v>4.7K</v>
      </c>
      <c r="H112" s="15"/>
      <c r="I112" s="10"/>
      <c r="J112" s="10"/>
      <c r="K112" s="10"/>
      <c r="L112" t="s" s="10">
        <v>11</v>
      </c>
      <c r="M112" t="s" s="10">
        <v>1019</v>
      </c>
      <c r="N112" t="s" s="10">
        <v>1179</v>
      </c>
      <c r="O112" t="s" s="10">
        <v>1178</v>
      </c>
      <c r="P112" s="10"/>
      <c r="Q112" s="10"/>
      <c r="R112" t="s" s="10">
        <v>45</v>
      </c>
      <c r="S112" s="10"/>
      <c r="T112" s="10"/>
      <c r="U112" s="10"/>
      <c r="V112" t="s" s="10">
        <v>1021</v>
      </c>
      <c r="W112" t="s" s="10">
        <v>1022</v>
      </c>
      <c r="X112" s="10"/>
      <c r="Y112" t="s" s="10">
        <v>1023</v>
      </c>
      <c r="Z112" s="10"/>
      <c r="AA112" s="10"/>
      <c r="AB112" s="10"/>
      <c r="AC112" s="10"/>
      <c r="AD112" t="s" s="10">
        <v>1024</v>
      </c>
      <c r="AE112" t="s" s="10">
        <v>1025</v>
      </c>
      <c r="AF112" s="14"/>
      <c r="AG112" t="s" s="10">
        <v>50</v>
      </c>
      <c r="AH112" t="s" s="10">
        <v>1180</v>
      </c>
      <c r="AI112" t="s" s="10">
        <v>1027</v>
      </c>
      <c r="AJ112" t="s" s="10">
        <v>1181</v>
      </c>
      <c r="AK112" t="s" s="10">
        <v>1182</v>
      </c>
    </row>
    <row r="113" ht="18.9" customHeight="1">
      <c r="B113" t="s" s="10">
        <v>1013</v>
      </c>
      <c r="C113" t="str" s="11" cm="1">
        <f t="array" ref="C113">B113&amp;"_"&amp;V113&amp;"_"&amp;Y113&amp;"_"&amp;R113&amp;"_"&amp;G113</f>
        <v>RES_5%_100mW_0603_470</v>
      </c>
      <c r="D113" t="str" s="12" cm="1">
        <f t="array" ref="D113">$G113&amp;IF($B113="LED"," LED","")&amp;IF($V113="",""," ")&amp;$V113&amp;IF($M113="",""," ")&amp;$M113&amp;IF($W113="",""," ")&amp;$W113&amp;IF($X113="",""," ")&amp;$X113&amp;IF($Y113="",""," ")&amp;$Y113&amp;IF($AB113="",""," ")&amp;$AB113&amp;IF($AB113="","","mcd")</f>
        <v>470 5% thick film 75V 100mW</v>
      </c>
      <c r="E113" t="str" s="12" cm="1">
        <f t="array" ref="E113">$G113&amp;" "&amp;B113&amp;IF($V113="",""," ")&amp;$V113&amp;IF($M113="",""," ")&amp;$M113&amp;IF($W113="",""," ")&amp;$W113&amp;IF($X113="",""," ")&amp;$X113&amp;IF($Y113="",""," ")&amp;$Y113&amp;IF($AB113="",""," ")&amp;$AB113&amp;IF($AB113="","","mcd")</f>
        <v>470 RES 5% thick film 75V 100mW</v>
      </c>
      <c r="F113" t="str" s="11" cm="1">
        <f t="array" ref="F113">IF(ISBLANK(AH113),"",IF(AG113="LCSC",HYPERLINK("https://jlcpcb.com/partdetail/"&amp;$AH113,$AH113),IF(AG113="Mouser",$AH113,$AH113)))</f>
        <v>C25241</v>
      </c>
      <c r="G113" t="str" s="11" cm="1">
        <f t="array" ref="G113">O113</f>
        <v>470</v>
      </c>
      <c r="H113" s="15"/>
      <c r="I113" s="10"/>
      <c r="J113" s="10"/>
      <c r="K113" s="10"/>
      <c r="L113" t="s" s="10">
        <v>11</v>
      </c>
      <c r="M113" t="s" s="10">
        <v>1019</v>
      </c>
      <c r="N113" t="s" s="10">
        <v>1188</v>
      </c>
      <c r="O113" t="s" s="10">
        <v>1187</v>
      </c>
      <c r="P113" s="10"/>
      <c r="Q113" s="10"/>
      <c r="R113" t="s" s="10">
        <v>45</v>
      </c>
      <c r="S113" s="10"/>
      <c r="T113" s="10"/>
      <c r="U113" s="10"/>
      <c r="V113" t="s" s="10">
        <v>1021</v>
      </c>
      <c r="W113" t="s" s="10">
        <v>1022</v>
      </c>
      <c r="X113" s="10"/>
      <c r="Y113" t="s" s="10">
        <v>1023</v>
      </c>
      <c r="Z113" s="10"/>
      <c r="AA113" s="10"/>
      <c r="AB113" s="10"/>
      <c r="AC113" s="10"/>
      <c r="AD113" t="s" s="10">
        <v>1024</v>
      </c>
      <c r="AE113" t="s" s="10">
        <v>1025</v>
      </c>
      <c r="AF113" s="14"/>
      <c r="AG113" t="s" s="10">
        <v>50</v>
      </c>
      <c r="AH113" t="s" s="10">
        <v>1189</v>
      </c>
      <c r="AI113" t="s" s="10">
        <v>1027</v>
      </c>
      <c r="AJ113" t="s" s="10">
        <v>1190</v>
      </c>
      <c r="AK113" t="s" s="10">
        <v>1191</v>
      </c>
    </row>
    <row r="114" ht="19.3" customHeight="1">
      <c r="B114" t="s" s="10">
        <v>1013</v>
      </c>
      <c r="C114" t="str" s="11" cm="1">
        <f t="array" ref="C114">B114&amp;"_"&amp;V114&amp;"_"&amp;Y114&amp;"_"&amp;R114&amp;"_"&amp;G114</f>
        <v>RES_5%_100mW_0603_5.6K</v>
      </c>
      <c r="D114" t="str" s="12" cm="1">
        <f t="array" ref="D114">$G114&amp;IF($B114="LED"," LED","")&amp;IF($V114="",""," ")&amp;$V114&amp;IF($M114="",""," ")&amp;$M114&amp;IF($W114="",""," ")&amp;$W114&amp;IF($X114="",""," ")&amp;$X114&amp;IF($Y114="",""," ")&amp;$Y114&amp;IF($AB114="",""," ")&amp;$AB114&amp;IF($AB114="","","mcd")</f>
        <v>5.6K 5% thick film 75V 100mW</v>
      </c>
      <c r="E114" t="str" s="12" cm="1">
        <f t="array" ref="E114">$G114&amp;" "&amp;B114&amp;IF($V114="",""," ")&amp;$V114&amp;IF($M114="",""," ")&amp;$M114&amp;IF($W114="",""," ")&amp;$W114&amp;IF($X114="",""," ")&amp;$X114&amp;IF($Y114="",""," ")&amp;$Y114&amp;IF($AB114="",""," ")&amp;$AB114&amp;IF($AB114="","","mcd")</f>
        <v>5.6K RES 5% thick film 75V 100mW</v>
      </c>
      <c r="F114" t="str" s="11" cm="1">
        <f t="array" ref="F114">IF(ISBLANK(AH114),"",IF(AG114="LCSC",HYPERLINK("https://jlcpcb.com/partdetail/"&amp;$AH114,$AH114),IF(AG114="Mouser",$AH114,$AH114)))</f>
        <v>C26001</v>
      </c>
      <c r="G114" t="str" s="11" cm="1">
        <f t="array" ref="G114">O114</f>
        <v>5.6K</v>
      </c>
      <c r="H114" s="15"/>
      <c r="I114" s="10"/>
      <c r="J114" s="10"/>
      <c r="K114" s="10"/>
      <c r="L114" t="s" s="10">
        <v>11</v>
      </c>
      <c r="M114" t="s" s="10">
        <v>1019</v>
      </c>
      <c r="N114" t="s" s="10">
        <v>1197</v>
      </c>
      <c r="O114" t="s" s="10">
        <v>1196</v>
      </c>
      <c r="P114" s="10"/>
      <c r="Q114" s="10"/>
      <c r="R114" t="s" s="10">
        <v>45</v>
      </c>
      <c r="S114" s="10"/>
      <c r="T114" s="10"/>
      <c r="U114" s="10"/>
      <c r="V114" t="s" s="10">
        <v>1021</v>
      </c>
      <c r="W114" t="s" s="10">
        <v>1022</v>
      </c>
      <c r="X114" s="10"/>
      <c r="Y114" t="s" s="10">
        <v>1023</v>
      </c>
      <c r="Z114" s="10"/>
      <c r="AA114" s="10"/>
      <c r="AB114" s="10"/>
      <c r="AC114" s="10"/>
      <c r="AD114" t="s" s="10">
        <v>1024</v>
      </c>
      <c r="AE114" t="s" s="10">
        <v>1025</v>
      </c>
      <c r="AF114" s="14"/>
      <c r="AG114" t="s" s="10">
        <v>50</v>
      </c>
      <c r="AH114" t="s" s="10">
        <v>1198</v>
      </c>
      <c r="AI114" t="s" s="10">
        <v>1027</v>
      </c>
      <c r="AJ114" t="s" s="10">
        <v>1199</v>
      </c>
      <c r="AK114" t="s" s="10">
        <v>1200</v>
      </c>
    </row>
    <row r="115" ht="18.9" customHeight="1">
      <c r="B115" t="s" s="10">
        <v>1201</v>
      </c>
      <c r="C115" t="str" s="11" cm="1">
        <f t="array" ref="C115">B115&amp;"_"&amp;R115&amp;"_"&amp;G115</f>
        <v>RLY_ISOPLUS-264_CPC1709J</v>
      </c>
      <c r="D115" t="str" s="12" cm="1">
        <f t="array" ref="D115">$G115&amp;IF($B115="LED"," LED","")&amp;IF($V115="",""," ")&amp;$V115&amp;IF($M115="",""," ")&amp;$M115&amp;IF($W115="",""," ")&amp;$W115&amp;IF($X115="",""," ")&amp;$X115&amp;IF($Y115="",""," ")&amp;$Y115&amp;IF($AB115="",""," ")&amp;$AB115&amp;IF($AB115="","","mcd")</f>
        <v>CPC1709J SSR 1.42V 9A-22.8A</v>
      </c>
      <c r="E115" t="str" s="12" cm="1">
        <f t="array" ref="E115">$G115&amp;" "&amp;B115&amp;IF($V115="",""," ")&amp;$V115&amp;IF($M115="",""," ")&amp;$M115&amp;IF($W115="",""," ")&amp;$W115&amp;IF($X115="",""," ")&amp;$X115&amp;IF($Y115="",""," ")&amp;$Y115&amp;IF($AB115="",""," ")&amp;$AB115&amp;IF($AB115="","","mcd")</f>
        <v>CPC1709J RLY SSR 1.42V 9A-22.8A</v>
      </c>
      <c r="F115" t="str" s="11" cm="1">
        <f t="array" ref="F115">IF(ISBLANK(AH115),"",IF(AG115="LCSC",HYPERLINK("https://jlcpcb.com/partdetail/"&amp;$AH115,$AH115),IF(AG115="Mouser",$AH115,$AH115)))</f>
        <v>C1525253</v>
      </c>
      <c r="G115" t="str" s="11" cm="1">
        <f t="array" ref="G115">J115</f>
        <v>CPC1709J</v>
      </c>
      <c r="H115" s="15"/>
      <c r="I115" s="14"/>
      <c r="J115" t="str" s="14" cm="1">
        <f t="array" ref="J115">AJ115</f>
        <v>CPC1709J</v>
      </c>
      <c r="K115" s="14"/>
      <c r="L115" t="s" s="10">
        <v>96</v>
      </c>
      <c r="M115" t="s" s="10">
        <v>1207</v>
      </c>
      <c r="N115" t="s" s="10">
        <v>1208</v>
      </c>
      <c r="O115" s="10"/>
      <c r="P115" s="10"/>
      <c r="Q115" s="10"/>
      <c r="R115" t="s" s="10">
        <v>1209</v>
      </c>
      <c r="S115" s="10"/>
      <c r="T115" s="10"/>
      <c r="U115" s="10"/>
      <c r="V115" s="10"/>
      <c r="W115" t="s" s="10">
        <v>1210</v>
      </c>
      <c r="X115" t="s" s="10">
        <v>1211</v>
      </c>
      <c r="Y115" s="10"/>
      <c r="Z115" s="10"/>
      <c r="AA115" s="10"/>
      <c r="AB115" s="10"/>
      <c r="AC115" s="10"/>
      <c r="AD115" t="s" s="10">
        <v>1212</v>
      </c>
      <c r="AE115" t="s" s="10">
        <v>1212</v>
      </c>
      <c r="AF115" s="14"/>
      <c r="AG115" t="s" s="10">
        <v>50</v>
      </c>
      <c r="AH115" t="s" s="10">
        <v>1213</v>
      </c>
      <c r="AI115" t="s" s="10">
        <v>1214</v>
      </c>
      <c r="AJ115" t="s" s="10">
        <v>1206</v>
      </c>
      <c r="AK115" t="s" s="10">
        <v>1215</v>
      </c>
    </row>
    <row r="116" ht="19" customHeight="1">
      <c r="B116" t="s" s="10">
        <v>1201</v>
      </c>
      <c r="C116" t="str" s="11" cm="1">
        <f t="array" ref="C116">B116&amp;"_"&amp;G116&amp;"_"&amp;R116</f>
        <v>RLY_G2RL-2_29x12.7x15.7mm</v>
      </c>
      <c r="D116" t="str" s="12" cm="1">
        <f t="array" ref="D116">$G116&amp;IF($B116="LED"," LED","")&amp;IF($V116="",""," ")&amp;$V116&amp;IF($M116="",""," ")&amp;$M116&amp;IF($W116="",""," ")&amp;$W116&amp;IF($X116="",""," ")&amp;$X116&amp;IF($Y116="",""," ")&amp;$Y116&amp;IF($AB116="",""," ")&amp;$AB116&amp;IF($AB116="","","mcd")</f>
        <v>G2RL-2 24v DPDT 24v 8A</v>
      </c>
      <c r="E116" t="str" s="12" cm="1">
        <f t="array" ref="E116">$G116&amp;" "&amp;B116&amp;IF($V116="",""," ")&amp;$V116&amp;IF($M116="",""," ")&amp;$M116&amp;IF($W116="",""," ")&amp;$W116&amp;IF($X116="",""," ")&amp;$X116&amp;IF($Y116="",""," ")&amp;$Y116&amp;IF($AB116="",""," ")&amp;$AB116&amp;IF($AB116="","","mcd")</f>
        <v>G2RL-2 RLY 24v DPDT 24v 8A</v>
      </c>
      <c r="F116" t="str" s="11" cm="1">
        <f t="array" ref="F116">IF(ISBLANK(AH116),"",IF(AG116="LCSC",HYPERLINK("https://jlcpcb.com/partdetail/"&amp;$AH116,$AH116),IF(AG116="Mouser",$AH116,$AH116)))</f>
      </c>
      <c r="G116" t="str" s="11" cm="1">
        <f t="array" ref="G116">J116</f>
        <v>G2RL-2</v>
      </c>
      <c r="H116" s="15"/>
      <c r="I116" s="10"/>
      <c r="J116" t="s" s="10">
        <v>1219</v>
      </c>
      <c r="K116" s="10"/>
      <c r="L116" t="s" s="10">
        <v>96</v>
      </c>
      <c r="M116" t="s" s="10">
        <v>1220</v>
      </c>
      <c r="N116" t="s" s="10">
        <v>1221</v>
      </c>
      <c r="O116" s="10"/>
      <c r="P116" s="10"/>
      <c r="Q116" s="10"/>
      <c r="R116" t="s" s="10">
        <v>1222</v>
      </c>
      <c r="S116" s="10"/>
      <c r="T116" s="10"/>
      <c r="U116" s="10"/>
      <c r="V116" s="10"/>
      <c r="W116" t="s" s="10">
        <v>1223</v>
      </c>
      <c r="X116" t="s" s="10">
        <v>899</v>
      </c>
      <c r="Y116" s="10"/>
      <c r="Z116" s="10"/>
      <c r="AA116" s="10"/>
      <c r="AB116" s="10"/>
      <c r="AC116" s="10"/>
      <c r="AD116" t="s" s="10">
        <v>1224</v>
      </c>
      <c r="AE116" t="s" s="10">
        <v>1225</v>
      </c>
      <c r="AF116" s="14"/>
      <c r="AG116" s="14"/>
      <c r="AH116" s="14"/>
      <c r="AI116" t="s" s="10">
        <v>1226</v>
      </c>
      <c r="AJ116" t="s" s="10">
        <v>1227</v>
      </c>
      <c r="AK116" t="s" s="10">
        <v>1228</v>
      </c>
    </row>
    <row r="117" ht="18.9" customHeight="1">
      <c r="B117" t="s" s="10">
        <v>1229</v>
      </c>
      <c r="C117" t="str" s="11" cm="1">
        <f t="array" ref="C117">B117&amp;"_"&amp;G117</f>
        <v>SLK_BRD_100x100</v>
      </c>
      <c r="D117" t="str" s="12" cm="1">
        <f t="array" ref="D117">$G117&amp;IF($B117="LED"," LED","")&amp;IF($V117="",""," ")&amp;$V117&amp;IF($M117="",""," ")&amp;$M117&amp;IF($W117="",""," ")&amp;$W117&amp;IF($X117="",""," ")&amp;$X117&amp;IF($Y117="",""," ")&amp;$Y117&amp;IF($AB117="",""," ")&amp;$AB117&amp;IF($AB117="","","mcd")</f>
        <v>BRD_100x100 Board Outline &amp; Milling</v>
      </c>
      <c r="E117" t="str" s="12" cm="1">
        <f t="array" ref="E117">$G117&amp;" "&amp;B117&amp;IF($V117="",""," ")&amp;$V117&amp;IF($M117="",""," ")&amp;$M117&amp;IF($W117="",""," ")&amp;$W117&amp;IF($X117="",""," ")&amp;$X117&amp;IF($Y117="",""," ")&amp;$Y117&amp;IF($AB117="",""," ")&amp;$AB117&amp;IF($AB117="","","mcd")</f>
        <v>BRD_100x100 SLK Board Outline &amp; Milling</v>
      </c>
      <c r="F117" t="str" s="11" cm="1">
        <f t="array" ref="F117">IF(ISBLANK(AH117),"",IF(AG117="LCSC",HYPERLINK("https://jlcpcb.com/partdetail/"&amp;$AH117,$AH117),IF(AG117="Mouser",$AH117,$AH117)))</f>
      </c>
      <c r="G117" t="str" s="11" cm="1">
        <f t="array" ref="G117">J117</f>
        <v>BRD_100x100</v>
      </c>
      <c r="H117" s="15"/>
      <c r="I117" t="s" s="10">
        <v>8</v>
      </c>
      <c r="J117" t="s" s="10">
        <v>1233</v>
      </c>
      <c r="K117" s="14"/>
      <c r="L117" t="s" s="10">
        <v>468</v>
      </c>
      <c r="M117" t="s" s="10">
        <v>1234</v>
      </c>
      <c r="N117" t="s" s="10">
        <v>1235</v>
      </c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t="s" s="10">
        <v>1236</v>
      </c>
      <c r="AE117" t="s" s="10">
        <v>1237</v>
      </c>
      <c r="AF117" s="14"/>
      <c r="AG117" s="14"/>
      <c r="AH117" s="14"/>
      <c r="AI117" s="14"/>
      <c r="AJ117" s="14"/>
      <c r="AK117" s="14"/>
    </row>
    <row r="118" ht="18.9" customHeight="1">
      <c r="B118" t="s" s="10">
        <v>1229</v>
      </c>
      <c r="C118" t="str" s="11" cm="1">
        <f t="array" ref="C118">B118&amp;"_"&amp;G118</f>
        <v>SLK_BRD_100x150</v>
      </c>
      <c r="D118" t="str" s="12" cm="1">
        <f t="array" ref="D118">$G118&amp;IF($B118="LED"," LED","")&amp;IF($V118="",""," ")&amp;$V118&amp;IF($M118="",""," ")&amp;$M118&amp;IF($W118="",""," ")&amp;$W118&amp;IF($X118="",""," ")&amp;$X118&amp;IF($Y118="",""," ")&amp;$Y118&amp;IF($AB118="",""," ")&amp;$AB118&amp;IF($AB118="","","mcd")</f>
        <v>BRD_100x150 Board Outline &amp; Milling</v>
      </c>
      <c r="E118" t="str" s="12" cm="1">
        <f t="array" ref="E118">$G118&amp;" "&amp;B118&amp;IF($V118="",""," ")&amp;$V118&amp;IF($M118="",""," ")&amp;$M118&amp;IF($W118="",""," ")&amp;$W118&amp;IF($X118="",""," ")&amp;$X118&amp;IF($Y118="",""," ")&amp;$Y118&amp;IF($AB118="",""," ")&amp;$AB118&amp;IF($AB118="","","mcd")</f>
        <v>BRD_100x150 SLK Board Outline &amp; Milling</v>
      </c>
      <c r="F118" t="str" s="11" cm="1">
        <f t="array" ref="F118">IF(ISBLANK(AH118),"",IF(AG118="LCSC",HYPERLINK("https://jlcpcb.com/partdetail/"&amp;$AH118,$AH118),IF(AG118="Mouser",$AH118,$AH118)))</f>
      </c>
      <c r="G118" t="str" s="11" cm="1">
        <f t="array" ref="G118">J118</f>
        <v>BRD_100x150</v>
      </c>
      <c r="H118" s="15"/>
      <c r="I118" t="s" s="10">
        <v>8</v>
      </c>
      <c r="J118" t="s" s="10">
        <v>1241</v>
      </c>
      <c r="K118" s="14"/>
      <c r="L118" t="s" s="10">
        <v>468</v>
      </c>
      <c r="M118" t="s" s="10">
        <v>1234</v>
      </c>
      <c r="N118" t="s" s="10">
        <v>1235</v>
      </c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t="s" s="10">
        <v>1236</v>
      </c>
      <c r="AE118" t="s" s="10">
        <v>1242</v>
      </c>
      <c r="AF118" s="14"/>
      <c r="AG118" s="14"/>
      <c r="AH118" s="14"/>
      <c r="AI118" s="14"/>
      <c r="AJ118" s="14"/>
      <c r="AK118" s="14"/>
    </row>
    <row r="119" ht="18.9" customHeight="1">
      <c r="B119" t="s" s="10">
        <v>1229</v>
      </c>
      <c r="C119" t="str" s="11" cm="1">
        <f t="array" ref="C119">B119&amp;"_"&amp;G119</f>
        <v>SLK_BRD_100x200</v>
      </c>
      <c r="D119" t="str" s="12" cm="1">
        <f t="array" ref="D119">$G119&amp;IF($B119="LED"," LED","")&amp;IF($V119="",""," ")&amp;$V119&amp;IF($M119="",""," ")&amp;$M119&amp;IF($W119="",""," ")&amp;$W119&amp;IF($X119="",""," ")&amp;$X119&amp;IF($Y119="",""," ")&amp;$Y119&amp;IF($AB119="",""," ")&amp;$AB119&amp;IF($AB119="","","mcd")</f>
        <v>BRD_100x200 Board Outline &amp; Milling</v>
      </c>
      <c r="E119" t="str" s="12" cm="1">
        <f t="array" ref="E119">$G119&amp;" "&amp;B119&amp;IF($V119="",""," ")&amp;$V119&amp;IF($M119="",""," ")&amp;$M119&amp;IF($W119="",""," ")&amp;$W119&amp;IF($X119="",""," ")&amp;$X119&amp;IF($Y119="",""," ")&amp;$Y119&amp;IF($AB119="",""," ")&amp;$AB119&amp;IF($AB119="","","mcd")</f>
        <v>BRD_100x200 SLK Board Outline &amp; Milling</v>
      </c>
      <c r="F119" t="str" s="11" cm="1">
        <f t="array" ref="F119">IF(ISBLANK(AH119),"",IF(AG119="LCSC",HYPERLINK("https://jlcpcb.com/partdetail/"&amp;$AH119,$AH119),IF(AG119="Mouser",$AH119,$AH119)))</f>
      </c>
      <c r="G119" t="str" s="11" cm="1">
        <f t="array" ref="G119">J119</f>
        <v>BRD_100x200</v>
      </c>
      <c r="H119" s="15"/>
      <c r="I119" t="s" s="10">
        <v>8</v>
      </c>
      <c r="J119" t="s" s="10">
        <v>1246</v>
      </c>
      <c r="K119" s="14"/>
      <c r="L119" t="s" s="10">
        <v>468</v>
      </c>
      <c r="M119" t="s" s="10">
        <v>1234</v>
      </c>
      <c r="N119" t="s" s="10">
        <v>1235</v>
      </c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t="s" s="10">
        <v>1236</v>
      </c>
      <c r="AE119" t="s" s="10">
        <v>1247</v>
      </c>
      <c r="AF119" s="14"/>
      <c r="AG119" s="14"/>
      <c r="AH119" s="14"/>
      <c r="AI119" s="14"/>
      <c r="AJ119" s="14"/>
      <c r="AK119" s="14"/>
    </row>
    <row r="120" ht="18.9" customHeight="1">
      <c r="B120" t="s" s="10">
        <v>1229</v>
      </c>
      <c r="C120" t="str" s="11" cm="1">
        <f t="array" ref="C120">B120&amp;"_"&amp;G120</f>
        <v>SLK_BRD_100x25x2</v>
      </c>
      <c r="D120" t="str" s="12" cm="1">
        <f t="array" ref="D120">$G120&amp;IF($B120="LED"," LED","")&amp;IF($V120="",""," ")&amp;$V120&amp;IF($M120="",""," ")&amp;$M120&amp;IF($W120="",""," ")&amp;$W120&amp;IF($X120="",""," ")&amp;$X120&amp;IF($Y120="",""," ")&amp;$Y120&amp;IF($AB120="",""," ")&amp;$AB120&amp;IF($AB120="","","mcd")</f>
        <v>BRD_100x25x2 Board Outline &amp; Milling</v>
      </c>
      <c r="E120" t="str" s="12" cm="1">
        <f t="array" ref="E120">$G120&amp;" "&amp;B120&amp;IF($V120="",""," ")&amp;$V120&amp;IF($M120="",""," ")&amp;$M120&amp;IF($W120="",""," ")&amp;$W120&amp;IF($X120="",""," ")&amp;$X120&amp;IF($Y120="",""," ")&amp;$Y120&amp;IF($AB120="",""," ")&amp;$AB120&amp;IF($AB120="","","mcd")</f>
        <v>BRD_100x25x2 SLK Board Outline &amp; Milling</v>
      </c>
      <c r="F120" t="str" s="11" cm="1">
        <f t="array" ref="F120">IF(ISBLANK(AH120),"",IF(AG120="LCSC",HYPERLINK("https://jlcpcb.com/partdetail/"&amp;$AH120,$AH120),IF(AG120="Mouser",$AH120,$AH120)))</f>
      </c>
      <c r="G120" t="str" s="11" cm="1">
        <f t="array" ref="G120">J120</f>
        <v>BRD_100x25x2</v>
      </c>
      <c r="H120" s="15"/>
      <c r="I120" t="s" s="10">
        <v>8</v>
      </c>
      <c r="J120" t="s" s="10">
        <v>1251</v>
      </c>
      <c r="K120" s="14"/>
      <c r="L120" t="s" s="10">
        <v>468</v>
      </c>
      <c r="M120" t="s" s="10">
        <v>1234</v>
      </c>
      <c r="N120" t="s" s="10">
        <v>1235</v>
      </c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t="s" s="10">
        <v>1236</v>
      </c>
      <c r="AE120" t="s" s="10">
        <v>1252</v>
      </c>
      <c r="AF120" s="14"/>
      <c r="AG120" s="14"/>
      <c r="AH120" s="14"/>
      <c r="AI120" s="14"/>
      <c r="AJ120" s="14"/>
      <c r="AK120" s="14"/>
    </row>
    <row r="121" ht="18.9" customHeight="1">
      <c r="B121" t="s" s="10">
        <v>1229</v>
      </c>
      <c r="C121" t="str" s="11" cm="1">
        <f t="array" ref="C121">B121&amp;"_"&amp;G121</f>
        <v>SLK_BRD_100x50</v>
      </c>
      <c r="D121" t="str" s="12" cm="1">
        <f t="array" ref="D121">$G121&amp;IF($B121="LED"," LED","")&amp;IF($V121="",""," ")&amp;$V121&amp;IF($M121="",""," ")&amp;$M121&amp;IF($W121="",""," ")&amp;$W121&amp;IF($X121="",""," ")&amp;$X121&amp;IF($Y121="",""," ")&amp;$Y121&amp;IF($AB121="",""," ")&amp;$AB121&amp;IF($AB121="","","mcd")</f>
        <v>BRD_100x50 Board Outline &amp; Milling</v>
      </c>
      <c r="E121" t="str" s="12" cm="1">
        <f t="array" ref="E121">$G121&amp;" "&amp;B121&amp;IF($V121="",""," ")&amp;$V121&amp;IF($M121="",""," ")&amp;$M121&amp;IF($W121="",""," ")&amp;$W121&amp;IF($X121="",""," ")&amp;$X121&amp;IF($Y121="",""," ")&amp;$Y121&amp;IF($AB121="",""," ")&amp;$AB121&amp;IF($AB121="","","mcd")</f>
        <v>BRD_100x50 SLK Board Outline &amp; Milling</v>
      </c>
      <c r="F121" t="str" s="11" cm="1">
        <f t="array" ref="F121">IF(ISBLANK(AH121),"",IF(AG121="LCSC",HYPERLINK("https://jlcpcb.com/partdetail/"&amp;$AH121,$AH121),IF(AG121="Mouser",$AH121,$AH121)))</f>
      </c>
      <c r="G121" t="str" s="11" cm="1">
        <f t="array" ref="G121">J121</f>
        <v>BRD_100x50</v>
      </c>
      <c r="H121" s="15"/>
      <c r="I121" t="s" s="10">
        <v>8</v>
      </c>
      <c r="J121" t="s" s="10">
        <v>1256</v>
      </c>
      <c r="K121" s="14"/>
      <c r="L121" t="s" s="10">
        <v>468</v>
      </c>
      <c r="M121" t="s" s="10">
        <v>1234</v>
      </c>
      <c r="N121" t="s" s="10">
        <v>1235</v>
      </c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t="s" s="10">
        <v>1236</v>
      </c>
      <c r="AE121" t="s" s="10">
        <v>1257</v>
      </c>
      <c r="AF121" s="14"/>
      <c r="AG121" s="14"/>
      <c r="AH121" s="14"/>
      <c r="AI121" s="14"/>
      <c r="AJ121" s="14"/>
      <c r="AK121" s="14"/>
    </row>
    <row r="122" ht="18.9" customHeight="1">
      <c r="B122" t="s" s="10">
        <v>1229</v>
      </c>
      <c r="C122" t="str" s="11" cm="1">
        <f t="array" ref="C122">B122&amp;"_"&amp;G122</f>
        <v>SLK_BRD_100x75</v>
      </c>
      <c r="D122" t="str" s="12" cm="1">
        <f t="array" ref="D122">$G122&amp;IF($B122="LED"," LED","")&amp;IF($V122="",""," ")&amp;$V122&amp;IF($M122="",""," ")&amp;$M122&amp;IF($W122="",""," ")&amp;$W122&amp;IF($X122="",""," ")&amp;$X122&amp;IF($Y122="",""," ")&amp;$Y122&amp;IF($AB122="",""," ")&amp;$AB122&amp;IF($AB122="","","mcd")</f>
        <v>BRD_100x75 Board Outline &amp; Milling</v>
      </c>
      <c r="E122" t="str" s="12" cm="1">
        <f t="array" ref="E122">$G122&amp;" "&amp;B122&amp;IF($V122="",""," ")&amp;$V122&amp;IF($M122="",""," ")&amp;$M122&amp;IF($W122="",""," ")&amp;$W122&amp;IF($X122="",""," ")&amp;$X122&amp;IF($Y122="",""," ")&amp;$Y122&amp;IF($AB122="",""," ")&amp;$AB122&amp;IF($AB122="","","mcd")</f>
        <v>BRD_100x75 SLK Board Outline &amp; Milling</v>
      </c>
      <c r="F122" t="str" s="11" cm="1">
        <f t="array" ref="F122">IF(ISBLANK(AH122),"",IF(AG122="LCSC",HYPERLINK("https://jlcpcb.com/partdetail/"&amp;$AH122,$AH122),IF(AG122="Mouser",$AH122,$AH122)))</f>
      </c>
      <c r="G122" t="str" s="11" cm="1">
        <f t="array" ref="G122">J122</f>
        <v>BRD_100x75</v>
      </c>
      <c r="H122" s="15"/>
      <c r="I122" t="s" s="10">
        <v>8</v>
      </c>
      <c r="J122" t="s" s="10">
        <v>1261</v>
      </c>
      <c r="K122" s="14"/>
      <c r="L122" t="s" s="10">
        <v>468</v>
      </c>
      <c r="M122" t="s" s="10">
        <v>1234</v>
      </c>
      <c r="N122" t="s" s="10">
        <v>1235</v>
      </c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t="s" s="10">
        <v>1236</v>
      </c>
      <c r="AE122" t="s" s="10">
        <v>1262</v>
      </c>
      <c r="AF122" s="14"/>
      <c r="AG122" s="14"/>
      <c r="AH122" s="14"/>
      <c r="AI122" s="14"/>
      <c r="AJ122" s="14"/>
      <c r="AK122" s="14"/>
    </row>
    <row r="123" ht="18.9" customHeight="1">
      <c r="B123" t="s" s="10">
        <v>1229</v>
      </c>
      <c r="C123" t="str" s="11" cm="1">
        <f t="array" ref="C123">B123&amp;"_"&amp;G123</f>
        <v>SLK_BRD_100x75</v>
      </c>
      <c r="D123" t="str" s="12" cm="1">
        <f t="array" ref="D123">$G123&amp;IF($B123="LED"," LED","")&amp;IF($V123="",""," ")&amp;$V123&amp;IF($M123="",""," ")&amp;$M123&amp;IF($W123="",""," ")&amp;$W123&amp;IF($X123="",""," ")&amp;$X123&amp;IF($Y123="",""," ")&amp;$Y123&amp;IF($AB123="",""," ")&amp;$AB123&amp;IF($AB123="","","mcd")</f>
        <v>BRD_100x75 Board Outline &amp; Milling</v>
      </c>
      <c r="E123" t="str" s="12" cm="1">
        <f t="array" ref="E123">$G123&amp;" "&amp;B123&amp;IF($V123="",""," ")&amp;$V123&amp;IF($M123="",""," ")&amp;$M123&amp;IF($W123="",""," ")&amp;$W123&amp;IF($X123="",""," ")&amp;$X123&amp;IF($Y123="",""," ")&amp;$Y123&amp;IF($AB123="",""," ")&amp;$AB123&amp;IF($AB123="","","mcd")</f>
        <v>BRD_100x75 SLK Board Outline &amp; Milling</v>
      </c>
      <c r="F123" t="str" s="11" cm="1">
        <f t="array" ref="F123">IF(ISBLANK(AH123),"",IF(AG123="LCSC",HYPERLINK("https://jlcpcb.com/partdetail/"&amp;$AH123,$AH123),IF(AG123="Mouser",$AH123,$AH123)))</f>
      </c>
      <c r="G123" t="str" s="11" cm="1">
        <f t="array" ref="G123">J123</f>
        <v>BRD_100x75</v>
      </c>
      <c r="H123" s="15"/>
      <c r="I123" t="s" s="10">
        <v>8</v>
      </c>
      <c r="J123" t="s" s="10">
        <v>1261</v>
      </c>
      <c r="K123" s="14"/>
      <c r="L123" t="s" s="10">
        <v>468</v>
      </c>
      <c r="M123" t="s" s="10">
        <v>1234</v>
      </c>
      <c r="N123" t="s" s="10">
        <v>1263</v>
      </c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t="s" s="10">
        <v>1236</v>
      </c>
      <c r="AE123" t="s" s="10">
        <v>1264</v>
      </c>
      <c r="AF123" s="14"/>
      <c r="AG123" s="14"/>
      <c r="AH123" s="14"/>
      <c r="AI123" s="14"/>
      <c r="AJ123" s="14"/>
      <c r="AK123" s="14"/>
    </row>
    <row r="124" ht="18.9" customHeight="1">
      <c r="B124" t="s" s="10">
        <v>1229</v>
      </c>
      <c r="C124" t="str" s="11" cm="1">
        <f t="array" ref="C124">B124&amp;"_"&amp;G124</f>
        <v>SLK_BRD_80x100</v>
      </c>
      <c r="D124" t="str" s="12" cm="1">
        <f t="array" ref="D124">$G124&amp;IF($B124="LED"," LED","")&amp;IF($V124="",""," ")&amp;$V124&amp;IF($M124="",""," ")&amp;$M124&amp;IF($W124="",""," ")&amp;$W124&amp;IF($X124="",""," ")&amp;$X124&amp;IF($Y124="",""," ")&amp;$Y124&amp;IF($AB124="",""," ")&amp;$AB124&amp;IF($AB124="","","mcd")</f>
        <v>BRD_80x100 Board Outline &amp; Milling</v>
      </c>
      <c r="E124" t="str" s="12" cm="1">
        <f t="array" ref="E124">C124&amp;" "&amp;$G124&amp;" "&amp;B124&amp;IF($V124="",""," ")&amp;$V124&amp;IF($M124="",""," ")&amp;$M124&amp;IF($W124="",""," ")&amp;$W124&amp;IF($X124="",""," ")&amp;$X124&amp;IF($Y124="",""," ")&amp;$Y124&amp;IF($AB124="",""," ")&amp;$AB124&amp;IF($AB124="","","mcd")</f>
        <v>SLK_BRD_80x100 BRD_80x100 SLK Board Outline &amp; Milling</v>
      </c>
      <c r="F124" t="str" s="11" cm="1">
        <f t="array" ref="F124">IF(ISBLANK(AH124),"",IF(AG124="LCSC",HYPERLINK("https://jlcpcb.com/partdetail/"&amp;$AH124,$AH124),IF(AG124="Mouser",$AH124,$AH124)))</f>
      </c>
      <c r="G124" t="str" s="11" cm="1">
        <f t="array" ref="G124">J124</f>
        <v>BRD_80x100</v>
      </c>
      <c r="H124" s="15"/>
      <c r="I124" t="s" s="10">
        <v>8</v>
      </c>
      <c r="J124" t="s" s="10">
        <v>1268</v>
      </c>
      <c r="K124" s="14"/>
      <c r="L124" t="s" s="10">
        <v>468</v>
      </c>
      <c r="M124" t="s" s="10">
        <v>1234</v>
      </c>
      <c r="N124" t="s" s="10">
        <v>1269</v>
      </c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t="s" s="10">
        <v>1236</v>
      </c>
      <c r="AE124" t="s" s="10">
        <v>1270</v>
      </c>
      <c r="AF124" s="14"/>
      <c r="AG124" s="14"/>
      <c r="AH124" s="14"/>
      <c r="AI124" s="14"/>
      <c r="AJ124" s="14"/>
      <c r="AK124" s="14"/>
    </row>
    <row r="125" ht="18.9" customHeight="1">
      <c r="B125" t="s" s="10">
        <v>1229</v>
      </c>
      <c r="C125" t="str" s="11" cm="1">
        <f t="array" ref="C125">B125&amp;"_"&amp;G125</f>
        <v>SLK_CA65</v>
      </c>
      <c r="D125" t="str" s="12" cm="1">
        <f t="array" ref="D125">$G125&amp;IF($B125="LED"," LED","")&amp;IF($V125="",""," ")&amp;$V125&amp;IF($M125="",""," ")&amp;$M125&amp;IF($W125="",""," ")&amp;$W125&amp;IF($X125="",""," ")&amp;$X125&amp;IF($Y125="",""," ")&amp;$Y125&amp;IF($AB125="",""," ")&amp;$AB125&amp;IF($AB125="","","mcd")</f>
        <v>CA65 SilkScreen</v>
      </c>
      <c r="E125" t="str" s="12" cm="1">
        <f t="array" ref="E125">$G125&amp;" "&amp;B125&amp;IF($V125="",""," ")&amp;$V125&amp;IF($M125="",""," ")&amp;$M125&amp;IF($W125="",""," ")&amp;$W125&amp;IF($X125="",""," ")&amp;$X125&amp;IF($Y125="",""," ")&amp;$Y125&amp;IF($AB125="",""," ")&amp;$AB125&amp;IF($AB125="","","mcd")</f>
        <v>CA65 SLK SilkScreen</v>
      </c>
      <c r="F125" t="str" s="11" cm="1">
        <f t="array" ref="F125">IF(ISBLANK(AH125),"",IF(AG125="LCSC",HYPERLINK("https://jlcpcb.com/partdetail/"&amp;$AH125,$AH125),IF(AG125="Mouser",$AH125,$AH125)))</f>
      </c>
      <c r="G125" t="str" s="11" cm="1">
        <f t="array" ref="G125">J125</f>
        <v>CA65</v>
      </c>
      <c r="H125" s="15"/>
      <c r="I125" t="s" s="10">
        <v>8</v>
      </c>
      <c r="J125" t="s" s="10">
        <v>1274</v>
      </c>
      <c r="K125" s="14"/>
      <c r="L125" t="s" s="10">
        <v>468</v>
      </c>
      <c r="M125" t="s" s="10">
        <v>1275</v>
      </c>
      <c r="N125" t="s" s="10">
        <v>1276</v>
      </c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t="s" s="10">
        <v>1277</v>
      </c>
      <c r="AE125" t="s" s="10">
        <v>1278</v>
      </c>
      <c r="AF125" s="14"/>
      <c r="AG125" s="14"/>
      <c r="AH125" s="14"/>
      <c r="AI125" s="14"/>
      <c r="AJ125" s="14"/>
      <c r="AK125" s="14"/>
    </row>
    <row r="126" ht="18.9" customHeight="1">
      <c r="B126" t="s" s="10">
        <v>1229</v>
      </c>
      <c r="C126" t="str" s="11" cm="1">
        <f t="array" ref="C126">B126&amp;"_"&amp;G126</f>
        <v>SLK_CC-by-sa</v>
      </c>
      <c r="D126" t="str" s="12" cm="1">
        <f t="array" ref="D126">$G126&amp;IF($B126="LED"," LED","")&amp;IF($V126="",""," ")&amp;$V126&amp;IF($M126="",""," ")&amp;$M126&amp;IF($W126="",""," ")&amp;$W126&amp;IF($X126="",""," ")&amp;$X126&amp;IF($Y126="",""," ")&amp;$Y126&amp;IF($AB126="",""," ")&amp;$AB126&amp;IF($AB126="","","mcd")</f>
        <v>CC-by-sa SilkScreen</v>
      </c>
      <c r="E126" t="str" s="12" cm="1">
        <f t="array" ref="E126">$G126&amp;" "&amp;B126&amp;IF($V126="",""," ")&amp;$V126&amp;IF($M126="",""," ")&amp;$M126&amp;IF($W126="",""," ")&amp;$W126&amp;IF($X126="",""," ")&amp;$X126&amp;IF($Y126="",""," ")&amp;$Y126&amp;IF($AB126="",""," ")&amp;$AB126&amp;IF($AB126="","","mcd")</f>
        <v>CC-by-sa SLK SilkScreen</v>
      </c>
      <c r="F126" t="str" s="11" cm="1">
        <f t="array" ref="F126">IF(ISBLANK(AH126),"",IF(AG126="LCSC",HYPERLINK("https://jlcpcb.com/partdetail/"&amp;$AH126,$AH126),IF(AG126="Mouser",$AH126,$AH126)))</f>
      </c>
      <c r="G126" t="str" s="11" cm="1">
        <f t="array" ref="G126">J126</f>
        <v>CC-by-sa</v>
      </c>
      <c r="H126" s="15"/>
      <c r="I126" t="s" s="10">
        <v>8</v>
      </c>
      <c r="J126" t="s" s="10">
        <v>1282</v>
      </c>
      <c r="K126" s="14"/>
      <c r="L126" t="s" s="10">
        <v>468</v>
      </c>
      <c r="M126" t="s" s="10">
        <v>1275</v>
      </c>
      <c r="N126" t="s" s="10">
        <v>1283</v>
      </c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t="s" s="10">
        <v>1284</v>
      </c>
      <c r="AE126" t="s" s="10">
        <v>1285</v>
      </c>
      <c r="AF126" s="14"/>
      <c r="AG126" s="14"/>
      <c r="AH126" s="14"/>
      <c r="AI126" s="14"/>
      <c r="AJ126" s="14"/>
      <c r="AK126" s="14"/>
    </row>
    <row r="127" ht="18.9" customHeight="1">
      <c r="B127" t="s" s="10">
        <v>1229</v>
      </c>
      <c r="C127" t="str" s="11" cm="1">
        <f t="array" ref="C127">B127&amp;"_"&amp;G127</f>
        <v>SLK_DCPower-</v>
      </c>
      <c r="D127" t="str" s="12" cm="1">
        <f t="array" ref="D127">$G127&amp;IF($B127="LED"," LED","")&amp;IF($V127="",""," ")&amp;$V127&amp;IF($M127="",""," ")&amp;$M127&amp;IF($W127="",""," ")&amp;$W127&amp;IF($X127="",""," ")&amp;$X127&amp;IF($Y127="",""," ")&amp;$Y127&amp;IF($AB127="",""," ")&amp;$AB127&amp;IF($AB127="","","mcd")</f>
        <v>DCPower- SilkScreen</v>
      </c>
      <c r="E127" t="str" s="12" cm="1">
        <f t="array" ref="E127">$G127&amp;" "&amp;B127&amp;IF($V127="",""," ")&amp;$V127&amp;IF($M127="",""," ")&amp;$M127&amp;IF($W127="",""," ")&amp;$W127&amp;IF($X127="",""," ")&amp;$X127&amp;IF($Y127="",""," ")&amp;$Y127&amp;IF($AB127="",""," ")&amp;$AB127&amp;IF($AB127="","","mcd")</f>
        <v>DCPower- SLK SilkScreen</v>
      </c>
      <c r="F127" t="str" s="11" cm="1">
        <f t="array" ref="F127">IF(ISBLANK(AH127),"",IF(AG127="LCSC",HYPERLINK("https://jlcpcb.com/partdetail/"&amp;$AH127,$AH127),IF(AG127="Mouser",$AH127,$AH127)))</f>
      </c>
      <c r="G127" t="str" s="11" cm="1">
        <f t="array" ref="G127">J127</f>
        <v>DCPower-</v>
      </c>
      <c r="H127" s="15"/>
      <c r="I127" t="s" s="10">
        <v>8</v>
      </c>
      <c r="J127" t="s" s="10">
        <v>1289</v>
      </c>
      <c r="K127" s="14"/>
      <c r="L127" t="s" s="10">
        <v>468</v>
      </c>
      <c r="M127" t="s" s="10">
        <v>1275</v>
      </c>
      <c r="N127" t="s" s="10">
        <v>1290</v>
      </c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t="s" s="10">
        <v>1291</v>
      </c>
      <c r="AE127" t="s" s="10">
        <v>1292</v>
      </c>
      <c r="AF127" s="14"/>
      <c r="AG127" s="14"/>
      <c r="AH127" s="14"/>
      <c r="AI127" s="14"/>
      <c r="AJ127" s="14"/>
      <c r="AK127" s="14"/>
    </row>
    <row r="128" ht="18.9" customHeight="1">
      <c r="B128" t="s" s="10">
        <v>1229</v>
      </c>
      <c r="C128" t="str" s="11" cm="1">
        <f t="array" ref="C128">B128&amp;"_"&amp;G128</f>
        <v>SLK_DCPower+</v>
      </c>
      <c r="D128" t="str" s="12" cm="1">
        <f t="array" ref="D128">$G128&amp;IF($B128="LED"," LED","")&amp;IF($V128="",""," ")&amp;$V128&amp;IF($M128="",""," ")&amp;$M128&amp;IF($W128="",""," ")&amp;$W128&amp;IF($X128="",""," ")&amp;$X128&amp;IF($Y128="",""," ")&amp;$Y128&amp;IF($AB128="",""," ")&amp;$AB128&amp;IF($AB128="","","mcd")</f>
        <v>DCPower+ SilkScreen</v>
      </c>
      <c r="E128" t="str" s="12" cm="1">
        <f t="array" ref="E128">$G128&amp;" "&amp;B128&amp;IF($V128="",""," ")&amp;$V128&amp;IF($M128="",""," ")&amp;$M128&amp;IF($W128="",""," ")&amp;$W128&amp;IF($X128="",""," ")&amp;$X128&amp;IF($Y128="",""," ")&amp;$Y128&amp;IF($AB128="",""," ")&amp;$AB128&amp;IF($AB128="","","mcd")</f>
        <v>DCPower+ SLK SilkScreen</v>
      </c>
      <c r="F128" t="str" s="11" cm="1">
        <f t="array" ref="F128">IF(ISBLANK(AH128),"",IF(AG128="LCSC",HYPERLINK("https://jlcpcb.com/partdetail/"&amp;$AH128,$AH128),IF(AG128="Mouser",$AH128,$AH128)))</f>
      </c>
      <c r="G128" t="str" s="11" cm="1">
        <f t="array" ref="G128">J128</f>
        <v>DCPower+</v>
      </c>
      <c r="H128" s="15"/>
      <c r="I128" t="s" s="10">
        <v>8</v>
      </c>
      <c r="J128" t="s" s="10">
        <v>1296</v>
      </c>
      <c r="K128" s="14"/>
      <c r="L128" t="s" s="10">
        <v>468</v>
      </c>
      <c r="M128" t="s" s="10">
        <v>1275</v>
      </c>
      <c r="N128" t="s" s="10">
        <v>1290</v>
      </c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t="s" s="10">
        <v>1297</v>
      </c>
      <c r="AE128" t="s" s="10">
        <v>1298</v>
      </c>
      <c r="AF128" s="14"/>
      <c r="AG128" s="14"/>
      <c r="AH128" s="14"/>
      <c r="AI128" s="14"/>
      <c r="AJ128" s="14"/>
      <c r="AK128" s="14"/>
    </row>
    <row r="129" ht="18.9" customHeight="1">
      <c r="B129" t="s" s="10">
        <v>1229</v>
      </c>
      <c r="C129" t="str" s="11" cm="1">
        <f t="array" ref="C129">B129&amp;"_"&amp;G129</f>
        <v>SLK_Logo_MRCS</v>
      </c>
      <c r="D129" t="str" s="12" cm="1">
        <f t="array" ref="D129">$G129&amp;IF($B129="LED"," LED","")&amp;IF($V129="",""," ")&amp;$V129&amp;IF($M129="",""," ")&amp;$M129&amp;IF($W129="",""," ")&amp;$W129&amp;IF($X129="",""," ")&amp;$X129&amp;IF($Y129="",""," ")&amp;$Y129&amp;IF($AB129="",""," ")&amp;$AB129&amp;IF($AB129="","","mcd")</f>
        <v>Logo_MRCS SilkScreen</v>
      </c>
      <c r="E129" t="str" s="12" cm="1">
        <f t="array" ref="E129">$G129&amp;" "&amp;B129&amp;IF($V129="",""," ")&amp;$V129&amp;IF($M129="",""," ")&amp;$M129&amp;IF($W129="",""," ")&amp;$W129&amp;IF($X129="",""," ")&amp;$X129&amp;IF($Y129="",""," ")&amp;$Y129&amp;IF($AB129="",""," ")&amp;$AB129&amp;IF($AB129="","","mcd")</f>
        <v>Logo_MRCS SLK SilkScreen</v>
      </c>
      <c r="F129" t="str" s="11" cm="1">
        <f t="array" ref="F129">IF(ISBLANK(AH129),"",IF(AG129="LCSC",HYPERLINK("https://jlcpcb.com/partdetail/"&amp;$AH129,$AH129),IF(AG129="Mouser",$AH129,$AH129)))</f>
      </c>
      <c r="G129" t="str" s="11" cm="1">
        <f t="array" ref="G129">J129</f>
        <v>Logo_MRCS</v>
      </c>
      <c r="H129" s="15"/>
      <c r="I129" t="s" s="10">
        <v>8</v>
      </c>
      <c r="J129" t="s" s="10">
        <v>1302</v>
      </c>
      <c r="K129" s="14"/>
      <c r="L129" t="s" s="10">
        <v>468</v>
      </c>
      <c r="M129" t="s" s="10">
        <v>1275</v>
      </c>
      <c r="N129" t="s" s="10">
        <v>1303</v>
      </c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t="s" s="10">
        <v>1304</v>
      </c>
      <c r="AE129" t="s" s="10">
        <v>1305</v>
      </c>
      <c r="AF129" s="14"/>
      <c r="AG129" s="14"/>
      <c r="AH129" s="14"/>
      <c r="AI129" s="14"/>
      <c r="AJ129" s="14"/>
      <c r="AK129" s="14"/>
    </row>
    <row r="130" ht="18.9" customHeight="1">
      <c r="B130" t="s" s="10">
        <v>1229</v>
      </c>
      <c r="C130" t="str" s="11" cm="1">
        <f t="array" ref="C130">B130&amp;"_"&amp;G130</f>
        <v>SLK_Logo_SPCoast</v>
      </c>
      <c r="D130" t="str" s="12" cm="1">
        <f t="array" ref="D130">$G130&amp;IF($B130="LED"," LED","")&amp;IF($V130="",""," ")&amp;$V130&amp;IF($M130="",""," ")&amp;$M130&amp;IF($W130="",""," ")&amp;$W130&amp;IF($X130="",""," ")&amp;$X130&amp;IF($Y130="",""," ")&amp;$Y130&amp;IF($AB130="",""," ")&amp;$AB130&amp;IF($AB130="","","mcd")</f>
        <v>Logo_SPCoast SilkScreen</v>
      </c>
      <c r="E130" t="str" s="12" cm="1">
        <f t="array" ref="E130">$G130&amp;" "&amp;B130&amp;IF($V130="",""," ")&amp;$V130&amp;IF($M130="",""," ")&amp;$M130&amp;IF($W130="",""," ")&amp;$W130&amp;IF($X130="",""," ")&amp;$X130&amp;IF($Y130="",""," ")&amp;$Y130&amp;IF($AB130="",""," ")&amp;$AB130&amp;IF($AB130="","","mcd")</f>
        <v>Logo_SPCoast SLK SilkScreen</v>
      </c>
      <c r="F130" t="str" s="11" cm="1">
        <f t="array" ref="F130">IF(ISBLANK(AH130),"",IF(AG130="LCSC",HYPERLINK("https://jlcpcb.com/partdetail/"&amp;$AH130,$AH130),IF(AG130="Mouser",$AH130,$AH130)))</f>
      </c>
      <c r="G130" t="str" s="11" cm="1">
        <f t="array" ref="G130">J130</f>
        <v>Logo_SPCoast</v>
      </c>
      <c r="H130" s="15"/>
      <c r="I130" t="s" s="10">
        <v>8</v>
      </c>
      <c r="J130" t="s" s="10">
        <v>1309</v>
      </c>
      <c r="K130" s="14"/>
      <c r="L130" t="s" s="10">
        <v>468</v>
      </c>
      <c r="M130" t="s" s="10">
        <v>1275</v>
      </c>
      <c r="N130" t="s" s="10">
        <v>1310</v>
      </c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t="s" s="10">
        <v>1311</v>
      </c>
      <c r="AE130" t="s" s="10">
        <v>1312</v>
      </c>
      <c r="AF130" s="14"/>
      <c r="AG130" s="14"/>
      <c r="AH130" s="14"/>
      <c r="AI130" s="14"/>
      <c r="AJ130" s="14"/>
      <c r="AK130" s="14"/>
    </row>
    <row r="131" ht="18.9" customHeight="1">
      <c r="B131" t="s" s="10">
        <v>1229</v>
      </c>
      <c r="C131" t="str" s="11" cm="1">
        <f t="array" ref="C131">B131&amp;"_"&amp;G131</f>
        <v>SLK_Power_Draw</v>
      </c>
      <c r="D131" t="str" s="12" cm="1">
        <f t="array" ref="D131">$G131&amp;IF($B131="LED"," LED","")&amp;IF($V131="",""," ")&amp;$V131&amp;IF($M131="",""," ")&amp;$M131&amp;IF($W131="",""," ")&amp;$W131&amp;IF($X131="",""," ")&amp;$X131&amp;IF($Y131="",""," ")&amp;$Y131&amp;IF($AB131="",""," ")&amp;$AB131&amp;IF($AB131="","","mcd")</f>
        <v>Power_Draw SilkScreen</v>
      </c>
      <c r="E131" t="str" s="12" cm="1">
        <f t="array" ref="E131">$G131&amp;" "&amp;B131&amp;IF($V131="",""," ")&amp;$V131&amp;IF($M131="",""," ")&amp;$M131&amp;IF($W131="",""," ")&amp;$W131&amp;IF($X131="",""," ")&amp;$X131&amp;IF($Y131="",""," ")&amp;$Y131&amp;IF($AB131="",""," ")&amp;$AB131&amp;IF($AB131="","","mcd")</f>
        <v>Power_Draw SLK SilkScreen</v>
      </c>
      <c r="F131" t="str" s="11" cm="1">
        <f t="array" ref="F131">IF(ISBLANK(AH131),"",IF(AG131="LCSC",HYPERLINK("https://jlcpcb.com/partdetail/"&amp;$AH131,$AH131),IF(AG131="Mouser",$AH131,$AH131)))</f>
      </c>
      <c r="G131" t="str" s="11" cm="1">
        <f t="array" ref="G131">J131</f>
        <v>Power_Draw</v>
      </c>
      <c r="H131" s="15"/>
      <c r="I131" t="s" s="10">
        <v>8</v>
      </c>
      <c r="J131" t="s" s="10">
        <v>1316</v>
      </c>
      <c r="K131" s="14"/>
      <c r="L131" t="s" s="10">
        <v>468</v>
      </c>
      <c r="M131" t="s" s="10">
        <v>1275</v>
      </c>
      <c r="N131" t="s" s="10">
        <v>1317</v>
      </c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t="s" s="10">
        <v>1318</v>
      </c>
      <c r="AE131" t="s" s="10">
        <v>1319</v>
      </c>
      <c r="AF131" s="14"/>
      <c r="AG131" s="14"/>
      <c r="AH131" s="14"/>
      <c r="AI131" s="14"/>
      <c r="AJ131" s="14"/>
      <c r="AK131" s="14"/>
    </row>
    <row r="132" ht="18.9" customHeight="1">
      <c r="B132" t="s" s="10">
        <v>1229</v>
      </c>
      <c r="C132" t="str" s="11" cm="1">
        <f t="array" ref="C132">B132&amp;"_"&amp;G132</f>
        <v>SLK_Power_Provide</v>
      </c>
      <c r="D132" t="str" s="12" cm="1">
        <f t="array" ref="D132">$G132&amp;IF($B132="LED"," LED","")&amp;IF($V132="",""," ")&amp;$V132&amp;IF($M132="",""," ")&amp;$M132&amp;IF($W132="",""," ")&amp;$W132&amp;IF($X132="",""," ")&amp;$X132&amp;IF($Y132="",""," ")&amp;$Y132&amp;IF($AB132="",""," ")&amp;$AB132&amp;IF($AB132="","","mcd")</f>
        <v>Power_Provide SilkScreen</v>
      </c>
      <c r="E132" t="str" s="12" cm="1">
        <f t="array" ref="E132">$G132&amp;" "&amp;B132&amp;IF($V132="",""," ")&amp;$V132&amp;IF($M132="",""," ")&amp;$M132&amp;IF($W132="",""," ")&amp;$W132&amp;IF($X132="",""," ")&amp;$X132&amp;IF($Y132="",""," ")&amp;$Y132&amp;IF($AB132="",""," ")&amp;$AB132&amp;IF($AB132="","","mcd")</f>
        <v>Power_Provide SLK SilkScreen</v>
      </c>
      <c r="F132" t="str" s="11" cm="1">
        <f t="array" ref="F132">IF(ISBLANK(AH132),"",IF(AG132="LCSC",HYPERLINK("https://jlcpcb.com/partdetail/"&amp;$AH132,$AH132),IF(AG132="Mouser",$AH132,$AH132)))</f>
      </c>
      <c r="G132" t="str" s="11" cm="1">
        <f t="array" ref="G132">J132</f>
        <v>Power_Provide</v>
      </c>
      <c r="H132" s="15"/>
      <c r="I132" t="s" s="10">
        <v>8</v>
      </c>
      <c r="J132" t="s" s="10">
        <v>1323</v>
      </c>
      <c r="K132" s="14"/>
      <c r="L132" t="s" s="10">
        <v>468</v>
      </c>
      <c r="M132" t="s" s="10">
        <v>1275</v>
      </c>
      <c r="N132" t="s" s="10">
        <v>1324</v>
      </c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t="s" s="10">
        <v>1325</v>
      </c>
      <c r="AE132" t="s" s="10">
        <v>1326</v>
      </c>
      <c r="AF132" s="14"/>
      <c r="AG132" s="14"/>
      <c r="AH132" s="14"/>
      <c r="AI132" s="14"/>
      <c r="AJ132" s="14"/>
      <c r="AK132" s="14"/>
    </row>
    <row r="133" ht="18.9" customHeight="1">
      <c r="B133" t="s" s="10">
        <v>1327</v>
      </c>
      <c r="C133" t="str" s="11" cm="1">
        <f t="array" ref="C133">B133&amp;"_"&amp;G133</f>
        <v>SWI_6x6x6mm_PTH</v>
      </c>
      <c r="D133" t="str" s="12" cm="1">
        <f t="array" ref="D133">$G133&amp;IF($B133="LED"," LED","")&amp;IF($V133="",""," ")&amp;$V133&amp;IF($M133="",""," ")&amp;$M133&amp;IF($W133="",""," ")&amp;$W133&amp;IF($X133="",""," ")&amp;$X133&amp;IF($Y133="",""," ")&amp;$Y133&amp;IF($AB133="",""," ")&amp;$AB133&amp;IF($AB133="","","mcd")</f>
        <v>6x6x6mm_PTH SPSTx1 6mm Momentary</v>
      </c>
      <c r="E133" t="str" s="12" cm="1">
        <f t="array" ref="E133">$G133&amp;" "&amp;B133&amp;IF($V133="",""," ")&amp;$V133&amp;IF($M133="",""," ")&amp;$M133&amp;IF($W133="",""," ")&amp;$W133&amp;IF($X133="",""," ")&amp;$X133&amp;IF($Y133="",""," ")&amp;$Y133&amp;IF($AB133="",""," ")&amp;$AB133&amp;IF($AB133="","","mcd")</f>
        <v>6x6x6mm_PTH SWI SPSTx1 6mm Momentary</v>
      </c>
      <c r="F133" t="str" s="11" cm="1">
        <f t="array" ref="F133">IF(ISBLANK(AH133),"",IF(AG133="LCSC",HYPERLINK("https://jlcpcb.com/partdetail/"&amp;$AH133,$AH133),IF(AG133="Mouser",$AH133,$AH133)))</f>
        <v>C5340138</v>
      </c>
      <c r="G133" t="str" s="11" cm="1">
        <f t="array" ref="G133">J133</f>
        <v>6x6x6mm_PTH</v>
      </c>
      <c r="H133" s="15"/>
      <c r="I133" s="14"/>
      <c r="J133" t="s" s="10">
        <v>1332</v>
      </c>
      <c r="K133" s="14"/>
      <c r="L133" t="s" s="10">
        <v>96</v>
      </c>
      <c r="M133" t="s" s="10">
        <v>1333</v>
      </c>
      <c r="N133" t="s" s="10">
        <v>1334</v>
      </c>
      <c r="O133" s="10"/>
      <c r="P133" s="10"/>
      <c r="Q133" s="10"/>
      <c r="R133" t="s" s="10">
        <v>1335</v>
      </c>
      <c r="S133" s="10"/>
      <c r="T133" t="s" s="10">
        <v>1336</v>
      </c>
      <c r="U133" s="10"/>
      <c r="V133" s="10"/>
      <c r="W133" s="10"/>
      <c r="X133" s="10"/>
      <c r="Y133" s="10"/>
      <c r="Z133" s="10"/>
      <c r="AA133" s="10"/>
      <c r="AB133" s="10"/>
      <c r="AC133" s="10"/>
      <c r="AD133" t="s" s="10">
        <v>1337</v>
      </c>
      <c r="AE133" t="s" s="10">
        <v>1338</v>
      </c>
      <c r="AF133" s="14"/>
      <c r="AG133" t="s" s="10">
        <v>50</v>
      </c>
      <c r="AH133" t="s" s="10">
        <v>1339</v>
      </c>
      <c r="AI133" t="s" s="10">
        <v>1340</v>
      </c>
      <c r="AJ133" t="s" s="10">
        <v>1341</v>
      </c>
      <c r="AK133" t="s" s="10">
        <v>1342</v>
      </c>
    </row>
    <row r="134" ht="18.9" customHeight="1">
      <c r="B134" t="s" s="10">
        <v>1327</v>
      </c>
      <c r="C134" t="str" s="11" cm="1">
        <f t="array" ref="C134">B134&amp;"_"&amp;G134</f>
        <v>SWI_6x6x6mm_SMD</v>
      </c>
      <c r="D134" t="str" s="12" cm="1">
        <f t="array" ref="D134">$G134&amp;IF($B134="LED"," LED","")&amp;IF($V134="",""," ")&amp;$V134&amp;IF($M134="",""," ")&amp;$M134&amp;IF($W134="",""," ")&amp;$W134&amp;IF($X134="",""," ")&amp;$X134&amp;IF($Y134="",""," ")&amp;$Y134&amp;IF($AB134="",""," ")&amp;$AB134&amp;IF($AB134="","","mcd")</f>
        <v>6x6x6mm_SMD SPSTx1 6mm Momentary</v>
      </c>
      <c r="E134" t="str" s="12" cm="1">
        <f t="array" ref="E134">$G134&amp;" "&amp;B134&amp;IF($V134="",""," ")&amp;$V134&amp;IF($M134="",""," ")&amp;$M134&amp;IF($W134="",""," ")&amp;$W134&amp;IF($X134="",""," ")&amp;$X134&amp;IF($Y134="",""," ")&amp;$Y134&amp;IF($AB134="",""," ")&amp;$AB134&amp;IF($AB134="","","mcd")</f>
        <v>6x6x6mm_SMD SWI SPSTx1 6mm Momentary</v>
      </c>
      <c r="F134" t="str" s="11" cm="1">
        <f t="array" ref="F134">IF(ISBLANK(AH134),"",IF(AG134="LCSC",HYPERLINK("https://jlcpcb.com/partdetail/"&amp;$AH134,$AH134),IF(AG134="Mouser",$AH134,$AH134)))</f>
        <v>C5340123</v>
      </c>
      <c r="G134" t="str" s="11" cm="1">
        <f t="array" ref="G134">J134</f>
        <v>6x6x6mm_SMD</v>
      </c>
      <c r="H134" s="15"/>
      <c r="I134" s="14"/>
      <c r="J134" t="s" s="10">
        <v>1347</v>
      </c>
      <c r="K134" s="14"/>
      <c r="L134" t="s" s="10">
        <v>11</v>
      </c>
      <c r="M134" t="s" s="10">
        <v>1333</v>
      </c>
      <c r="N134" t="s" s="10">
        <v>1348</v>
      </c>
      <c r="O134" s="10"/>
      <c r="P134" s="10"/>
      <c r="Q134" s="10"/>
      <c r="R134" t="s" s="10">
        <v>1335</v>
      </c>
      <c r="S134" s="10"/>
      <c r="T134" t="s" s="10">
        <v>1336</v>
      </c>
      <c r="U134" s="10"/>
      <c r="V134" s="10"/>
      <c r="W134" s="10"/>
      <c r="X134" s="10"/>
      <c r="Y134" s="10"/>
      <c r="Z134" s="10"/>
      <c r="AA134" s="10"/>
      <c r="AB134" s="10"/>
      <c r="AC134" s="10"/>
      <c r="AD134" t="s" s="10">
        <v>1337</v>
      </c>
      <c r="AE134" t="s" s="10">
        <v>1349</v>
      </c>
      <c r="AF134" s="14"/>
      <c r="AG134" t="s" s="10">
        <v>50</v>
      </c>
      <c r="AH134" t="s" s="10">
        <v>1350</v>
      </c>
      <c r="AI134" t="s" s="10">
        <v>1340</v>
      </c>
      <c r="AJ134" t="s" s="10">
        <v>1351</v>
      </c>
      <c r="AK134" t="s" s="10">
        <v>1352</v>
      </c>
    </row>
    <row r="135" ht="18.9" customHeight="1">
      <c r="B135" t="s" s="21">
        <v>1327</v>
      </c>
      <c r="C135" t="str" s="22" cm="1">
        <f t="array" ref="C135">B135&amp;"_"&amp;G135</f>
        <v>SWI_EDG104S</v>
      </c>
      <c r="D135" t="str" s="23" cm="1">
        <f t="array" ref="D135">$G135&amp;IF($B135="LED"," LED","")&amp;IF($V135="",""," ")&amp;$V135&amp;IF($M135="",""," ")&amp;$M135&amp;IF($W135="",""," ")&amp;$W135&amp;IF($X135="",""," ")&amp;$X135&amp;IF($Y135="",""," ")&amp;$Y135&amp;IF($AB135="",""," ")&amp;$AB135&amp;IF($AB135="","","mcd")</f>
        <v>EDG104S SPSTx4 DIP</v>
      </c>
      <c r="E135" t="str" s="23" cm="1">
        <f t="array" ref="E135">$G135&amp;" "&amp;B135&amp;IF($V135="",""," ")&amp;$V135&amp;IF($M135="",""," ")&amp;$M135&amp;IF($W135="",""," ")&amp;$W135&amp;IF($X135="",""," ")&amp;$X135&amp;IF($Y135="",""," ")&amp;$Y135&amp;IF($AB135="",""," ")&amp;$AB135&amp;IF($AB135="","","mcd")</f>
        <v>EDG104S SWI SPSTx4 DIP</v>
      </c>
      <c r="F135" t="str" s="22" cm="1">
        <f t="array" ref="F135">IF(ISBLANK(AH135),"",IF(AG135="LCSC",HYPERLINK("https://jlcpcb.com/partdetail/"&amp;$AH135,$AH135),IF(AG135="Mouser",$AH135,$AH135)))</f>
        <v>C840579</v>
      </c>
      <c r="G135" t="str" s="22" cm="1">
        <f t="array" ref="G135">J135</f>
        <v>EDG104S</v>
      </c>
      <c r="H135" s="24"/>
      <c r="I135" s="25"/>
      <c r="J135" t="str" s="25" cm="1">
        <f t="array" ref="J135">AJ135</f>
        <v>EDG104S</v>
      </c>
      <c r="K135" s="25"/>
      <c r="L135" t="s" s="21">
        <v>96</v>
      </c>
      <c r="M135" t="s" s="21">
        <v>1358</v>
      </c>
      <c r="N135" t="s" s="21">
        <v>1359</v>
      </c>
      <c r="O135" s="21"/>
      <c r="P135" s="21"/>
      <c r="Q135" s="21"/>
      <c r="R135" t="s" s="21">
        <v>1360</v>
      </c>
      <c r="S135" t="s" s="21">
        <v>425</v>
      </c>
      <c r="T135" t="s" s="21">
        <v>1361</v>
      </c>
      <c r="U135" t="s" s="21">
        <v>1362</v>
      </c>
      <c r="V135" s="21"/>
      <c r="W135" s="21"/>
      <c r="X135" s="21"/>
      <c r="Y135" s="21"/>
      <c r="Z135" s="21"/>
      <c r="AA135" s="21"/>
      <c r="AB135" s="21"/>
      <c r="AC135" s="21"/>
      <c r="AD135" t="s" s="21">
        <v>1363</v>
      </c>
      <c r="AE135" t="s" s="21">
        <v>1363</v>
      </c>
      <c r="AF135" s="25"/>
      <c r="AG135" t="s" s="21">
        <v>50</v>
      </c>
      <c r="AH135" t="s" s="21">
        <v>1364</v>
      </c>
      <c r="AI135" t="s" s="21">
        <v>1365</v>
      </c>
      <c r="AJ135" t="s" s="21">
        <v>1357</v>
      </c>
      <c r="AK135" t="s" s="21">
        <v>1366</v>
      </c>
    </row>
    <row r="136" ht="20.55" customHeight="1">
      <c r="B136" s="9"/>
      <c r="C136" s="5"/>
      <c r="D136" s="9"/>
      <c r="E136" s="9"/>
      <c r="F136" s="9"/>
      <c r="G136" s="9"/>
      <c r="H136" s="26"/>
      <c r="I136" s="5"/>
      <c r="J136" s="5"/>
      <c r="K136" s="5"/>
      <c r="L136" s="9"/>
      <c r="M136" s="5"/>
      <c r="N136" s="9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9"/>
      <c r="AE136" s="9"/>
      <c r="AF136" s="9"/>
      <c r="AG136" s="9"/>
      <c r="AH136" s="9"/>
      <c r="AI136" s="9"/>
      <c r="AJ136" s="9"/>
      <c r="AK136" s="9"/>
    </row>
  </sheetData>
  <mergeCells count="1">
    <mergeCell ref="B2:AK2"/>
  </mergeCells>
  <dataValidations count="2">
    <dataValidation type="list" allowBlank="1" showInputMessage="1" showErrorMessage="1" sqref="B3 B136">
      <formula1>",Category,SLK,CON,CAP,DIO,IC,LED,Q,RES"</formula1>
    </dataValidation>
    <dataValidation type="list" allowBlank="1" showInputMessage="1" showErrorMessage="1" sqref="B4:B17 B19:B25 B28:B30 B35:B36 B38 B40:B57 B60 B62:B135">
      <formula1>",Category,SLK,CON,CAP,DIO,IC,LED,Q,RES,ANA,IND,MCU,REG,OSC,RLY,SWI"</formula1>
    </dataValidation>
  </dataValidations>
  <hyperlinks>
    <hyperlink ref="F4" r:id="rId1" location="" tooltip="" display="C100042"/>
    <hyperlink ref="AK4" r:id="rId2" location="" tooltip="" display="https://www.lcsc.com/datasheet/lcsc_datasheet_2304140030_YAGEO-CC0603KRX7R9BB103_C100042.pdf"/>
    <hyperlink ref="F5" r:id="rId3" location="" tooltip="" display="C1852832"/>
    <hyperlink ref="AK5" r:id="rId4" location="" tooltip="" display="https://wmsc.lcsc.com/wmsc/upload/file/pdf/v2/lcsc/2201271000_YAGEO-CC0603KPX7R8BB103_C1852832.pdf"/>
    <hyperlink ref="F6" r:id="rId5" location="" tooltip="" display="C3910010"/>
    <hyperlink ref="F7" r:id="rId6" location="" tooltip="" display="C14663"/>
    <hyperlink ref="AK7" r:id="rId7" location="" tooltip="" display="https://www.lcsc.com/datasheet/lcsc_datasheet_2211101700_YAGEO-CC0603KRX7R9BB104_C14663.pdf"/>
    <hyperlink ref="F8" r:id="rId8" location="" tooltip="" display="C3853265"/>
    <hyperlink ref="AK9" r:id="rId9" location="" tooltip="" display="https://www.mouser.com/datasheet/3/497/1/e_uvr.pdf"/>
    <hyperlink ref="F10" r:id="rId10" location="" tooltip="" display="C970714"/>
    <hyperlink ref="AK10" r:id="rId11" location="" tooltip="" display="https://jlcpcb.com/api/file/downloadByFileSystemAccessId/8590911073887604736"/>
    <hyperlink ref="F11" r:id="rId12" location="" tooltip="" display="C13585"/>
    <hyperlink ref="AK11" r:id="rId13" location="" tooltip="" display="https://www.lcsc.com/datasheet/lcsc_datasheet_2304140030_Samsung-Electro-Mechanics-CL31A106KBHNNNE_C13585.pdf"/>
    <hyperlink ref="F12" r:id="rId14" location="" tooltip="" display="C15849"/>
    <hyperlink ref="AK12" r:id="rId15" location="" tooltip="" display="https://www.lcsc.com/datasheet/lcsc_datasheet_2304140030_Samsung-Electro-Mechanics-CL10A105KB8NNNC_C15849.pdf"/>
    <hyperlink ref="F13" r:id="rId16" location="" tooltip="" display="C2169859"/>
    <hyperlink ref="AK13" r:id="rId17" location="" tooltip="" display="https://wmsc.lcsc.com/wmsc/upload/file/pdf/v2/lcsc/2309051403_Taiyo-Yuden-GMK107BJ105KAHT_C2169859.pdf"/>
    <hyperlink ref="F14" r:id="rId18" location="" tooltip="" display="C136294"/>
    <hyperlink ref="AK14" r:id="rId19" location="" tooltip="" display="https://www.lcsc.com/datasheet/lcsc_datasheet_1808312007_Nichicon-UCD1V221MNL1GS_C136294.pdf"/>
    <hyperlink ref="F15" r:id="rId20" location="" tooltip="" display="C492401"/>
    <hyperlink ref="F16" r:id="rId21" location="" tooltip="" display="C3029316"/>
    <hyperlink ref="F17" r:id="rId22" location="" tooltip="" display="C429966"/>
    <hyperlink ref="F18" r:id="rId23" location="" tooltip="" display="C49661"/>
    <hyperlink ref="F19" r:id="rId24" location="" tooltip="" display="C42378069"/>
    <hyperlink ref="F20" r:id="rId25" location="" tooltip="" display="C2937625"/>
    <hyperlink ref="AK20" r:id="rId26" location="" tooltip="" display="https://jlcpcb.com/api/file/downloadByFileSystemAccessId/8588954567287443456"/>
    <hyperlink ref="F21" r:id="rId27" location="" tooltip="" display="C2691448"/>
    <hyperlink ref="F22" r:id="rId28" location="" tooltip="" display="C18214184"/>
    <hyperlink ref="F23" r:id="rId29" location="" tooltip="" display="C3816889"/>
    <hyperlink ref="F24" r:id="rId30" location="" tooltip="" display="C2718488"/>
    <hyperlink ref="F25" r:id="rId31" location="" tooltip="" display="C42378071"/>
    <hyperlink ref="F26" r:id="rId32" location="" tooltip="" display="C2718488"/>
    <hyperlink ref="F27" r:id="rId33" location="" tooltip="" display="C50950"/>
    <hyperlink ref="F28" r:id="rId34" location="" tooltip="" display="C3646874"/>
    <hyperlink ref="F29" r:id="rId35" location="" tooltip="" display="C37208"/>
    <hyperlink ref="F30" r:id="rId36" location="" tooltip="" display="C2905416"/>
    <hyperlink ref="F31" r:id="rId37" location="" tooltip="" display="C40877"/>
    <hyperlink ref="F32" r:id="rId38" location="" tooltip="" display="C22438157"/>
    <hyperlink ref="AK32" r:id="rId39" location="" tooltip="" display="https://www.lcsc.com/datasheet/C22438157.pdf"/>
    <hyperlink ref="F33" r:id="rId40" location="" tooltip="" display="C27438"/>
    <hyperlink ref="F34" r:id="rId41" location="" tooltip="" display="C35445"/>
    <hyperlink ref="F35" r:id="rId42" location="" tooltip="" display="C2905419"/>
    <hyperlink ref="F36" r:id="rId43" location="" tooltip="" display="C2685211"/>
    <hyperlink ref="F37" r:id="rId44" location="" tooltip="" display="C52711"/>
    <hyperlink ref="F38" r:id="rId45" location="" tooltip="" display="C7499333"/>
    <hyperlink ref="F39" r:id="rId46" location="" tooltip="" display="C66987"/>
    <hyperlink ref="F40" r:id="rId47" location="" tooltip="" display="C37208"/>
    <hyperlink ref="F42" r:id="rId48" location="" tooltip="" display="C2325"/>
    <hyperlink ref="F43" r:id="rId49" location="" tooltip="" display="C3097718"/>
    <hyperlink ref="AK43" r:id="rId50" location="" tooltip="" display="https://cdn.amphenol-cs.com/media/wysiwyg/files/drawing/c-bmj-0082.pdf"/>
    <hyperlink ref="AK44" r:id="rId51" location="" tooltip="" display="https://www.wayconn.com/wp-content/uploads/datasheet/MJIC-660XXX-RJ11-RJ12-RJ25-PCB-Jack-without-Panel.pdf"/>
    <hyperlink ref="F45" r:id="rId52" location="" tooltip="" display="C7205130"/>
    <hyperlink ref="AK45" r:id="rId53" location="" tooltip="" display="https://www.lcsc.com/datasheet/C7205130.pdf?spm=wm.sxq.inf.ggs___wm.ssy.bg.20.cbh&amp;lcsc_vid=QVZeA1dfQFALX1AFTlJbVAcFR1ldAgAEQVILVlZfRwcxVlNRQ1hXUFBQQVNdUzsOAxUeFF5JWBYZEEoKFBINSQcJGk4eFQsCAgIaSgADAwAHC0slRVJcUkoOAwwC"/>
    <hyperlink ref="F51" r:id="rId54" location="" tooltip="" display="C353517"/>
    <hyperlink ref="AK51" r:id="rId55" location="" tooltip="" display="https://www.lcsc.com/datasheet/lcsc_datasheet_2304140030_Shandong-Jingdao-Microelectronics-BZT52C4V7S_C353517.pdf"/>
    <hyperlink ref="F52" r:id="rId56" location="" tooltip="" display="C5261070"/>
    <hyperlink ref="AK52" r:id="rId57" location="" tooltip="" display="https://wmsc.lcsc.com/wmsc/upload/file/pdf/v2/lcsc/2406051353_HXY-MOSFET-BAT54_C5261070.pdf"/>
    <hyperlink ref="F53" r:id="rId58" location="" tooltip="" display="C2926172"/>
    <hyperlink ref="AK53" r:id="rId59" location="" tooltip="" display="https://wmsc.lcsc.com/wmsc/upload/file/pdf/v2/lcsc/2112031830_FOSAN-BAT54A_C2926172.pdf"/>
    <hyperlink ref="F54" r:id="rId60" location="" tooltip="" display="C408388"/>
    <hyperlink ref="AK54" r:id="rId61" location="" tooltip="" display="https://www.lcsc.com/datasheet/lcsc_datasheet_2407101108_MDD-Microdiode-Semiconductor-BAT54C_C408388.pdf"/>
    <hyperlink ref="F55" r:id="rId62" location="" tooltip="" display="C2926174"/>
    <hyperlink ref="AK55" r:id="rId63" location="" tooltip="" display="https://wmsc.lcsc.com/wmsc/upload/file/pdf/v2/lcsc/2112031830_FOSAN-BAT54S_C2926174.pdf"/>
    <hyperlink ref="F56" r:id="rId64" location="" tooltip="" display="C2500"/>
    <hyperlink ref="F57" r:id="rId65" location="" tooltip="" display="C898949"/>
    <hyperlink ref="AK57" r:id="rId66" location="" tooltip="" display="https://jlcpcb.com/api/file/downloadByFileSystemAccessId/8588917274006720512"/>
    <hyperlink ref="F58" r:id="rId67" location="" tooltip="" display="C2683482"/>
    <hyperlink ref="AK58" r:id="rId68" location="" tooltip="" display="https://www.lcsc.com/datasheet/lcsc_datasheet_2403081523_IDCHIP-LM358D_C2683482.pdf"/>
    <hyperlink ref="F59" r:id="rId69" location="" tooltip="" display="C3231480"/>
    <hyperlink ref="F60" r:id="rId70" location="" tooltip="" display="C629440"/>
    <hyperlink ref="AK60" r:id="rId71" location="" tooltip="" display="https://wmsc.lcsc.com/wmsc/upload/file/pdf/v2/lcsc/2203221230_Microchip-Tech-MCP23017T-E-SO_C629440.pdf"/>
    <hyperlink ref="F61" r:id="rId72" location="" tooltip="" display="C695838"/>
    <hyperlink ref="F62" r:id="rId73" location="" tooltip="" display="C5145392"/>
    <hyperlink ref="AK62" r:id="rId74" location="" tooltip="" display="https://wmsc.lcsc.com/wmsc/upload/file/pdf/v2/lcsc/2209290930_HANSCHIP-semiconductor-NE556DRG_C5145392.pdf"/>
    <hyperlink ref="F63" r:id="rId75" location="" tooltip="" display="C2678753"/>
    <hyperlink ref="AK63" r:id="rId76" location="" tooltip="" display="https://www.lcsc.com/datasheet/lcsc_datasheet_2405281434_NXP-Semicon-PCA9685PW-118_C2678753.pdf"/>
    <hyperlink ref="F64" r:id="rId77" location="" tooltip="" display="C6555619"/>
    <hyperlink ref="AK64" r:id="rId78" location="" tooltip="" display="https://wmsc.lcsc.com/wmsc/upload/file/pdf/v2/lcsc/2312131723_Pulse-Elec-FIS121NL_C6555619.pdf"/>
    <hyperlink ref="F65" r:id="rId79" location="" tooltip="" display="C965807"/>
    <hyperlink ref="AK65" r:id="rId80" location="" tooltip="" display="https://wmsc.lcsc.com/wmsc/upload/file/pdf/v2/lcsc/2402181505_XINGLIGHT-XL-1608UBC-04_C965807.pdf"/>
    <hyperlink ref="F66" r:id="rId81" location="" tooltip="" display="C965804"/>
    <hyperlink ref="AK66" r:id="rId82" location="" tooltip="" display="https://wmsc.lcsc.com/wmsc/upload/file/pdf/v2/lcsc/2402181505_XINGLIGHT-XL-1608UGC-04_C965804.pdf"/>
    <hyperlink ref="F67" r:id="rId83" location="" tooltip="" display="C22371303"/>
    <hyperlink ref="AK67" r:id="rId84" location="" tooltip="" display="https://wmsc.lcsc.com/wmsc/upload/file/pdf/v2/lcsc/2403281522_HONGLITRONIC-Hongli-Zhihui--HONGLITRONIC-HL-PSC-1608S25OC-G4_C22371303.pdf"/>
    <hyperlink ref="F68" r:id="rId85" location="" tooltip="" display="C965800"/>
    <hyperlink ref="AK68" r:id="rId86" location="" tooltip="" display="https://wmsc.lcsc.com/wmsc/upload/file/pdf/v2/lcsc/2402181505_XINGLIGHT-XL-1608UOC-06_C965800.pdf"/>
    <hyperlink ref="F69" r:id="rId87" location="" tooltip="" display="C965801"/>
    <hyperlink ref="AK69" r:id="rId88" location="" tooltip="" display="https://wmsc.lcsc.com/wmsc/upload/file/pdf/v2/lcsc/2402181505_XINGLIGHT-XL-1608UOC-06_C965800.pdf"/>
    <hyperlink ref="F70" r:id="rId89" location="" tooltip="" display="C7288939"/>
    <hyperlink ref="AK70" r:id="rId90" location="" tooltip="" display="https://wmsc.lcsc.com/wmsc/upload/file/pdf/v2/lcsc/2404241146_Inolux-IN-S63ASR_C7288939.pdf"/>
    <hyperlink ref="F71" r:id="rId91" location="" tooltip="" display="C965798"/>
    <hyperlink ref="AK71" r:id="rId92" location="" tooltip="" display="https://wmsc.lcsc.com/wmsc/upload/file/pdf/v2/lcsc/2402181505_XINGLIGHT-XL-1608SURC-04_C965798.pdf"/>
    <hyperlink ref="F72" r:id="rId93" location="" tooltip="" display="C965799"/>
    <hyperlink ref="AK72" r:id="rId94" location="" tooltip="" display="https://wmsc.lcsc.com/wmsc/upload/file/pdf/v2/lcsc/2402181505_XINGLIGHT-XL-1608SURC-06_C965799.pdf"/>
    <hyperlink ref="F73" r:id="rId95" location="" tooltip="" display="C7371898"/>
    <hyperlink ref="AK73" r:id="rId96" location="" tooltip="" display="https://wmsc.lcsc.com/wmsc/upload/file/pdf/v2/lcsc/2402181501_XINGLIGHT-XL-1608UVC-04_C7371898.pdf"/>
    <hyperlink ref="F74" r:id="rId97" location="" tooltip="" display="C965808"/>
    <hyperlink ref="AK74" r:id="rId98" location="" tooltip="" display="https://wmsc.lcsc.com/wmsc/upload/file/pdf/v2/lcsc/2402181505_XINGLIGHT-XL-1608UWC-04_C965808.pdf"/>
    <hyperlink ref="F75" r:id="rId99" location="" tooltip="" display="C2843785"/>
    <hyperlink ref="AK75" r:id="rId100" location="" tooltip="" display="https://www.lcsc.com/datasheet/lcsc_datasheet_2404120946_XINGLIGHT-XL-5050RGBC-WS2812B_C2843785.pdf"/>
    <hyperlink ref="F76" r:id="rId101" location="" tooltip="" display="C965803"/>
    <hyperlink ref="AK76" r:id="rId102" location="" tooltip="" display="https://wmsc.lcsc.com/wmsc/upload/file/pdf/v2/lcsc/2402181505_XINGLIGHT-XL-1608UOC-04_C965801.pdf"/>
    <hyperlink ref="F77" r:id="rId103" location="" tooltip="" display="C965806"/>
    <hyperlink ref="AK77" r:id="rId104" location="" tooltip="" display="https://wmsc.lcsc.com/wmsc/upload/file/pdf/v2/lcsc/2402181505_XINGLIGHT-XL-1608SYGC-04_C965806.pdf"/>
    <hyperlink ref="AK78" r:id="rId105" location="" tooltip="" display="https://mischianti.org/wp-content/uploads/2020/11/ESP32-DOIT-DEV-KIT-v1-pinout-mischianti.png"/>
    <hyperlink ref="AK79" r:id="rId106" location="" tooltip="" display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/>
    <hyperlink ref="F80" r:id="rId107" location="" tooltip="" display="C7499856"/>
    <hyperlink ref="AK80" r:id="rId108" location="" tooltip="" display="https://wmsc.lcsc.com/wmsc/upload/file/pdf/v2/lcsc/2310251707_HL-2301V_C7499856.pdf"/>
    <hyperlink ref="F81" r:id="rId109" location="" tooltip="" display="C5224215"/>
    <hyperlink ref="AK81" r:id="rId110" location="" tooltip="" display="https://wmsc.lcsc.com/wmsc/upload/file/pdf/v2/lcsc/2210271630_ElecSuper-2N7002_C5224215.pdf"/>
    <hyperlink ref="F82" r:id="rId111" location="" tooltip="" display="C2944309"/>
    <hyperlink ref="F83" r:id="rId112" location="" tooltip="" display="C5184433"/>
    <hyperlink ref="AK83" r:id="rId113" location="" tooltip="" display="https://wmsc.lcsc.com/wmsc/upload/file/pdf/v2/lcsc/2303091430_HXY-MOSFET-BC807-40_C5184433.pdf"/>
    <hyperlink ref="F84" r:id="rId114" location="" tooltip="" display="C5224269"/>
    <hyperlink ref="AK84" r:id="rId115" location="" tooltip="" display="https://wmsc.lcsc.com/wmsc/upload/file/pdf/v2/lcsc/2301091730_ElecSuper-BSS138P_C5224269.pdf"/>
    <hyperlink ref="F85" r:id="rId116" location="" tooltip="" display="C878901"/>
    <hyperlink ref="AK85" r:id="rId117" location="" tooltip="" display="https://www.diodes.com/assets/Datasheets/ds31773.pdf"/>
    <hyperlink ref="F87" r:id="rId118" location="" tooltip="" display="C5184404"/>
    <hyperlink ref="AK87" r:id="rId119" location="" tooltip="" display="https://wmsc.lcsc.com/wmsc/upload/file/pdf/v2/lcsc/2407151447_HXY-MOSFET-MMBT3904_C5184404.pdf"/>
    <hyperlink ref="F89" r:id="rId120" location="" tooltip="" display="C347278"/>
    <hyperlink ref="AK89" r:id="rId121" location="" tooltip="" display="https://www.lcsc.com/datasheet/C347278.pdf?spm=wm.sxq.inf.ggs&amp;lcsc_vid=TlhaVVxSFQRdBQZVQVQPVAdWFABYBlFeRFMKUQcARlMxVlNRQ1hWVlFTTllbUDsOAxUeFF5JWBYZEEoKFBINSQcJGk4dAgUUFAk="/>
    <hyperlink ref="F90" r:id="rId122" location="" tooltip="" display="C5345982"/>
    <hyperlink ref="AK90" r:id="rId123" location="" tooltip="" display="https://wmsc.lcsc.com/wmsc/upload/file/pdf/v2/lcsc/2301120930_HXY-MOSFET-AMS1117-3-3_C5345982.pdf"/>
    <hyperlink ref="F91" r:id="rId124" location="" tooltip="" display="C5345984"/>
    <hyperlink ref="AK91" r:id="rId125" location="" tooltip="" display="https://wmsc.lcsc.com/wmsc/upload/file/pdf/v2/lcsc/2301120930_HXY-MOSFET-AMS1117-5-0_C5345984.pdf"/>
    <hyperlink ref="F92" r:id="rId126" location="" tooltip="" display="C5345985"/>
    <hyperlink ref="AK92" r:id="rId127" location="" tooltip="" display="https://wmsc.lcsc.com/wmsc/upload/file/pdf/v2/lcsc/2301120930_HXY-MOSFET-AMS1117-ADJ_C5345985.pdf"/>
    <hyperlink ref="F93" r:id="rId128" location="" tooltip="" display="C15458"/>
    <hyperlink ref="AK93" r:id="rId129" location="" tooltip="" display="https://www.lcsc.com/datasheet/lcsc_datasheet_2206010216_UNI-ROYAL-Uniroyal-Elec-0603WAJ0104T5E_C15458.pdf"/>
    <hyperlink ref="F94" r:id="rId130" location="" tooltip="" display="C15401"/>
    <hyperlink ref="AK94" r:id="rId131" location="" tooltip="" display="https://www.lcsc.com/datasheet/lcsc_datasheet_2206010216_UNI-ROYAL-Uniroyal-Elec-0603WAJ0103T5E_C15401.pdf"/>
    <hyperlink ref="F95" r:id="rId132" location="" tooltip="" display="C2930027"/>
    <hyperlink ref="AK95" r:id="rId133" location="" tooltip="" display="https://wmsc.lcsc.com/wmsc/upload/file/pdf/v2/lcsc/2308241009_FOJAN-FRC0603J103TS_C2930027.pdf"/>
    <hyperlink ref="F96" r:id="rId134" location="" tooltip="" display="C4118381"/>
    <hyperlink ref="AK96" r:id="rId135" location="" tooltip="" display="https://wmsc.lcsc.com/wmsc/upload/file/pdf/v2/lcsc/2404101024_YAGEO-RC0603JR-1310KL_C4118381.pdf"/>
    <hyperlink ref="F97" r:id="rId136" location="" tooltip="" display="C25577"/>
    <hyperlink ref="AK97" r:id="rId137" location="" tooltip="" display="https://www.lcsc.com/datasheet/lcsc_datasheet_2205311900_UNI-ROYAL-Uniroyal-Elec-0603WAJ0123T5E_C25577.pdf"/>
    <hyperlink ref="F98" r:id="rId138" location="" tooltip="" display="C25585"/>
    <hyperlink ref="AK98" r:id="rId139" location="" tooltip="" display="https://www.lcsc.com/datasheet/lcsc_datasheet_2206010100_UNI-ROYAL-Uniroyal-Elec-0603WAJ0102T5E_C25585.pdf"/>
    <hyperlink ref="F99" r:id="rId140" location="" tooltip="" display="C22935"/>
    <hyperlink ref="AK99" r:id="rId141" location="" tooltip="" display="https://www.lcsc.com/datasheet/lcsc_datasheet_2206010130_UNI-ROYAL-Uniroyal-Elec-0603WAF1004T5E_C22935.pdf"/>
    <hyperlink ref="F100" r:id="rId142" location="" tooltip="" display="C26098"/>
    <hyperlink ref="AK100" r:id="rId143" location="" tooltip="" display="https://www.lcsc.com/datasheet/lcsc_datasheet_2206010030_UNI-ROYAL-Uniroyal-Elec-0603WAJ0105T5E_C26098.pdf"/>
    <hyperlink ref="F101" r:id="rId144" location="" tooltip="" display="C25992"/>
    <hyperlink ref="AK101" r:id="rId145" location="" tooltip="" display="https://www.lcsc.com/datasheet/lcsc_datasheet_2206010045_UNI-ROYAL-Uniroyal-Elec-0603WAJ0222T5E_C25992.pdf"/>
    <hyperlink ref="F102" r:id="rId146" location="" tooltip="" display="C18679"/>
    <hyperlink ref="AK102" r:id="rId147" location="" tooltip="" display="https://www.lcsc.com/datasheet/lcsc_datasheet_2206010145_UNI-ROYAL-Uniroyal-Elec-0603WAJ0225T5E_C18679.pdf"/>
    <hyperlink ref="F103" r:id="rId148" location="" tooltip="" display="C18679"/>
    <hyperlink ref="AK103" r:id="rId149" location="" tooltip="" display="https://www.lcsc.com/datasheet/lcsc_datasheet_2206010145_UNI-ROYAL-Uniroyal-Elec-0603WAJ0225T5E_C18679.pdf"/>
    <hyperlink ref="F104" r:id="rId150" location="" tooltip="" display="C403986"/>
    <hyperlink ref="AK104" r:id="rId151" location="" tooltip="" display="https://wmsc.lcsc.com/wmsc/upload/file/pdf/v2/lcsc/2304140030_FH--Guangdong-Fenghua-Advanced-Tech-RS-03L225JJT_C403986.pdf"/>
    <hyperlink ref="F105" r:id="rId152" location="" tooltip="" display="C2907123"/>
    <hyperlink ref="AK105" r:id="rId153" location="" tooltip="" display="https://wmsc.lcsc.com/wmsc/upload/file/pdf/v2/lcsc/2308241947_FOJAN-FRC0603J201-TS_C2907123.pdf"/>
    <hyperlink ref="F106" r:id="rId154" location="" tooltip="" display="C1226"/>
    <hyperlink ref="AK106" r:id="rId155" location="" tooltip="" display="https://www.lcsc.com/datasheet/lcsc_datasheet_2206010230_UNI-ROYAL-Uniroyal-Elec-0603WAJ0221T5E_C1226.pdf"/>
    <hyperlink ref="F107" r:id="rId156" location="" tooltip="" display="C5842375"/>
    <hyperlink ref="AK107" r:id="rId157" location="" tooltip="" display="https://wmsc.lcsc.com/wmsc/upload/file/pdf/v2/lcsc/2312030915_YAGEO-RC0603FR-13220RL_C5842375.pdf"/>
    <hyperlink ref="F108" r:id="rId158" location="" tooltip="" display="C23344"/>
    <hyperlink ref="AK108" r:id="rId159" location="" tooltip="" display="https://www.lcsc.com/datasheet/lcsc_datasheet_2206010100_UNI-ROYAL-Uniroyal-Elec-0603WAJ0223T5E_C23344.pdf"/>
    <hyperlink ref="F109" r:id="rId160" location="" tooltip="" display="C25995"/>
    <hyperlink ref="AK109" r:id="rId161" location="" tooltip="" display="https://www.lcsc.com/datasheet/lcsc_datasheet_2206010045_UNI-ROYAL-Uniroyal-Elec-0603WAJ0332T5E_C25995.pdf"/>
    <hyperlink ref="F110" r:id="rId162" location="" tooltip="" display="C2907023"/>
    <hyperlink ref="AK110" r:id="rId163" location="" tooltip="" display="https://wmsc.lcsc.com/wmsc/upload/file/pdf/v2/lcsc/2308241947_FOJAN-FRC0603F3301TS_C2907023.pdf"/>
    <hyperlink ref="F111" r:id="rId164" location="" tooltip="" display="C25231"/>
    <hyperlink ref="AK111" r:id="rId165" location="" tooltip="" display="https://www.lcsc.com/datasheet/lcsc_datasheet_2205311845_UNI-ROYAL-Uniroyal-Elec-0603WAJ0331T5E_C25231.pdf"/>
    <hyperlink ref="F112" r:id="rId166" location="" tooltip="" display="C25999"/>
    <hyperlink ref="AK112" r:id="rId167" location="" tooltip="" display="https://www.lcsc.com/datasheet/lcsc_datasheet_2206010045_UNI-ROYAL-Uniroyal-Elec-0603WAJ0472T5E_C25999.pdf"/>
    <hyperlink ref="F113" r:id="rId168" location="" tooltip="" display="C25241"/>
    <hyperlink ref="AK113" r:id="rId169" location="" tooltip="" display="https://www.lcsc.com/datasheet/lcsc_datasheet_2205311845_UNI-ROYAL-Uniroyal-Elec-0603WAJ0471T5E_C25241.pdf"/>
    <hyperlink ref="F114" r:id="rId170" location="" tooltip="" display="C26001"/>
    <hyperlink ref="AK114" r:id="rId171" location="" tooltip="" display="https://www.lcsc.com/datasheet/lcsc_datasheet_2206010045_UNI-ROYAL-Uniroyal-Elec-0603WAJ0562T5E_C26001.pdf"/>
    <hyperlink ref="F115" r:id="rId172" location="" tooltip="" display="C1525253"/>
    <hyperlink ref="AK115" r:id="rId173" location="" tooltip="" display="https://jlcpcb.com/api/file/downloadByFileSystemAccessId/8589033743424368640"/>
    <hyperlink ref="AK116" r:id="rId174" location="" tooltip="" display="https://omronfs.omron.com/en_US/ecb/products/pdf/en-g2rl.pdf"/>
    <hyperlink ref="F133" r:id="rId175" location="" tooltip="" display="C5340138"/>
    <hyperlink ref="AK133" r:id="rId176" location="" tooltip="" display="https://wmsc.lcsc.com/wmsc/upload/file/pdf/v2/lcsc/2212291730_hanxia-HX-TS666CJ-250gf-009_C5340138.pdf"/>
    <hyperlink ref="F134" r:id="rId177" location="" tooltip="" display="C5340123"/>
    <hyperlink ref="AK134" r:id="rId178" location="" tooltip="" display="https://wmsc.lcsc.com/wmsc/upload/file/pdf/v2/lcsc/2212271430_hanxia-HX-TS666TP-250gf-009_C5340123.pdf"/>
    <hyperlink ref="F135" r:id="rId179" location="" tooltip="" display="C840579"/>
    <hyperlink ref="AK135" r:id="rId180" location="" tooltip="" display="https://wmsc.lcsc.com/wmsc/upload/file/pdf/v2/lcsc/2311231642_ECE-EDG104S33_C840579.pdf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