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4"/>
  </sheets>
</workbook>
</file>

<file path=xl/sharedStrings.xml><?xml version="1.0" encoding="utf-8"?>
<sst xmlns="http://schemas.openxmlformats.org/spreadsheetml/2006/main" uniqueCount="961">
  <si>
    <t>SPCoast Part Inventory</t>
  </si>
  <si>
    <t>IPN</t>
  </si>
  <si>
    <t>Name</t>
  </si>
  <si>
    <t>Keywords</t>
  </si>
  <si>
    <t>Category</t>
  </si>
  <si>
    <t>SMD</t>
  </si>
  <si>
    <t>Value</t>
  </si>
  <si>
    <t>Type</t>
  </si>
  <si>
    <t>Description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</si>
  <si>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</si>
  <si>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</si>
  <si>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</si>
  <si>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</si>
  <si>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</si>
  <si>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</si>
  <si>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</si>
  <si>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</si>
  <si>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</si>
  <si>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</si>
  <si>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</si>
  <si>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</si>
  <si>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Distributor</t>
  </si>
  <si>
    <t>DPN</t>
  </si>
  <si>
    <t>DPNLink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</si>
  <si>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</si>
  <si>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</si>
  <si>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</si>
  <si>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</si>
  <si>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</si>
  <si>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</si>
  <si>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</si>
  <si>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</si>
  <si>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</si>
  <si>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</si>
  <si>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t>SLK</t>
  </si>
  <si>
    <t>Other</t>
  </si>
  <si>
    <t>BRD_80x100</t>
  </si>
  <si>
    <t>Board Outline &amp; Milling</t>
  </si>
  <si>
    <t>PCB Board outline with mounting holes - fits Tyco 3 mounting rail</t>
  </si>
  <si>
    <t>SPCoast</t>
  </si>
  <si>
    <t>Passive</t>
  </si>
  <si>
    <t>SPCoast:Board</t>
  </si>
  <si>
    <t>SPCoast:Board_080x100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</si>
  <si>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</si>
  <si>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</si>
  <si>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</si>
  <si>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t>BRD_100x50</t>
  </si>
  <si>
    <t>PCB Board outline with mounting holes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</si>
  <si>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</si>
  <si>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</si>
  <si>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</si>
  <si>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</si>
  <si>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</si>
  <si>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</si>
  <si>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</si>
  <si>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</si>
  <si>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</si>
  <si>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</si>
  <si>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</si>
  <si>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</si>
  <si>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</si>
  <si>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</si>
  <si>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</si>
  <si>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</si>
  <si>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</si>
  <si>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</si>
  <si>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</si>
  <si>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</si>
  <si>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</si>
  <si>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</si>
  <si>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</si>
  <si>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</si>
  <si>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</si>
  <si>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</si>
  <si>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</si>
  <si>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</si>
  <si>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</si>
  <si>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</si>
  <si>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</si>
  <si>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t>DCPower+</t>
  </si>
  <si>
    <t>SilkScreen</t>
  </si>
  <si>
    <t>DC Power Jack Label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</si>
  <si>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</si>
  <si>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</si>
  <si>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</si>
  <si>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</si>
  <si>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</si>
  <si>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</si>
  <si>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</si>
  <si>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</si>
  <si>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</si>
  <si>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</si>
  <si>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</si>
  <si>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t>CA65</t>
  </si>
  <si>
    <t>California Prop 65 warning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</si>
  <si>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</si>
  <si>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</si>
  <si>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</si>
  <si>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</si>
  <si>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</si>
  <si>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t>CC-by-sa</t>
  </si>
  <si>
    <t>Creative Commons License 3.0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</si>
  <si>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</si>
  <si>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</si>
  <si>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</si>
  <si>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</si>
  <si>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</si>
  <si>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t>Logo_MRCS</t>
  </si>
  <si>
    <t>MRCS PCB Logo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</si>
  <si>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</si>
  <si>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</si>
  <si>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</si>
  <si>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</si>
  <si>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</si>
  <si>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t>Logo_SPCoast</t>
  </si>
  <si>
    <t>SPCoast PCB Logo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</si>
  <si>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</si>
  <si>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</si>
  <si>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</si>
  <si>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</si>
  <si>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</si>
  <si>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t>Power_Draw</t>
  </si>
  <si>
    <t>SPCoast Power Consumption Label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</si>
  <si>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</si>
  <si>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</si>
  <si>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</si>
  <si>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</si>
  <si>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</si>
  <si>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t>Power_Provide</t>
  </si>
  <si>
    <t>SPCoast Power Provision Label</t>
  </si>
  <si>
    <t>SPCoast:DOC_Label-Current-Source</t>
  </si>
  <si>
    <t>SPCoast:SILK_Label-Current-Source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</si>
  <si>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</si>
  <si>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</si>
  <si>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</si>
  <si>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t>CON</t>
  </si>
  <si>
    <t>TC2030-NL</t>
  </si>
  <si>
    <t>SilkScreen &amp; Pads</t>
  </si>
  <si>
    <t>Tag Connect “No Legs” 6-pin Plug-of-Nails™ programming cable with a 6-pin 0.1″ pitch ribbon connector.</t>
  </si>
  <si>
    <t>NL</t>
  </si>
  <si>
    <t>2x3</t>
  </si>
  <si>
    <t>0.1"</t>
  </si>
  <si>
    <t>Tag Connect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</si>
  <si>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</si>
  <si>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</si>
  <si>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</si>
  <si>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</si>
  <si>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</si>
  <si>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t>TC2030-FP</t>
  </si>
  <si>
    <t>Tag Connect “With Legs” 6-pin Plug-of-Nails™ programming cable with a 6-pin 0.1″ pitch ribbon connector.</t>
  </si>
  <si>
    <t>Legs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</si>
  <si>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</si>
  <si>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</si>
  <si>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</si>
  <si>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</si>
  <si>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t>TC2050-NL</t>
  </si>
  <si>
    <t>Tag Connect “No Legs”10-pin Plug-of-Nails™ programming cable with a 10-pin 0.1″ pitch ribbon connector.</t>
  </si>
  <si>
    <t>2x5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</si>
  <si>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</si>
  <si>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</si>
  <si>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</si>
  <si>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</si>
  <si>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</si>
  <si>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t>TC2050-FP</t>
  </si>
  <si>
    <t>Tag Connect “With Legs” 10-pin Plug-of-Nails™ programming cable with a10-pin 0.1″ pitch ribbon connector.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</si>
  <si>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</si>
  <si>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</si>
  <si>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</si>
  <si>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</si>
  <si>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t>TC2070-FP</t>
  </si>
  <si>
    <t>Tag Connect “With Legs” 14-pin Plug-of-Nails™ programming cable with a 14-pin 0.1″ pitch ribbon connector.</t>
  </si>
  <si>
    <t>2x7</t>
  </si>
  <si>
    <t>SPCoast:TC2070-IDC</t>
  </si>
  <si>
    <t>SPCoast:Tag-Connect_TC2070-IDC-FP_2x07_P1.27mm_Vertical</t>
  </si>
  <si>
    <r>
      <rPr>
        <sz val="10"/>
        <color indexed="8"/>
        <rFont val="Arial"/>
      </rPr>
      <t>SWI_EDG-104</t>
    </r>
  </si>
  <si>
    <r>
      <rPr>
        <sz val="10"/>
        <color indexed="8"/>
        <rFont val="Arial"/>
      </rPr>
      <t>EDG-104 SPSTx4 DIP</t>
    </r>
  </si>
  <si>
    <r>
      <rPr>
        <sz val="10"/>
        <color indexed="8"/>
        <rFont val="Arial"/>
      </rPr>
      <t>EDG-104 SWI SPSTx4 DIP</t>
    </r>
  </si>
  <si>
    <t>SWI</t>
  </si>
  <si>
    <t>PTH</t>
  </si>
  <si>
    <t>EDG-104</t>
  </si>
  <si>
    <t>SPSTx4 DIP</t>
  </si>
  <si>
    <t>SPST x4 DIP Switch</t>
  </si>
  <si>
    <t>DIP-8</t>
  </si>
  <si>
    <t>0.3"</t>
  </si>
  <si>
    <t>2x4</t>
  </si>
  <si>
    <t>JLC</t>
  </si>
  <si>
    <t>C840579</t>
  </si>
  <si>
    <r>
      <rPr>
        <u val="single"/>
        <sz val="10"/>
        <color indexed="8"/>
        <rFont val="Arial"/>
      </rPr>
      <t>C840579</t>
    </r>
  </si>
  <si>
    <t>Available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</si>
  <si>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</si>
  <si>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</si>
  <si>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</si>
  <si>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</si>
  <si>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u val="single"/>
        <sz val="10"/>
        <color indexed="8"/>
        <rFont val="Arial"/>
      </rPr>
      <t>EDG-104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</si>
  <si>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</si>
  <si>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</si>
  <si>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</si>
  <si>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t>6x6x6mm_PTH</t>
  </si>
  <si>
    <t>SPSTx1 6mm Momentary</t>
  </si>
  <si>
    <t>Round Button Direct Insert SPST 6mm 5.5mm 50mA 100M 100 000 Times 12V 250gf Plugin Tactile Switch</t>
  </si>
  <si>
    <t>6mm button</t>
  </si>
  <si>
    <t>2x2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</si>
  <si>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</si>
  <si>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</si>
  <si>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</si>
  <si>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</si>
  <si>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</si>
  <si>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</si>
  <si>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t>6x6x6mm_SMD</t>
  </si>
  <si>
    <t>Round Button Standing paste SPST 6mm 6mm 6mm 50mA 100M 100 000 Times 12V 250gf SMD Tactile Switch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</si>
  <si>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</si>
  <si>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</si>
  <si>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t>C5340138</t>
  </si>
  <si>
    <r>
      <rPr>
        <u val="single"/>
        <sz val="10"/>
        <color indexed="8"/>
        <rFont val="Arial"/>
      </rPr>
      <t>C5340138</t>
    </r>
  </si>
  <si>
    <t>hanxia</t>
  </si>
  <si>
    <t>HX TS666CJ 250gf 009</t>
  </si>
  <si>
    <t>C5340123</t>
  </si>
  <si>
    <r>
      <rPr>
        <u val="single"/>
        <sz val="10"/>
        <color indexed="8"/>
        <rFont val="Arial"/>
      </rPr>
      <t>C5340123</t>
    </r>
  </si>
  <si>
    <t>HX TS666TP 250gf 009</t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</si>
  <si>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</si>
  <si>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</si>
  <si>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</si>
  <si>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t>DCJ0202</t>
  </si>
  <si>
    <t>Power Connector</t>
  </si>
  <si>
    <t>DC Jack 0202</t>
  </si>
  <si>
    <t>3x</t>
  </si>
  <si>
    <t>SPCoast:Conn_DC_POWER</t>
  </si>
  <si>
    <t>SPCoast:DCJ0202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</si>
  <si>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</si>
  <si>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</si>
  <si>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</si>
  <si>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t>1x02-0.100</t>
  </si>
  <si>
    <t>Male Header</t>
  </si>
  <si>
    <t>Connector 1x02 0.100</t>
  </si>
  <si>
    <t>1x2</t>
  </si>
  <si>
    <t>0.1</t>
  </si>
  <si>
    <t>SPCoast:Conn_01x02</t>
  </si>
  <si>
    <t>SPCoast:Connector_01x02_V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</si>
  <si>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</si>
  <si>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</si>
  <si>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</si>
  <si>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t>1x03-0.100</t>
  </si>
  <si>
    <t>Connector 1x03 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</si>
  <si>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</si>
  <si>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</si>
  <si>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</si>
  <si>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</si>
  <si>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</si>
  <si>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</si>
  <si>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t>1x04-0.100</t>
  </si>
  <si>
    <t>Connector 1x04 0.100</t>
  </si>
  <si>
    <t>1x4</t>
  </si>
  <si>
    <t>SPCoast:Conn_01x04</t>
  </si>
  <si>
    <t>SPCoast:Connector_01x04_V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</si>
  <si>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</si>
  <si>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</si>
  <si>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</si>
  <si>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t>1x06-0.100</t>
  </si>
  <si>
    <t>Connector 1x06 0.100</t>
  </si>
  <si>
    <t>1x6</t>
  </si>
  <si>
    <t>SPCoast:Conn_01x06</t>
  </si>
  <si>
    <t>SPCoast:Connector_01x06_V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</si>
  <si>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</si>
  <si>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</si>
  <si>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</si>
  <si>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t>FTDI-1x6-0.100</t>
  </si>
  <si>
    <t>FTDI Programming Connector 1x06 0.100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</si>
  <si>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</si>
  <si>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</si>
  <si>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</si>
  <si>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</si>
  <si>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</si>
  <si>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t>M5-1x6-0.100</t>
  </si>
  <si>
    <t>Female Header</t>
  </si>
  <si>
    <t>M5 Programming Connector 1x06 0.100</t>
  </si>
  <si>
    <t>SPCoast:Conn_Programmer-M5</t>
  </si>
  <si>
    <t>SPCoast:Connector_M5-DEVICE-SIDE</t>
  </si>
  <si>
    <r>
      <rPr>
        <sz val="10"/>
        <color indexed="8"/>
        <rFont val="Arial"/>
      </rPr>
      <t>CON_SSD1306-1x4-0.100</t>
    </r>
  </si>
  <si>
    <r>
      <rPr>
        <sz val="10"/>
        <color indexed="8"/>
        <rFont val="Arial"/>
      </rPr>
      <t>SSD1306-1x4-0.100 Male Header</t>
    </r>
  </si>
  <si>
    <r>
      <rPr>
        <sz val="10"/>
        <color indexed="8"/>
        <rFont val="Arial"/>
      </rPr>
      <t>SSD1306-1x4-0.100 CON Male Header</t>
    </r>
  </si>
  <si>
    <t>SSD1306-1x4-0.100</t>
  </si>
  <si>
    <t>I2C SSD1306 OLED Connector</t>
  </si>
  <si>
    <t>SPCoast:Conn_I2C-OLED</t>
  </si>
  <si>
    <t>SPCoast:Connector_I2C-OLED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</si>
  <si>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</si>
  <si>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</si>
  <si>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</si>
  <si>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t>MCU</t>
  </si>
  <si>
    <t>WT32-ETH01</t>
  </si>
  <si>
    <t>ESP32</t>
  </si>
  <si>
    <t>2x13</t>
  </si>
  <si>
    <t>0.1x0.9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</si>
  <si>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</si>
  <si>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</si>
  <si>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</si>
  <si>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</si>
  <si>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</si>
  <si>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</si>
  <si>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t>ESP32-DevKit_V1</t>
  </si>
  <si>
    <t>ESP32-DevKit_V1 WROOM32</t>
  </si>
  <si>
    <t>2x15</t>
  </si>
  <si>
    <t>Espressif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</si>
  <si>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</si>
  <si>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</si>
  <si>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CAP_0.01uF_X7R_0603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</si>
  <si>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</si>
  <si>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</si>
  <si>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t>CAP</t>
  </si>
  <si>
    <t>0.01uF</t>
  </si>
  <si>
    <t>X7R</t>
  </si>
  <si>
    <t>25V 10nF X7R ±10% 0603 Multilayer Ceramic Capacitors MLCC</t>
  </si>
  <si>
    <t>0603</t>
  </si>
  <si>
    <t>10%</t>
  </si>
  <si>
    <t>25V</t>
  </si>
  <si>
    <t>C1852832</t>
  </si>
  <si>
    <r>
      <rPr>
        <u val="single"/>
        <sz val="10"/>
        <color indexed="8"/>
        <rFont val="Arial"/>
      </rPr>
      <t>C1852832</t>
    </r>
  </si>
  <si>
    <t>Retired</t>
  </si>
  <si>
    <t>YAGEO</t>
  </si>
  <si>
    <t>CC0603KPX7R8BB103</t>
  </si>
  <si>
    <t>Device:C</t>
  </si>
  <si>
    <t>SPCoast:0603-CAP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</si>
  <si>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</si>
  <si>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</si>
  <si>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</si>
  <si>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</si>
  <si>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t>X5R</t>
  </si>
  <si>
    <t>50V 10nF X5R ±10% 0603 Multilayer Ceramic Capacitors MLCC</t>
  </si>
  <si>
    <t>50V</t>
  </si>
  <si>
    <t>C3910010</t>
  </si>
  <si>
    <r>
      <rPr>
        <u val="single"/>
        <sz val="10"/>
        <color indexed="8"/>
        <rFont val="Arial"/>
      </rPr>
      <t>C3910010</t>
    </r>
  </si>
  <si>
    <t>CAL-CHIP</t>
  </si>
  <si>
    <t>GMC10X5R103K50NT</t>
  </si>
  <si>
    <t>-na-</t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</si>
  <si>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</si>
  <si>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</si>
  <si>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t>50V 10nF X7R ±10% 0603 Multilayer Ceramic Capacitors MLCC</t>
  </si>
  <si>
    <t>C100042</t>
  </si>
  <si>
    <r>
      <rPr>
        <u val="single"/>
        <sz val="10"/>
        <color indexed="8"/>
        <rFont val="Arial"/>
      </rPr>
      <t>C100042</t>
    </r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</si>
  <si>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</si>
  <si>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</si>
  <si>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CAP_0.1uF_X5R_0603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</si>
  <si>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</si>
  <si>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</si>
  <si>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t>0.1uF</t>
  </si>
  <si>
    <t>25V 100nF X5R ±10% 0603 Multilayer Ceramic Capacitors MLCC</t>
  </si>
  <si>
    <t>C3853265</t>
  </si>
  <si>
    <r>
      <rPr>
        <u val="single"/>
        <sz val="10"/>
        <color indexed="8"/>
        <rFont val="Arial"/>
      </rPr>
      <t>C3853265</t>
    </r>
  </si>
  <si>
    <t>GMC10X5R104K25NT</t>
  </si>
  <si>
    <r>
      <rPr>
        <sz val="10"/>
        <color indexed="8"/>
        <rFont val="Arial"/>
      </rPr>
      <t>CAP_0.1uF_X7R_0603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</si>
  <si>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</si>
  <si>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</si>
  <si>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t>50V 100nF X7R ±10% 0603 Multilayer Ceramic Capacitors MLCC</t>
  </si>
  <si>
    <t>C14663</t>
  </si>
  <si>
    <r>
      <rPr>
        <u val="single"/>
        <sz val="10"/>
        <color indexed="8"/>
        <rFont val="Arial"/>
      </rPr>
      <t>C14663</t>
    </r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</si>
  <si>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</si>
  <si>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</si>
  <si>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CAP_1uF_X5R_0603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</si>
  <si>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</si>
  <si>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</si>
  <si>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t>1uF</t>
  </si>
  <si>
    <t>35V 1uF X5R ±10% 0603 Multilayer Ceramic Capacitors MLCC</t>
  </si>
  <si>
    <t>C2169859</t>
  </si>
  <si>
    <r>
      <rPr>
        <u val="single"/>
        <sz val="10"/>
        <color indexed="8"/>
        <rFont val="Arial"/>
      </rPr>
      <t>C2169859</t>
    </r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</si>
  <si>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</si>
  <si>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</si>
  <si>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</si>
  <si>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</si>
  <si>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</si>
  <si>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t>50V 1uF X5R ±10% 0603 Multilayer Ceramic Capacitors MLCC</t>
  </si>
  <si>
    <t>C15849</t>
  </si>
  <si>
    <r>
      <rPr>
        <u val="single"/>
        <sz val="10"/>
        <color indexed="8"/>
        <rFont val="Arial"/>
      </rPr>
      <t>C15849</t>
    </r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</si>
  <si>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</si>
  <si>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</si>
  <si>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</si>
  <si>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CAP_10uF_X5R_1206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</si>
  <si>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</si>
  <si>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</si>
  <si>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t>10uF</t>
  </si>
  <si>
    <t>50V 10uF X5R ±10% 1206 Multilayer Ceramic Capacitors MLCC</t>
  </si>
  <si>
    <t>1206</t>
  </si>
  <si>
    <t>C13585</t>
  </si>
  <si>
    <r>
      <rPr>
        <u val="single"/>
        <sz val="10"/>
        <color indexed="8"/>
        <rFont val="Arial"/>
      </rPr>
      <t>C13585</t>
    </r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</si>
  <si>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</si>
  <si>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</si>
  <si>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</si>
  <si>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</si>
  <si>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</si>
  <si>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</si>
  <si>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t>220uF</t>
  </si>
  <si>
    <t>Electrolytic</t>
  </si>
  <si>
    <t>220uF 35V 300mA@120Hz ±20% SMD D8xL10mm Aluminum Electrolytic Capacitor</t>
  </si>
  <si>
    <t>8x10</t>
  </si>
  <si>
    <t>20%</t>
  </si>
  <si>
    <t>35V</t>
  </si>
  <si>
    <t>C136294</t>
  </si>
  <si>
    <r>
      <rPr>
        <u val="single"/>
        <sz val="10"/>
        <color indexed="8"/>
        <rFont val="Arial"/>
      </rPr>
      <t>C136294</t>
    </r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</si>
  <si>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</si>
  <si>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</si>
  <si>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</si>
  <si>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</si>
  <si>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</si>
  <si>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</si>
  <si>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43V 5mA 200mW</t>
    </r>
  </si>
  <si>
    <r>
      <rPr>
        <sz val="10"/>
        <color indexed="8"/>
        <rFont val="Arial"/>
      </rPr>
      <t>4.7V DIO zener 43V 5mA 200mW</t>
    </r>
  </si>
  <si>
    <t>DIO</t>
  </si>
  <si>
    <t>4.7V</t>
  </si>
  <si>
    <t>zener</t>
  </si>
  <si>
    <t>4.7V SOD-323 Zener Diode -W7</t>
  </si>
  <si>
    <t>SOD-323</t>
  </si>
  <si>
    <t>43V</t>
  </si>
  <si>
    <t>5mA</t>
  </si>
  <si>
    <t>200mW</t>
  </si>
  <si>
    <t>C353517</t>
  </si>
  <si>
    <r>
      <rPr>
        <u val="single"/>
        <sz val="10"/>
        <color indexed="8"/>
        <rFont val="Arial"/>
      </rPr>
      <t>C353517</t>
    </r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</si>
  <si>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</si>
  <si>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</si>
  <si>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</si>
  <si>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</si>
  <si>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</si>
  <si>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</si>
  <si>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</si>
  <si>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</si>
  <si>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t>BAT54</t>
  </si>
  <si>
    <t>single Schottkey</t>
  </si>
  <si>
    <t>BAT54  Single Schottky 30V 200mA</t>
  </si>
  <si>
    <t>SOT-23</t>
  </si>
  <si>
    <t>30V</t>
  </si>
  <si>
    <t>C5261070</t>
  </si>
  <si>
    <r>
      <rPr>
        <u val="single"/>
        <sz val="10"/>
        <color indexed="8"/>
        <rFont val="Arial"/>
      </rPr>
      <t>C5261070</t>
    </r>
  </si>
  <si>
    <t>HXY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</si>
  <si>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</si>
  <si>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</si>
  <si>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</si>
  <si>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</si>
  <si>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</si>
  <si>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</si>
  <si>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t>BAT54A</t>
  </si>
  <si>
    <t>dual Schottkey common anode</t>
  </si>
  <si>
    <t>BAT54A Dual Schottky 30V 200mA Common Anode</t>
  </si>
  <si>
    <t>C2926172</t>
  </si>
  <si>
    <r>
      <rPr>
        <u val="single"/>
        <sz val="10"/>
        <color indexed="8"/>
        <rFont val="Arial"/>
      </rPr>
      <t>C2926172</t>
    </r>
  </si>
  <si>
    <t>FOSAN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</si>
  <si>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</si>
  <si>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</si>
  <si>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</si>
  <si>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</si>
  <si>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</si>
  <si>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t>BAT54S</t>
  </si>
  <si>
    <t>dual Schottkey series</t>
  </si>
  <si>
    <t>BAT54S Dual Schottky 30V 200mA Series</t>
  </si>
  <si>
    <t>C2926174</t>
  </si>
  <si>
    <r>
      <rPr>
        <u val="single"/>
        <sz val="10"/>
        <color indexed="8"/>
        <rFont val="Arial"/>
      </rPr>
      <t>C2926174</t>
    </r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</si>
  <si>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</si>
  <si>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</si>
  <si>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</si>
  <si>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</si>
  <si>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</si>
  <si>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t>BAT54C</t>
  </si>
  <si>
    <t>dual Schottkey common cathode</t>
  </si>
  <si>
    <t>30V 1 pair of common cathodes 1V@100mA 200mA SOT-23 Schottky Diodes</t>
  </si>
  <si>
    <t>C408388</t>
  </si>
  <si>
    <r>
      <rPr>
        <u val="single"/>
        <sz val="10"/>
        <color indexed="8"/>
        <rFont val="Arial"/>
      </rPr>
      <t>C408388</t>
    </r>
  </si>
  <si>
    <t>Microdiode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</si>
  <si>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</si>
  <si>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</si>
  <si>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</si>
  <si>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</si>
  <si>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</si>
  <si>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t>IC</t>
  </si>
  <si>
    <t>LM358D</t>
  </si>
  <si>
    <t>dual OpAmp</t>
  </si>
  <si>
    <t>SOP-8 Operational Amplifier</t>
  </si>
  <si>
    <t>SOP-8</t>
  </si>
  <si>
    <t>±15V or +30V</t>
  </si>
  <si>
    <t>C2683482</t>
  </si>
  <si>
    <r>
      <rPr>
        <u val="single"/>
        <sz val="10"/>
        <color indexed="8"/>
        <rFont val="Arial"/>
      </rPr>
      <t>C2683482</t>
    </r>
  </si>
  <si>
    <t>IDCHIP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</si>
  <si>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</si>
  <si>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</si>
  <si>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</si>
  <si>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</si>
  <si>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</si>
  <si>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</si>
  <si>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t>NE556</t>
  </si>
  <si>
    <t>Dual Timer</t>
  </si>
  <si>
    <t>NE556 100kHz Dual Timer</t>
  </si>
  <si>
    <t>SOP-14</t>
  </si>
  <si>
    <t>16V</t>
  </si>
  <si>
    <t>600mW</t>
  </si>
  <si>
    <t>C5145392</t>
  </si>
  <si>
    <r>
      <rPr>
        <u val="single"/>
        <sz val="10"/>
        <color indexed="8"/>
        <rFont val="Arial"/>
      </rPr>
      <t>C5145392</t>
    </r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</si>
  <si>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</si>
  <si>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</si>
  <si>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</si>
  <si>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</si>
  <si>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</si>
  <si>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</si>
  <si>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</si>
  <si>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</si>
  <si>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t>MCP23017</t>
  </si>
  <si>
    <t>I2C 16-bit I/O Expander</t>
  </si>
  <si>
    <t>MCP23017 I2C 16 bit I/O Expander</t>
  </si>
  <si>
    <t>SOIC-28-300mil</t>
  </si>
  <si>
    <t>C629440</t>
  </si>
  <si>
    <r>
      <rPr>
        <u val="single"/>
        <sz val="10"/>
        <color indexed="8"/>
        <rFont val="Arial"/>
      </rPr>
      <t>C629440</t>
    </r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</si>
  <si>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</si>
  <si>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</si>
  <si>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</si>
  <si>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</si>
  <si>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</si>
  <si>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</si>
  <si>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</si>
  <si>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</si>
  <si>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t>PCA9685</t>
  </si>
  <si>
    <t>I2C 16-bit PWM LED Driver</t>
  </si>
  <si>
    <t>5.5V 100kHz~1MHz PWM 16 25mA 2.3V~5.5V TSSOP-28 LED Driver</t>
  </si>
  <si>
    <t>TSSOP-28</t>
  </si>
  <si>
    <t>C2678753</t>
  </si>
  <si>
    <r>
      <rPr>
        <u val="single"/>
        <sz val="10"/>
        <color indexed="8"/>
        <rFont val="Arial"/>
      </rPr>
      <t>C2678753</t>
    </r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</si>
  <si>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</si>
  <si>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</si>
  <si>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</si>
  <si>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</si>
  <si>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</si>
  <si>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</t>
    </r>
  </si>
  <si>
    <r>
      <rPr>
        <sz val="10"/>
        <color indexed="8"/>
        <rFont val="Arial"/>
      </rPr>
      <t>Blue LED clear 3.3V 20mA 240mcd</t>
    </r>
  </si>
  <si>
    <t>LED</t>
  </si>
  <si>
    <t>Blue</t>
  </si>
  <si>
    <t>clear</t>
  </si>
  <si>
    <t>20mA 240mcd Colorless and transparent -20℃~+85℃ Positive Stick 455nm~475nm Blue 120° 70mW 3.3V 0603 LED Indication</t>
  </si>
  <si>
    <t>3.3V</t>
  </si>
  <si>
    <t>20mA</t>
  </si>
  <si>
    <t>120°</t>
  </si>
  <si>
    <t>455nm~475nm</t>
  </si>
  <si>
    <t>240</t>
  </si>
  <si>
    <t>C965807</t>
  </si>
  <si>
    <r>
      <rPr>
        <u val="single"/>
        <sz val="10"/>
        <color indexed="8"/>
        <rFont val="Arial"/>
      </rPr>
      <t>C965807</t>
    </r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</si>
  <si>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</si>
  <si>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</si>
  <si>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</si>
  <si>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</si>
  <si>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</si>
  <si>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</t>
    </r>
  </si>
  <si>
    <r>
      <rPr>
        <sz val="10"/>
        <color indexed="8"/>
        <rFont val="Arial"/>
      </rPr>
      <t>White LED warm 2.7V 20mA 130mcd</t>
    </r>
  </si>
  <si>
    <t>White</t>
  </si>
  <si>
    <t>warm</t>
  </si>
  <si>
    <t>20mA 13700K~33000K 130mcd WarmWhite -20℃~+85℃ Positive Stick White 120° 70mW 2.7V 0603 LED Indication</t>
  </si>
  <si>
    <t>2.7V</t>
  </si>
  <si>
    <t>13700 - 33000 K</t>
  </si>
  <si>
    <t>130</t>
  </si>
  <si>
    <t>C965808</t>
  </si>
  <si>
    <r>
      <rPr>
        <u val="single"/>
        <sz val="10"/>
        <color indexed="8"/>
        <rFont val="Arial"/>
      </rPr>
      <t>C965808</t>
    </r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</si>
  <si>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</si>
  <si>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</si>
  <si>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</t>
    </r>
  </si>
  <si>
    <r>
      <rPr>
        <sz val="10"/>
        <color indexed="8"/>
        <rFont val="Arial"/>
      </rPr>
      <t>Green Emerald LED clear 3.3V 20mA 810mcd</t>
    </r>
  </si>
  <si>
    <t>Green Emerald</t>
  </si>
  <si>
    <t>20mA 810mcd Colorless transparent  515nm~535nm -20℃~+85℃ Positive Stick Emerald Green 120° 70mW 3.3V 0603 LED Indication</t>
  </si>
  <si>
    <t>515nm~535nm</t>
  </si>
  <si>
    <t>810</t>
  </si>
  <si>
    <t>C965804</t>
  </si>
  <si>
    <r>
      <rPr>
        <u val="single"/>
        <sz val="10"/>
        <color indexed="8"/>
        <rFont val="Arial"/>
      </rPr>
      <t>C965804</t>
    </r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</si>
  <si>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</si>
  <si>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</si>
  <si>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</t>
    </r>
  </si>
  <si>
    <r>
      <rPr>
        <sz val="10"/>
        <color indexed="8"/>
        <rFont val="Arial"/>
      </rPr>
      <t>Yellow Green LED clear 2.4V 20mA 240mcd</t>
    </r>
  </si>
  <si>
    <t>Yellow Green</t>
  </si>
  <si>
    <t>20mA 240mcd Colorless transparent 565nm~575nm -20℃~+85℃ Positive Stick Yellow Green 120° 50mW 2.4V 0603 LED Indication</t>
  </si>
  <si>
    <t>2.4V</t>
  </si>
  <si>
    <t>565nm~575nm</t>
  </si>
  <si>
    <t>C965806</t>
  </si>
  <si>
    <r>
      <rPr>
        <u val="single"/>
        <sz val="10"/>
        <color indexed="8"/>
        <rFont val="Arial"/>
      </rPr>
      <t>C965806</t>
    </r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</si>
  <si>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</si>
  <si>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</si>
  <si>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 _0603</t>
    </r>
  </si>
  <si>
    <r>
      <rPr>
        <sz val="10"/>
        <color indexed="8"/>
        <rFont val="Arial"/>
      </rPr>
      <t>Orange  LED clear 2.2V 10mA 70mcd</t>
    </r>
  </si>
  <si>
    <t xml:space="preserve">Orange </t>
  </si>
  <si>
    <t>10mA Orange 0603 LED Indication</t>
  </si>
  <si>
    <t>2.2V</t>
  </si>
  <si>
    <t>10mA</t>
  </si>
  <si>
    <t>600nm~612nm</t>
  </si>
  <si>
    <t>70</t>
  </si>
  <si>
    <t>C22371303</t>
  </si>
  <si>
    <r>
      <rPr>
        <u val="single"/>
        <sz val="10"/>
        <color indexed="8"/>
        <rFont val="Arial"/>
      </rPr>
      <t>C22371303</t>
    </r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</si>
  <si>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</si>
  <si>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</si>
  <si>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</si>
  <si>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Orange  LED clear 2.3V 20mA 315mcd</t>
    </r>
  </si>
  <si>
    <t>20mA 315mcd Colorless transparent -20℃~+85℃ 600nm~610nm Positive Stick Orange 120° 50mW 2.3V 0603 LED Indication</t>
  </si>
  <si>
    <t>2.3V</t>
  </si>
  <si>
    <t>315</t>
  </si>
  <si>
    <t>C965800</t>
  </si>
  <si>
    <r>
      <rPr>
        <u val="single"/>
        <sz val="10"/>
        <color indexed="8"/>
        <rFont val="Arial"/>
      </rPr>
      <t>C965800</t>
    </r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</si>
  <si>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</si>
  <si>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</si>
  <si>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r>
      <rPr>
        <sz val="10"/>
        <color indexed="8"/>
        <rFont val="Arial"/>
      </rPr>
      <t>LED_Orange_0603</t>
    </r>
  </si>
  <si>
    <r>
      <rPr>
        <sz val="10"/>
        <color indexed="8"/>
        <rFont val="Arial"/>
      </rPr>
      <t>Orange LED clear 2.3V 20mA 315mcd</t>
    </r>
  </si>
  <si>
    <t>Orange</t>
  </si>
  <si>
    <t>600nm~610nm</t>
  </si>
  <si>
    <t>C965801</t>
  </si>
  <si>
    <r>
      <rPr>
        <u val="single"/>
        <sz val="10"/>
        <color indexed="8"/>
        <rFont val="Arial"/>
      </rPr>
      <t>C965801</t>
    </r>
  </si>
  <si>
    <t>XL-1608UOC-04</t>
  </si>
  <si>
    <r>
      <rPr>
        <sz val="10"/>
        <color indexed="8"/>
        <rFont val="Arial"/>
      </rPr>
      <t>LED_Yellow_0603</t>
    </r>
  </si>
  <si>
    <r>
      <rPr>
        <sz val="10"/>
        <color indexed="8"/>
        <rFont val="Arial"/>
      </rPr>
      <t>Yellow LED clear 2.3V 20mA 450mcd</t>
    </r>
  </si>
  <si>
    <t>Yellow</t>
  </si>
  <si>
    <t>20mA 450mcd Colorless transparent -20℃~+85℃ 585nm~595nm Positive Stick Yellow 120° 50mW 2.3V 0603 LED Indication</t>
  </si>
  <si>
    <t>585nm~595nm</t>
  </si>
  <si>
    <t>450</t>
  </si>
  <si>
    <t>C965803</t>
  </si>
  <si>
    <r>
      <rPr>
        <u val="single"/>
        <sz val="10"/>
        <color indexed="8"/>
        <rFont val="Arial"/>
      </rPr>
      <t>C965803</t>
    </r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</si>
  <si>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</si>
  <si>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</si>
  <si>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 _0603</t>
    </r>
  </si>
  <si>
    <r>
      <rPr>
        <sz val="10"/>
        <color indexed="8"/>
        <rFont val="Arial"/>
      </rPr>
      <t>Red  LED clear 2.2V 20mA 150mcd</t>
    </r>
  </si>
  <si>
    <t xml:space="preserve">Red </t>
  </si>
  <si>
    <t>20mA 150mcd 622nm Red 120° 2.2V 0603 LED Indication</t>
  </si>
  <si>
    <t>150</t>
  </si>
  <si>
    <t>C7288939</t>
  </si>
  <si>
    <r>
      <rPr>
        <u val="single"/>
        <sz val="10"/>
        <color indexed="8"/>
        <rFont val="Arial"/>
      </rPr>
      <t>C7288939</t>
    </r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</si>
  <si>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</si>
  <si>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</si>
  <si>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</si>
  <si>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 LED clear 2.3V 20mA 330mcd</t>
    </r>
  </si>
  <si>
    <t>20mA 330mcd Colorless transparent -20℃~+85℃ Positive Stick 620nm~630nm Red 120° 50mW 2.3V 0603 LED Indication</t>
  </si>
  <si>
    <t>330</t>
  </si>
  <si>
    <t>C965799</t>
  </si>
  <si>
    <r>
      <rPr>
        <u val="single"/>
        <sz val="10"/>
        <color indexed="8"/>
        <rFont val="Arial"/>
      </rPr>
      <t>C965799</t>
    </r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</si>
  <si>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</si>
  <si>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</si>
  <si>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LED_Red_0603</t>
    </r>
  </si>
  <si>
    <r>
      <rPr>
        <sz val="10"/>
        <color indexed="8"/>
        <rFont val="Arial"/>
      </rPr>
      <t>Red LED clear 2.4V 20mA 360mcd</t>
    </r>
  </si>
  <si>
    <t>Red</t>
  </si>
  <si>
    <t>20mA 360mcd Colorless transparent 615nm~625nm -20℃~+85℃ Positive Stick Red 120° 50mW 2.4V 0603 LED Indication</t>
  </si>
  <si>
    <t>615nm~625nm</t>
  </si>
  <si>
    <t>360</t>
  </si>
  <si>
    <t>C965798</t>
  </si>
  <si>
    <r>
      <rPr>
        <u val="single"/>
        <sz val="10"/>
        <color indexed="8"/>
        <rFont val="Arial"/>
      </rPr>
      <t>C965798</t>
    </r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</si>
  <si>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</si>
  <si>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</si>
  <si>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</si>
  <si>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</si>
  <si>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t>WS2812B</t>
  </si>
  <si>
    <t>WS2812B-WS2812B5050</t>
  </si>
  <si>
    <t>SMD5050 RGB LEDs(Built-in IC) NeoPixel</t>
  </si>
  <si>
    <t>SMD5050</t>
  </si>
  <si>
    <t>5v</t>
  </si>
  <si>
    <t>12mA</t>
  </si>
  <si>
    <t>C2843785</t>
  </si>
  <si>
    <r>
      <rPr>
        <u val="single"/>
        <sz val="10"/>
        <color indexed="8"/>
        <rFont val="Arial"/>
      </rPr>
      <t>C2843785</t>
    </r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</si>
  <si>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</si>
  <si>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</si>
  <si>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</si>
  <si>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</si>
  <si>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</si>
  <si>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</si>
  <si>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t>REG</t>
  </si>
  <si>
    <t>AMS1117-ADJ</t>
  </si>
  <si>
    <t>ADJ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</si>
  <si>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 </t>
    </r>
  </si>
  <si>
    <t>SOT-223-3</t>
  </si>
  <si>
    <t>1.25-10.5v</t>
  </si>
  <si>
    <t>1A</t>
  </si>
  <si>
    <t>C5345985</t>
  </si>
  <si>
    <r>
      <rPr>
        <u val="single"/>
        <sz val="10"/>
        <color indexed="8"/>
        <rFont val="Arial"/>
      </rPr>
      <t>C5345985</t>
    </r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</si>
  <si>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</si>
  <si>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</si>
  <si>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</si>
  <si>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</si>
  <si>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</si>
  <si>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</si>
  <si>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</si>
  <si>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t>AMS1117-3.3</t>
  </si>
  <si>
    <t>3v3</t>
  </si>
  <si>
    <t>1A Low Dropout regulator positive fixed 3.3V</t>
  </si>
  <si>
    <t>C5345982</t>
  </si>
  <si>
    <r>
      <rPr>
        <u val="single"/>
        <sz val="10"/>
        <color indexed="8"/>
        <rFont val="Arial"/>
      </rPr>
      <t>C5345982</t>
    </r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</si>
  <si>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</si>
  <si>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</si>
  <si>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</si>
  <si>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</si>
  <si>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t>AMS1117-5.0</t>
  </si>
  <si>
    <t xml:space="preserve">1A Low Dropout regulator positive fixed 5.0V </t>
  </si>
  <si>
    <t>5v0</t>
  </si>
  <si>
    <t>C5345984</t>
  </si>
  <si>
    <r>
      <rPr>
        <u val="single"/>
        <sz val="10"/>
        <color indexed="8"/>
        <rFont val="Arial"/>
      </rPr>
      <t>C5345984</t>
    </r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</si>
  <si>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</si>
  <si>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</si>
  <si>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</t>
    </r>
  </si>
  <si>
    <r>
      <rPr>
        <sz val="10"/>
        <color indexed="8"/>
        <rFont val="Arial"/>
      </rPr>
      <t>78L05 REG 5v</t>
    </r>
  </si>
  <si>
    <t>78L05</t>
  </si>
  <si>
    <t>5v Linear Regulator</t>
  </si>
  <si>
    <t>TO-220</t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</si>
  <si>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</si>
  <si>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</si>
  <si>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</si>
  <si>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t>RLY</t>
  </si>
  <si>
    <t>G2RL-2</t>
  </si>
  <si>
    <t>24v DPDT</t>
  </si>
  <si>
    <t>DPDT Low profile power relay 15.7mmH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</si>
  <si>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</si>
  <si>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</si>
  <si>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</si>
  <si>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</si>
  <si>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</si>
  <si>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</si>
  <si>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</si>
  <si>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</si>
  <si>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</si>
  <si>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</si>
  <si>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</si>
  <si>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t>Q</t>
  </si>
  <si>
    <t>MMBT2222LT1G</t>
  </si>
  <si>
    <t>NPN</t>
  </si>
  <si>
    <t>NPN 30 V 600 mA 250MHz 300 mW Surface Mount SOT-23-3 (TO-236)</t>
  </si>
  <si>
    <t>600mA</t>
  </si>
  <si>
    <t>300mW</t>
  </si>
  <si>
    <t>ONSemi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</si>
  <si>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</si>
  <si>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</si>
  <si>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</si>
  <si>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</si>
  <si>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t>MMBT3904</t>
  </si>
  <si>
    <t>NPN 40V 200mW 100@10mA 1V 200mA NPN SOT-23</t>
  </si>
  <si>
    <t>40V</t>
  </si>
  <si>
    <t>200mA</t>
  </si>
  <si>
    <t>C5184404</t>
  </si>
  <si>
    <r>
      <rPr>
        <u val="single"/>
        <sz val="10"/>
        <color indexed="8"/>
        <rFont val="Arial"/>
      </rPr>
      <t>C5184404</t>
    </r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</si>
  <si>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</si>
  <si>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</si>
  <si>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</si>
  <si>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</si>
  <si>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t>BC807</t>
  </si>
  <si>
    <t>PNP</t>
  </si>
  <si>
    <t>PNP 45V 300mW 250@100mA 1V 500mA PNP SOT-23</t>
  </si>
  <si>
    <t>45V</t>
  </si>
  <si>
    <t>500mA</t>
  </si>
  <si>
    <t>C5184433</t>
  </si>
  <si>
    <r>
      <rPr>
        <u val="single"/>
        <sz val="10"/>
        <color indexed="8"/>
        <rFont val="Arial"/>
      </rPr>
      <t>C5184433</t>
    </r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</si>
  <si>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</si>
  <si>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</si>
  <si>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</si>
  <si>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</si>
  <si>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</si>
  <si>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</si>
  <si>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t>2N7002</t>
  </si>
  <si>
    <t>N-FET</t>
  </si>
  <si>
    <t>60V 300mA 1.5@10V 500mA 200mW 1.5V@250uA N-Channel SOT-23 MOSFETs</t>
  </si>
  <si>
    <t>60v</t>
  </si>
  <si>
    <t>300mA</t>
  </si>
  <si>
    <t>C5224215</t>
  </si>
  <si>
    <r>
      <rPr>
        <u val="single"/>
        <sz val="10"/>
        <color indexed="8"/>
        <rFont val="Arial"/>
      </rPr>
      <t>C5224215</t>
    </r>
  </si>
  <si>
    <t>ElecSuper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</si>
  <si>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</si>
  <si>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</si>
  <si>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</si>
  <si>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</si>
  <si>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</si>
  <si>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t>DMN4468</t>
  </si>
  <si>
    <t>30V 10A 14m@10V00mA N-Channel SO-8 MOSFETs</t>
  </si>
  <si>
    <t>SO-8</t>
  </si>
  <si>
    <t>30v</t>
  </si>
  <si>
    <t>10A</t>
  </si>
  <si>
    <t>C878901</t>
  </si>
  <si>
    <r>
      <rPr>
        <u val="single"/>
        <sz val="10"/>
        <color indexed="8"/>
        <rFont val="Arial"/>
      </rPr>
      <t>C878901</t>
    </r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</si>
  <si>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</si>
  <si>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</si>
  <si>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</si>
  <si>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</si>
  <si>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</si>
  <si>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</si>
  <si>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</si>
  <si>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</si>
  <si>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t>2301V</t>
  </si>
  <si>
    <t>P-FET</t>
  </si>
  <si>
    <t>20V 2.3A 95m 1V 1 Piece P-Channel SOT-23 MOSFET</t>
  </si>
  <si>
    <t>20V</t>
  </si>
  <si>
    <t>2.3A</t>
  </si>
  <si>
    <t>C7499856</t>
  </si>
  <si>
    <r>
      <rPr>
        <u val="single"/>
        <sz val="10"/>
        <color indexed="8"/>
        <rFont val="Arial"/>
      </rPr>
      <t>C7499856</t>
    </r>
  </si>
  <si>
    <t>HL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</si>
  <si>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</si>
  <si>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</si>
  <si>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</si>
  <si>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</si>
  <si>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</si>
  <si>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t>RES</t>
  </si>
  <si>
    <t>200</t>
  </si>
  <si>
    <t>thick film</t>
  </si>
  <si>
    <t xml:space="preserve">200 100mW  75V ±100ppm/℃ ±5% 0603 </t>
  </si>
  <si>
    <t>5%</t>
  </si>
  <si>
    <t>75V</t>
  </si>
  <si>
    <t>100mW</t>
  </si>
  <si>
    <t>C2907123</t>
  </si>
  <si>
    <r>
      <rPr>
        <u val="single"/>
        <sz val="10"/>
        <color indexed="8"/>
        <rFont val="Arial"/>
      </rPr>
      <t>C2907123</t>
    </r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</si>
  <si>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</si>
  <si>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</si>
  <si>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</si>
  <si>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</si>
  <si>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</si>
  <si>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</si>
  <si>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</si>
  <si>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</si>
  <si>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t>220</t>
  </si>
  <si>
    <t xml:space="preserve">220 100mW s 150V ±100ppm/℃ ±1% 0603 </t>
  </si>
  <si>
    <t>1%</t>
  </si>
  <si>
    <t>150V</t>
  </si>
  <si>
    <t>C5842375</t>
  </si>
  <si>
    <r>
      <rPr>
        <u val="single"/>
        <sz val="10"/>
        <color indexed="8"/>
        <rFont val="Arial"/>
      </rPr>
      <t>C5842375</t>
    </r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</si>
  <si>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</si>
  <si>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</si>
  <si>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</si>
  <si>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</si>
  <si>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</si>
  <si>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t>220 100mW  75V ±100ppm/℃ ±5% 0603</t>
  </si>
  <si>
    <t>C1226</t>
  </si>
  <si>
    <r>
      <rPr>
        <u val="single"/>
        <sz val="10"/>
        <color indexed="8"/>
        <rFont val="Arial"/>
      </rPr>
      <t>C1226</t>
    </r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</si>
  <si>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</si>
  <si>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</si>
  <si>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</si>
  <si>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</si>
  <si>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</si>
  <si>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</si>
  <si>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t>330 100mW  75V ±100ppm/℃ ±5% 0603</t>
  </si>
  <si>
    <t>C25231</t>
  </si>
  <si>
    <r>
      <rPr>
        <u val="single"/>
        <sz val="10"/>
        <color indexed="8"/>
        <rFont val="Arial"/>
      </rPr>
      <t>C25231</t>
    </r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</si>
  <si>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</si>
  <si>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</si>
  <si>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</si>
  <si>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</si>
  <si>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</si>
  <si>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t>470</t>
  </si>
  <si>
    <t>470 100mW  75V ±100ppm/℃ ±5% 0603</t>
  </si>
  <si>
    <t>C25241</t>
  </si>
  <si>
    <r>
      <rPr>
        <u val="single"/>
        <sz val="10"/>
        <color indexed="8"/>
        <rFont val="Arial"/>
      </rPr>
      <t>C25241</t>
    </r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</si>
  <si>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</si>
  <si>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</si>
  <si>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</si>
  <si>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</si>
  <si>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</si>
  <si>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t>1k</t>
  </si>
  <si>
    <t xml:space="preserve">1k 100mW  75V ±100ppm/℃ ±5% 0603 </t>
  </si>
  <si>
    <t>C25585</t>
  </si>
  <si>
    <r>
      <rPr>
        <u val="single"/>
        <sz val="10"/>
        <color indexed="8"/>
        <rFont val="Arial"/>
      </rPr>
      <t>C25585</t>
    </r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</si>
  <si>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</si>
  <si>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</si>
  <si>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</si>
  <si>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</si>
  <si>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</si>
  <si>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t>2.2k</t>
  </si>
  <si>
    <t>2.2k 100mW  75V ±100ppm/℃ ±5% 0603</t>
  </si>
  <si>
    <t>C25992</t>
  </si>
  <si>
    <r>
      <rPr>
        <u val="single"/>
        <sz val="10"/>
        <color indexed="8"/>
        <rFont val="Arial"/>
      </rPr>
      <t>C25992</t>
    </r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</si>
  <si>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</si>
  <si>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</si>
  <si>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</si>
  <si>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</si>
  <si>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</si>
  <si>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t>3.3k</t>
  </si>
  <si>
    <t xml:space="preserve">3.3k 100mW s 75V ±100ppm/℃ ±1% 0603 </t>
  </si>
  <si>
    <t>C2907023</t>
  </si>
  <si>
    <r>
      <rPr>
        <u val="single"/>
        <sz val="10"/>
        <color indexed="8"/>
        <rFont val="Arial"/>
      </rPr>
      <t>C2907023</t>
    </r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</si>
  <si>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</si>
  <si>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</si>
  <si>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</si>
  <si>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</si>
  <si>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</si>
  <si>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t>3.3k 100mW  75V ±100ppm/℃ ±5% 0603</t>
  </si>
  <si>
    <t>C25995</t>
  </si>
  <si>
    <r>
      <rPr>
        <u val="single"/>
        <sz val="10"/>
        <color indexed="8"/>
        <rFont val="Arial"/>
      </rPr>
      <t>C25995</t>
    </r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</si>
  <si>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</si>
  <si>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</si>
  <si>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</si>
  <si>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</si>
  <si>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</si>
  <si>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t>4.7k</t>
  </si>
  <si>
    <t>4.7k 100mW  75V ±100ppm/℃ ±5% 0603</t>
  </si>
  <si>
    <t>C25999</t>
  </si>
  <si>
    <r>
      <rPr>
        <u val="single"/>
        <sz val="10"/>
        <color indexed="8"/>
        <rFont val="Arial"/>
      </rPr>
      <t>C25999</t>
    </r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</si>
  <si>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</si>
  <si>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</si>
  <si>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</si>
  <si>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</si>
  <si>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</si>
  <si>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t>5.6k</t>
  </si>
  <si>
    <t>5.6k 100mW  75V ±100ppm/℃ ±5% 0603</t>
  </si>
  <si>
    <t>C26001</t>
  </si>
  <si>
    <r>
      <rPr>
        <u val="single"/>
        <sz val="10"/>
        <color indexed="8"/>
        <rFont val="Arial"/>
      </rPr>
      <t>C26001</t>
    </r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</si>
  <si>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</si>
  <si>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</si>
  <si>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</si>
  <si>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</si>
  <si>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</si>
  <si>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t>10k</t>
  </si>
  <si>
    <t xml:space="preserve">10k 100mW s 150V ±100ppm/℃ ±5% 0603 </t>
  </si>
  <si>
    <t>C4118381</t>
  </si>
  <si>
    <r>
      <rPr>
        <u val="single"/>
        <sz val="10"/>
        <color indexed="8"/>
        <rFont val="Arial"/>
      </rPr>
      <t>C4118381</t>
    </r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</si>
  <si>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</si>
  <si>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</si>
  <si>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</si>
  <si>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</si>
  <si>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t xml:space="preserve">10k 100mW  75V ±100ppm/℃ ±5% 0603 </t>
  </si>
  <si>
    <t>C2930027</t>
  </si>
  <si>
    <r>
      <rPr>
        <u val="single"/>
        <sz val="10"/>
        <color indexed="8"/>
        <rFont val="Arial"/>
      </rPr>
      <t>C2930027</t>
    </r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</si>
  <si>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</si>
  <si>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</si>
  <si>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t>10k 100mW  75V ±100ppm/℃ ±5% 0603</t>
  </si>
  <si>
    <t>C15401</t>
  </si>
  <si>
    <r>
      <rPr>
        <u val="single"/>
        <sz val="10"/>
        <color indexed="8"/>
        <rFont val="Arial"/>
      </rPr>
      <t>C15401</t>
    </r>
  </si>
  <si>
    <t>0603WAJ0103T5E</t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</si>
  <si>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</si>
  <si>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</si>
  <si>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</si>
  <si>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t>22k</t>
  </si>
  <si>
    <t>22k 100mW  75V ±100ppm/℃ ±5% 0603</t>
  </si>
  <si>
    <t>C23344</t>
  </si>
  <si>
    <r>
      <rPr>
        <u val="single"/>
        <sz val="10"/>
        <color indexed="8"/>
        <rFont val="Arial"/>
      </rPr>
      <t>C23344</t>
    </r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</si>
  <si>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</si>
  <si>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</si>
  <si>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</si>
  <si>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</si>
  <si>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</si>
  <si>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t>100k</t>
  </si>
  <si>
    <t>100k 100mW  75V ±100ppm/℃ ±5% 0603</t>
  </si>
  <si>
    <t>C15458</t>
  </si>
  <si>
    <r>
      <rPr>
        <u val="single"/>
        <sz val="10"/>
        <color indexed="8"/>
        <rFont val="Arial"/>
      </rPr>
      <t>C15458</t>
    </r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</si>
  <si>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</si>
  <si>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</si>
  <si>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</si>
  <si>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</si>
  <si>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</si>
  <si>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t>1M</t>
  </si>
  <si>
    <t xml:space="preserve">1.0M 100mW  75V ±100ppm/℃ ±1% 0603 </t>
  </si>
  <si>
    <t>C22935</t>
  </si>
  <si>
    <r>
      <rPr>
        <u val="single"/>
        <sz val="10"/>
        <color indexed="8"/>
        <rFont val="Arial"/>
      </rPr>
      <t>C22935</t>
    </r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</si>
  <si>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</si>
  <si>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</si>
  <si>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</si>
  <si>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</si>
  <si>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</si>
  <si>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t xml:space="preserve">1.0M 100mW  75V ±100ppm/℃ ±5% 0603 </t>
  </si>
  <si>
    <t>C26098</t>
  </si>
  <si>
    <r>
      <rPr>
        <u val="single"/>
        <sz val="10"/>
        <color indexed="8"/>
        <rFont val="Arial"/>
      </rPr>
      <t>C26098</t>
    </r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</si>
  <si>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</si>
  <si>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</si>
  <si>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</si>
  <si>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</si>
  <si>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</si>
  <si>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t>2.2M</t>
  </si>
  <si>
    <t xml:space="preserve">2.2M 100mW  75V ±100ppm/℃ ±5% 0603 </t>
  </si>
  <si>
    <t>C18679</t>
  </si>
  <si>
    <r>
      <rPr>
        <u val="single"/>
        <sz val="10"/>
        <color indexed="8"/>
        <rFont val="Arial"/>
      </rPr>
      <t>C18679</t>
    </r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</si>
  <si>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</si>
  <si>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</si>
  <si>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</si>
  <si>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</si>
  <si>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t xml:space="preserve">2.2M 100mW  50V ±250ppm/℃ ±5% 0603 </t>
  </si>
  <si>
    <t>C403986</t>
  </si>
  <si>
    <r>
      <rPr>
        <u val="single"/>
        <sz val="10"/>
        <color indexed="8"/>
        <rFont val="Arial"/>
      </rPr>
      <t>C403986</t>
    </r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</si>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</sst>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3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5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49" fontId="5" fillId="3" borderId="2" applyNumberFormat="1" applyFont="1" applyFill="1" applyBorder="1" applyAlignment="1" applyProtection="0">
      <alignment horizontal="left" vertical="center"/>
    </xf>
    <xf numFmtId="49" fontId="5" fillId="4" borderId="2" applyNumberFormat="1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49" fontId="6" borderId="2" applyNumberFormat="1" applyFont="1" applyFill="0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49" fontId="5" fillId="5" borderId="2" applyNumberFormat="1" applyFont="1" applyFill="1" applyBorder="1" applyAlignment="1" applyProtection="0">
      <alignment horizontal="left" vertical="center"/>
    </xf>
    <xf numFmtId="0" fontId="0" borderId="2" applyNumberFormat="1" applyFont="1" applyFill="0" applyBorder="1" applyAlignment="1" applyProtection="0">
      <alignment horizontal="center" vertical="top" wrapText="1"/>
    </xf>
    <xf numFmtId="0" fontId="5" fillId="3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top"/>
    </xf>
    <xf numFmtId="49" fontId="6" borderId="2" applyNumberFormat="1" applyFont="1" applyFill="0" applyBorder="1" applyAlignment="1" applyProtection="0">
      <alignment horizontal="left" vertical="top"/>
    </xf>
    <xf numFmtId="49" fontId="5" fillId="3" borderId="3" applyNumberFormat="1" applyFont="1" applyFill="1" applyBorder="1" applyAlignment="1" applyProtection="0">
      <alignment horizontal="left" vertical="center"/>
    </xf>
    <xf numFmtId="49" fontId="5" fillId="4" borderId="3" applyNumberFormat="1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49" fontId="5" fillId="5" borderId="3" applyNumberFormat="1" applyFont="1" applyFill="1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0" fontId="5" fillId="3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top"/>
    </xf>
    <xf numFmtId="49" fontId="6" borderId="3" applyNumberFormat="1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center"/>
    </xf>
    <xf numFmtId="0" fontId="6" fillId="3" borderId="3" applyNumberFormat="0" applyFont="1" applyFill="1" applyBorder="1" applyAlignment="1" applyProtection="0">
      <alignment horizontal="left" vertical="center"/>
    </xf>
    <xf numFmtId="49" fontId="6" fillId="3" borderId="3" applyNumberFormat="1" applyFont="1" applyFill="1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49" fontId="6" borderId="3" applyNumberFormat="1" applyFont="1" applyFill="0" applyBorder="1" applyAlignment="1" applyProtection="0">
      <alignment horizontal="left" vertical="center" readingOrder="1"/>
    </xf>
    <xf numFmtId="49" fontId="5" borderId="3" applyNumberFormat="1" applyFont="1" applyFill="0" applyBorder="1" applyAlignment="1" applyProtection="0">
      <alignment horizontal="left" vertical="center" readingOrder="1"/>
    </xf>
    <xf numFmtId="49" fontId="5" fillId="3" borderId="3" applyNumberFormat="1" applyFont="1" applyFill="1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6" borderId="3" applyNumberFormat="1" applyFont="1" applyFill="0" applyBorder="1" applyAlignment="1" applyProtection="0">
      <alignment horizontal="left" vertical="top" wrapText="1"/>
    </xf>
    <xf numFmtId="49" fontId="5" borderId="3" applyNumberFormat="1" applyFont="1" applyFill="0" applyBorder="1" applyAlignment="1" applyProtection="0">
      <alignment horizontal="left" vertical="center" wrapText="1"/>
    </xf>
    <xf numFmtId="0" fontId="6" borderId="3" applyNumberFormat="0" applyFont="1" applyFill="0" applyBorder="1" applyAlignment="1" applyProtection="0">
      <alignment horizontal="left" vertical="top"/>
    </xf>
    <xf numFmtId="0" fontId="5" borderId="3" applyNumberFormat="0" applyFont="1" applyFill="0" applyBorder="1" applyAlignment="1" applyProtection="0">
      <alignment horizontal="left" vertical="center" readingOrder="1"/>
    </xf>
    <xf numFmtId="49" fontId="10" fillId="3" borderId="3" applyNumberFormat="1" applyFont="1" applyFill="1" applyBorder="1" applyAlignment="1" applyProtection="0">
      <alignment horizontal="left" vertical="center"/>
    </xf>
    <xf numFmtId="49" fontId="10" fillId="3" borderId="1" applyNumberFormat="1" applyFont="1" applyFill="1" applyBorder="1" applyAlignment="1" applyProtection="0">
      <alignment horizontal="left" vertical="center"/>
    </xf>
    <xf numFmtId="49" fontId="5" fillId="4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49" fontId="5" fillId="5" borderId="1" applyNumberFormat="1" applyFont="1" applyFill="1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center" vertical="center"/>
    </xf>
    <xf numFmtId="49" fontId="5" fillId="3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49" fontId="11" borderId="2" applyNumberFormat="1" applyFont="1" applyFill="0" applyBorder="1" applyAlignment="1" applyProtection="0">
      <alignment vertical="top"/>
    </xf>
    <xf numFmtId="0" fontId="11" borderId="2" applyNumberFormat="0" applyFont="1" applyFill="0" applyBorder="1" applyAlignment="1" applyProtection="0">
      <alignment vertical="top"/>
    </xf>
    <xf numFmtId="0" fontId="12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fffff"/>
      <rgbColor rgb="ffdfffdf"/>
      <rgbColor rgb="ffe6f7e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EDG-104" TargetMode="External"/><Relationship Id="rId4" Type="http://schemas.openxmlformats.org/officeDocument/2006/relationships/hyperlink" Target="https://wmsc.lcsc.com/wmsc/upload/file/pdf/v2/lcsc/2311231642_ECE-EDG104S33_C840579.pdf" TargetMode="External"/><Relationship Id="rId5" Type="http://schemas.openxmlformats.org/officeDocument/2006/relationships/hyperlink" Target="https://wmsc.lcsc.com/wmsc/upload/file/pdf/v2/lcsc/2212291730_hanxia-HX-TS666CJ-250gf-009_C5340138.pdf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jlcpcb.com/partdetail/C5340138" TargetMode="External"/><Relationship Id="rId8" Type="http://schemas.openxmlformats.org/officeDocument/2006/relationships/hyperlink" Target="https://wmsc.lcsc.com/wmsc/upload/file/pdf/v2/lcsc/2212291730_hanxia-HX-TS666CJ-250gf-009_C5340138.pdf" TargetMode="External"/><Relationship Id="rId9" Type="http://schemas.openxmlformats.org/officeDocument/2006/relationships/hyperlink" Target="https://jlcpcb.com/partdetail/C5340123" TargetMode="External"/><Relationship Id="rId10" Type="http://schemas.openxmlformats.org/officeDocument/2006/relationships/hyperlink" Target="https://wmsc.lcsc.com/wmsc/upload/file/pdf/v2/lcsc/2212271430_hanxia-HX-TS666TP-250gf-009_C5340123.pdf" TargetMode="External"/><Relationship Id="rId11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12" Type="http://schemas.openxmlformats.org/officeDocument/2006/relationships/hyperlink" Target="https://mischianti.org/wp-content/uploads/2020/11/ESP32-DOIT-DEV-KIT-v1-pinout-mischianti.png" TargetMode="External"/><Relationship Id="rId13" Type="http://schemas.openxmlformats.org/officeDocument/2006/relationships/hyperlink" Target="https://jlcpcb.com/partdetail/C1852832" TargetMode="External"/><Relationship Id="rId14" Type="http://schemas.openxmlformats.org/officeDocument/2006/relationships/hyperlink" Target="https://wmsc.lcsc.com/wmsc/upload/file/pdf/v2/lcsc/2201271000_YAGEO-CC0603KPX7R8BB103_C1852832.pdf" TargetMode="External"/><Relationship Id="rId15" Type="http://schemas.openxmlformats.org/officeDocument/2006/relationships/hyperlink" Target="https://jlcpcb.com/partdetail/C3910010" TargetMode="External"/><Relationship Id="rId16" Type="http://schemas.openxmlformats.org/officeDocument/2006/relationships/hyperlink" Target="https://jlcpcb.com/partdetail/C100042" TargetMode="External"/><Relationship Id="rId17" Type="http://schemas.openxmlformats.org/officeDocument/2006/relationships/hyperlink" Target="https://www.lcsc.com/datasheet/lcsc_datasheet_2304140030_YAGEO-CC0603KRX7R9BB103_C100042.pdf" TargetMode="External"/><Relationship Id="rId18" Type="http://schemas.openxmlformats.org/officeDocument/2006/relationships/hyperlink" Target="https://jlcpcb.com/partdetail/C3853265" TargetMode="External"/><Relationship Id="rId19" Type="http://schemas.openxmlformats.org/officeDocument/2006/relationships/hyperlink" Target="https://jlcpcb.com/partdetail/C14663" TargetMode="External"/><Relationship Id="rId20" Type="http://schemas.openxmlformats.org/officeDocument/2006/relationships/hyperlink" Target="https://www.lcsc.com/datasheet/lcsc_datasheet_2211101700_YAGEO-CC0603KRX7R9BB104_C14663.pdf" TargetMode="External"/><Relationship Id="rId21" Type="http://schemas.openxmlformats.org/officeDocument/2006/relationships/hyperlink" Target="https://jlcpcb.com/partdetail/C2169859" TargetMode="External"/><Relationship Id="rId22" Type="http://schemas.openxmlformats.org/officeDocument/2006/relationships/hyperlink" Target="https://wmsc.lcsc.com/wmsc/upload/file/pdf/v2/lcsc/2309051403_Taiyo-Yuden-GMK107BJ105KAHT_C2169859.pdf" TargetMode="External"/><Relationship Id="rId23" Type="http://schemas.openxmlformats.org/officeDocument/2006/relationships/hyperlink" Target="https://jlcpcb.com/partdetail/C15849" TargetMode="External"/><Relationship Id="rId24" Type="http://schemas.openxmlformats.org/officeDocument/2006/relationships/hyperlink" Target="https://www.lcsc.com/datasheet/lcsc_datasheet_2304140030_Samsung-Electro-Mechanics-CL10A105KB8NNNC_C15849.pdf" TargetMode="External"/><Relationship Id="rId25" Type="http://schemas.openxmlformats.org/officeDocument/2006/relationships/hyperlink" Target="https://jlcpcb.com/partdetail/C13585" TargetMode="External"/><Relationship Id="rId26" Type="http://schemas.openxmlformats.org/officeDocument/2006/relationships/hyperlink" Target="https://www.lcsc.com/datasheet/lcsc_datasheet_2304140030_Samsung-Electro-Mechanics-CL31A106KBHNNNE_C13585.pdf" TargetMode="External"/><Relationship Id="rId27" Type="http://schemas.openxmlformats.org/officeDocument/2006/relationships/hyperlink" Target="https://jlcpcb.com/partdetail/C136294" TargetMode="External"/><Relationship Id="rId28" Type="http://schemas.openxmlformats.org/officeDocument/2006/relationships/hyperlink" Target="https://www.lcsc.com/datasheet/lcsc_datasheet_1808312007_Nichicon-UCD1V221MNL1GS_C136294.pdf" TargetMode="External"/><Relationship Id="rId29" Type="http://schemas.openxmlformats.org/officeDocument/2006/relationships/hyperlink" Target="https://jlcpcb.com/partdetail/C353517" TargetMode="External"/><Relationship Id="rId30" Type="http://schemas.openxmlformats.org/officeDocument/2006/relationships/hyperlink" Target="https://www.lcsc.com/datasheet/lcsc_datasheet_2304140030_Shandong-Jingdao-Microelectronics-BZT52C4V7S_C353517.pdf" TargetMode="External"/><Relationship Id="rId31" Type="http://schemas.openxmlformats.org/officeDocument/2006/relationships/hyperlink" Target="https://jlcpcb.com/partdetail/C5261070" TargetMode="External"/><Relationship Id="rId32" Type="http://schemas.openxmlformats.org/officeDocument/2006/relationships/hyperlink" Target="https://wmsc.lcsc.com/wmsc/upload/file/pdf/v2/lcsc/2406051353_HXY-MOSFET-BAT54_C5261070.pdf" TargetMode="External"/><Relationship Id="rId33" Type="http://schemas.openxmlformats.org/officeDocument/2006/relationships/hyperlink" Target="https://jlcpcb.com/partdetail/C2926172" TargetMode="External"/><Relationship Id="rId34" Type="http://schemas.openxmlformats.org/officeDocument/2006/relationships/hyperlink" Target="https://wmsc.lcsc.com/wmsc/upload/file/pdf/v2/lcsc/2112031830_FOSAN-BAT54A_C2926172.pdf" TargetMode="External"/><Relationship Id="rId35" Type="http://schemas.openxmlformats.org/officeDocument/2006/relationships/hyperlink" Target="https://jlcpcb.com/partdetail/C2926174" TargetMode="External"/><Relationship Id="rId36" Type="http://schemas.openxmlformats.org/officeDocument/2006/relationships/hyperlink" Target="https://wmsc.lcsc.com/wmsc/upload/file/pdf/v2/lcsc/2112031830_FOSAN-BAT54S_C2926174.pdf" TargetMode="External"/><Relationship Id="rId37" Type="http://schemas.openxmlformats.org/officeDocument/2006/relationships/hyperlink" Target="https://jlcpcb.com/partdetail/C408388" TargetMode="External"/><Relationship Id="rId38" Type="http://schemas.openxmlformats.org/officeDocument/2006/relationships/hyperlink" Target="https://www.lcsc.com/datasheet/lcsc_datasheet_2407101108_MDD-Microdiode-Semiconductor-BAT54C_C408388.pdf" TargetMode="External"/><Relationship Id="rId39" Type="http://schemas.openxmlformats.org/officeDocument/2006/relationships/hyperlink" Target="https://jlcpcb.com/partdetail/C2683482" TargetMode="External"/><Relationship Id="rId40" Type="http://schemas.openxmlformats.org/officeDocument/2006/relationships/hyperlink" Target="https://www.lcsc.com/datasheet/lcsc_datasheet_2403081523_IDCHIP-LM358D_C2683482.pdf" TargetMode="External"/><Relationship Id="rId41" Type="http://schemas.openxmlformats.org/officeDocument/2006/relationships/hyperlink" Target="https://jlcpcb.com/partdetail/C5145392" TargetMode="External"/><Relationship Id="rId42" Type="http://schemas.openxmlformats.org/officeDocument/2006/relationships/hyperlink" Target="https://wmsc.lcsc.com/wmsc/upload/file/pdf/v2/lcsc/2209290930_HANSCHIP-semiconductor-NE556DRG_C5145392.pdf" TargetMode="External"/><Relationship Id="rId43" Type="http://schemas.openxmlformats.org/officeDocument/2006/relationships/hyperlink" Target="https://jlcpcb.com/partdetail/C629440" TargetMode="External"/><Relationship Id="rId44" Type="http://schemas.openxmlformats.org/officeDocument/2006/relationships/hyperlink" Target="https://wmsc.lcsc.com/wmsc/upload/file/pdf/v2/lcsc/2203221230_Microchip-Tech-MCP23017T-E-SO_C629440.pdf" TargetMode="External"/><Relationship Id="rId45" Type="http://schemas.openxmlformats.org/officeDocument/2006/relationships/hyperlink" Target="https://jlcpcb.com/partdetail/C2678753" TargetMode="External"/><Relationship Id="rId46" Type="http://schemas.openxmlformats.org/officeDocument/2006/relationships/hyperlink" Target="https://www.lcsc.com/datasheet/lcsc_datasheet_2405281434_NXP-Semicon-PCA9685PW-118_C2678753.pdf" TargetMode="External"/><Relationship Id="rId47" Type="http://schemas.openxmlformats.org/officeDocument/2006/relationships/hyperlink" Target="https://jlcpcb.com/partdetail/C965807" TargetMode="External"/><Relationship Id="rId48" Type="http://schemas.openxmlformats.org/officeDocument/2006/relationships/hyperlink" Target="https://wmsc.lcsc.com/wmsc/upload/file/pdf/v2/lcsc/2402181505_XINGLIGHT-XL-1608UBC-04_C965807.pdf" TargetMode="External"/><Relationship Id="rId49" Type="http://schemas.openxmlformats.org/officeDocument/2006/relationships/hyperlink" Target="https://jlcpcb.com/partdetail/C965808" TargetMode="External"/><Relationship Id="rId50" Type="http://schemas.openxmlformats.org/officeDocument/2006/relationships/hyperlink" Target="https://wmsc.lcsc.com/wmsc/upload/file/pdf/v2/lcsc/2402181505_XINGLIGHT-XL-1608UWC-04_C965808.pdf" TargetMode="External"/><Relationship Id="rId51" Type="http://schemas.openxmlformats.org/officeDocument/2006/relationships/hyperlink" Target="https://jlcpcb.com/partdetail/C965804" TargetMode="External"/><Relationship Id="rId52" Type="http://schemas.openxmlformats.org/officeDocument/2006/relationships/hyperlink" Target="https://wmsc.lcsc.com/wmsc/upload/file/pdf/v2/lcsc/2402181505_XINGLIGHT-XL-1608UGC-04_C965804.pdf" TargetMode="External"/><Relationship Id="rId53" Type="http://schemas.openxmlformats.org/officeDocument/2006/relationships/hyperlink" Target="https://jlcpcb.com/partdetail/C965806" TargetMode="External"/><Relationship Id="rId54" Type="http://schemas.openxmlformats.org/officeDocument/2006/relationships/hyperlink" Target="https://wmsc.lcsc.com/wmsc/upload/file/pdf/v2/lcsc/2402181505_XINGLIGHT-XL-1608SYGC-04_C965806.pdf" TargetMode="External"/><Relationship Id="rId55" Type="http://schemas.openxmlformats.org/officeDocument/2006/relationships/hyperlink" Target="https://jlcpcb.com/partdetail/C22371303" TargetMode="External"/><Relationship Id="rId56" Type="http://schemas.openxmlformats.org/officeDocument/2006/relationships/hyperlink" Target="https://wmsc.lcsc.com/wmsc/upload/file/pdf/v2/lcsc/2403281522_HONGLITRONIC-Hongli-Zhihui--HONGLITRONIC-HL-PSC-1608S25OC-G4_C22371303.pdf" TargetMode="External"/><Relationship Id="rId57" Type="http://schemas.openxmlformats.org/officeDocument/2006/relationships/hyperlink" Target="https://jlcpcb.com/partdetail/C965800" TargetMode="External"/><Relationship Id="rId58" Type="http://schemas.openxmlformats.org/officeDocument/2006/relationships/hyperlink" Target="https://wmsc.lcsc.com/wmsc/upload/file/pdf/v2/lcsc/2402181505_XINGLIGHT-XL-1608UOC-06_C965800.pdf" TargetMode="External"/><Relationship Id="rId59" Type="http://schemas.openxmlformats.org/officeDocument/2006/relationships/hyperlink" Target="https://jlcpcb.com/partdetail/C965801" TargetMode="External"/><Relationship Id="rId60" Type="http://schemas.openxmlformats.org/officeDocument/2006/relationships/hyperlink" Target="https://wmsc.lcsc.com/wmsc/upload/file/pdf/v2/lcsc/2402181505_XINGLIGHT-XL-1608UOC-06_C965800.pdf" TargetMode="External"/><Relationship Id="rId61" Type="http://schemas.openxmlformats.org/officeDocument/2006/relationships/hyperlink" Target="https://jlcpcb.com/partdetail/C965803" TargetMode="External"/><Relationship Id="rId62" Type="http://schemas.openxmlformats.org/officeDocument/2006/relationships/hyperlink" Target="https://wmsc.lcsc.com/wmsc/upload/file/pdf/v2/lcsc/2402181505_XINGLIGHT-XL-1608UOC-04_C965801.pdf" TargetMode="External"/><Relationship Id="rId63" Type="http://schemas.openxmlformats.org/officeDocument/2006/relationships/hyperlink" Target="https://jlcpcb.com/partdetail/C7288939" TargetMode="External"/><Relationship Id="rId64" Type="http://schemas.openxmlformats.org/officeDocument/2006/relationships/hyperlink" Target="https://wmsc.lcsc.com/wmsc/upload/file/pdf/v2/lcsc/2404241146_Inolux-IN-S63ASR_C7288939.pdf" TargetMode="External"/><Relationship Id="rId65" Type="http://schemas.openxmlformats.org/officeDocument/2006/relationships/hyperlink" Target="https://jlcpcb.com/partdetail/C965799" TargetMode="External"/><Relationship Id="rId66" Type="http://schemas.openxmlformats.org/officeDocument/2006/relationships/hyperlink" Target="https://wmsc.lcsc.com/wmsc/upload/file/pdf/v2/lcsc/2402181505_XINGLIGHT-XL-1608SURC-06_C965799.pdf" TargetMode="External"/><Relationship Id="rId67" Type="http://schemas.openxmlformats.org/officeDocument/2006/relationships/hyperlink" Target="https://jlcpcb.com/partdetail/C965798" TargetMode="External"/><Relationship Id="rId68" Type="http://schemas.openxmlformats.org/officeDocument/2006/relationships/hyperlink" Target="https://wmsc.lcsc.com/wmsc/upload/file/pdf/v2/lcsc/2402181505_XINGLIGHT-XL-1608SURC-04_C965798.pdf" TargetMode="External"/><Relationship Id="rId69" Type="http://schemas.openxmlformats.org/officeDocument/2006/relationships/hyperlink" Target="https://jlcpcb.com/partdetail/C2843785" TargetMode="External"/><Relationship Id="rId70" Type="http://schemas.openxmlformats.org/officeDocument/2006/relationships/hyperlink" Target="https://www.lcsc.com/datasheet/lcsc_datasheet_2404120946_XINGLIGHT-XL-5050RGBC-WS2812B_C2843785.pdf" TargetMode="External"/><Relationship Id="rId71" Type="http://schemas.openxmlformats.org/officeDocument/2006/relationships/hyperlink" Target="https://jlcpcb.com/partdetail/C5345985" TargetMode="External"/><Relationship Id="rId72" Type="http://schemas.openxmlformats.org/officeDocument/2006/relationships/hyperlink" Target="https://wmsc.lcsc.com/wmsc/upload/file/pdf/v2/lcsc/2301120930_HXY-MOSFET-AMS1117-ADJ_C5345985.pdf" TargetMode="External"/><Relationship Id="rId73" Type="http://schemas.openxmlformats.org/officeDocument/2006/relationships/hyperlink" Target="https://jlcpcb.com/partdetail/C5345982" TargetMode="External"/><Relationship Id="rId74" Type="http://schemas.openxmlformats.org/officeDocument/2006/relationships/hyperlink" Target="https://wmsc.lcsc.com/wmsc/upload/file/pdf/v2/lcsc/2301120930_HXY-MOSFET-AMS1117-3-3_C5345982.pdf" TargetMode="External"/><Relationship Id="rId75" Type="http://schemas.openxmlformats.org/officeDocument/2006/relationships/hyperlink" Target="https://jlcpcb.com/partdetail/C5345984" TargetMode="External"/><Relationship Id="rId76" Type="http://schemas.openxmlformats.org/officeDocument/2006/relationships/hyperlink" Target="https://wmsc.lcsc.com/wmsc/upload/file/pdf/v2/lcsc/2301120930_HXY-MOSFET-AMS1117-5-0_C5345984.pdf" TargetMode="External"/><Relationship Id="rId77" Type="http://schemas.openxmlformats.org/officeDocument/2006/relationships/hyperlink" Target="https://omronfs.omron.com/en_US/ecb/products/pdf/en-g2rl.pdf" TargetMode="External"/><Relationship Id="rId78" Type="http://schemas.openxmlformats.org/officeDocument/2006/relationships/hyperlink" Target="https://jlcpcb.com/partdetail/C5184404" TargetMode="External"/><Relationship Id="rId79" Type="http://schemas.openxmlformats.org/officeDocument/2006/relationships/hyperlink" Target="https://wmsc.lcsc.com/wmsc/upload/file/pdf/v2/lcsc/2407151447_HXY-MOSFET-MMBT3904_C5184404.pdf" TargetMode="External"/><Relationship Id="rId80" Type="http://schemas.openxmlformats.org/officeDocument/2006/relationships/hyperlink" Target="https://jlcpcb.com/partdetail/C5184433" TargetMode="External"/><Relationship Id="rId81" Type="http://schemas.openxmlformats.org/officeDocument/2006/relationships/hyperlink" Target="https://wmsc.lcsc.com/wmsc/upload/file/pdf/v2/lcsc/2303091430_HXY-MOSFET-BC807-40_C5184433.pdf" TargetMode="External"/><Relationship Id="rId82" Type="http://schemas.openxmlformats.org/officeDocument/2006/relationships/hyperlink" Target="https://jlcpcb.com/partdetail/C5224215" TargetMode="External"/><Relationship Id="rId83" Type="http://schemas.openxmlformats.org/officeDocument/2006/relationships/hyperlink" Target="https://wmsc.lcsc.com/wmsc/upload/file/pdf/v2/lcsc/2210271630_ElecSuper-2N7002_C5224215.pdf" TargetMode="External"/><Relationship Id="rId84" Type="http://schemas.openxmlformats.org/officeDocument/2006/relationships/hyperlink" Target="https://jlcpcb.com/partdetail/C878901" TargetMode="External"/><Relationship Id="rId85" Type="http://schemas.openxmlformats.org/officeDocument/2006/relationships/hyperlink" Target="https://www.diodes.com/assets/Datasheets/ds31773.pdf" TargetMode="External"/><Relationship Id="rId86" Type="http://schemas.openxmlformats.org/officeDocument/2006/relationships/hyperlink" Target="https://jlcpcb.com/partdetail/C7499856" TargetMode="External"/><Relationship Id="rId87" Type="http://schemas.openxmlformats.org/officeDocument/2006/relationships/hyperlink" Target="https://wmsc.lcsc.com/wmsc/upload/file/pdf/v2/lcsc/2310251707_HL-2301V_C7499856.pdf" TargetMode="External"/><Relationship Id="rId88" Type="http://schemas.openxmlformats.org/officeDocument/2006/relationships/hyperlink" Target="https://jlcpcb.com/partdetail/C2907123" TargetMode="External"/><Relationship Id="rId89" Type="http://schemas.openxmlformats.org/officeDocument/2006/relationships/hyperlink" Target="https://wmsc.lcsc.com/wmsc/upload/file/pdf/v2/lcsc/2308241947_FOJAN-FRC0603J201-TS_C2907123.pdf" TargetMode="External"/><Relationship Id="rId90" Type="http://schemas.openxmlformats.org/officeDocument/2006/relationships/hyperlink" Target="https://jlcpcb.com/partdetail/C5842375" TargetMode="External"/><Relationship Id="rId91" Type="http://schemas.openxmlformats.org/officeDocument/2006/relationships/hyperlink" Target="https://wmsc.lcsc.com/wmsc/upload/file/pdf/v2/lcsc/2312030915_YAGEO-RC0603FR-13220RL_C5842375.pdf" TargetMode="External"/><Relationship Id="rId92" Type="http://schemas.openxmlformats.org/officeDocument/2006/relationships/hyperlink" Target="https://jlcpcb.com/partdetail/C1226" TargetMode="External"/><Relationship Id="rId93" Type="http://schemas.openxmlformats.org/officeDocument/2006/relationships/hyperlink" Target="https://www.lcsc.com/datasheet/lcsc_datasheet_2206010230_UNI-ROYAL-Uniroyal-Elec-0603WAJ0221T5E_C1226.pdf" TargetMode="External"/><Relationship Id="rId94" Type="http://schemas.openxmlformats.org/officeDocument/2006/relationships/hyperlink" Target="https://jlcpcb.com/partdetail/C25231" TargetMode="External"/><Relationship Id="rId95" Type="http://schemas.openxmlformats.org/officeDocument/2006/relationships/hyperlink" Target="https://www.lcsc.com/datasheet/lcsc_datasheet_2205311845_UNI-ROYAL-Uniroyal-Elec-0603WAJ0331T5E_C25231.pdf" TargetMode="External"/><Relationship Id="rId96" Type="http://schemas.openxmlformats.org/officeDocument/2006/relationships/hyperlink" Target="https://jlcpcb.com/partdetail/C25241" TargetMode="External"/><Relationship Id="rId97" Type="http://schemas.openxmlformats.org/officeDocument/2006/relationships/hyperlink" Target="https://www.lcsc.com/datasheet/lcsc_datasheet_2205311845_UNI-ROYAL-Uniroyal-Elec-0603WAJ0471T5E_C25241.pdf" TargetMode="External"/><Relationship Id="rId98" Type="http://schemas.openxmlformats.org/officeDocument/2006/relationships/hyperlink" Target="https://jlcpcb.com/partdetail/C25585" TargetMode="External"/><Relationship Id="rId99" Type="http://schemas.openxmlformats.org/officeDocument/2006/relationships/hyperlink" Target="https://www.lcsc.com/datasheet/lcsc_datasheet_2206010100_UNI-ROYAL-Uniroyal-Elec-0603WAJ0102T5E_C25585.pdf" TargetMode="External"/><Relationship Id="rId100" Type="http://schemas.openxmlformats.org/officeDocument/2006/relationships/hyperlink" Target="https://jlcpcb.com/partdetail/C25992" TargetMode="External"/><Relationship Id="rId101" Type="http://schemas.openxmlformats.org/officeDocument/2006/relationships/hyperlink" Target="https://www.lcsc.com/datasheet/lcsc_datasheet_2206010045_UNI-ROYAL-Uniroyal-Elec-0603WAJ0222T5E_C25992.pdf" TargetMode="External"/><Relationship Id="rId102" Type="http://schemas.openxmlformats.org/officeDocument/2006/relationships/hyperlink" Target="https://jlcpcb.com/partdetail/C2907023" TargetMode="External"/><Relationship Id="rId103" Type="http://schemas.openxmlformats.org/officeDocument/2006/relationships/hyperlink" Target="https://wmsc.lcsc.com/wmsc/upload/file/pdf/v2/lcsc/2308241947_FOJAN-FRC0603F3301TS_C2907023.pdf" TargetMode="External"/><Relationship Id="rId104" Type="http://schemas.openxmlformats.org/officeDocument/2006/relationships/hyperlink" Target="https://jlcpcb.com/partdetail/C25995" TargetMode="External"/><Relationship Id="rId105" Type="http://schemas.openxmlformats.org/officeDocument/2006/relationships/hyperlink" Target="https://www.lcsc.com/datasheet/lcsc_datasheet_2206010045_UNI-ROYAL-Uniroyal-Elec-0603WAJ0332T5E_C25995.pdf" TargetMode="External"/><Relationship Id="rId106" Type="http://schemas.openxmlformats.org/officeDocument/2006/relationships/hyperlink" Target="https://jlcpcb.com/partdetail/C25999" TargetMode="External"/><Relationship Id="rId107" Type="http://schemas.openxmlformats.org/officeDocument/2006/relationships/hyperlink" Target="https://www.lcsc.com/datasheet/lcsc_datasheet_2206010045_UNI-ROYAL-Uniroyal-Elec-0603WAJ0472T5E_C25999.pdf" TargetMode="External"/><Relationship Id="rId108" Type="http://schemas.openxmlformats.org/officeDocument/2006/relationships/hyperlink" Target="https://jlcpcb.com/partdetail/C26001" TargetMode="External"/><Relationship Id="rId109" Type="http://schemas.openxmlformats.org/officeDocument/2006/relationships/hyperlink" Target="https://www.lcsc.com/datasheet/lcsc_datasheet_2206010045_UNI-ROYAL-Uniroyal-Elec-0603WAJ0562T5E_C26001.pdf" TargetMode="External"/><Relationship Id="rId110" Type="http://schemas.openxmlformats.org/officeDocument/2006/relationships/hyperlink" Target="https://jlcpcb.com/partdetail/C4118381" TargetMode="External"/><Relationship Id="rId111" Type="http://schemas.openxmlformats.org/officeDocument/2006/relationships/hyperlink" Target="https://wmsc.lcsc.com/wmsc/upload/file/pdf/v2/lcsc/2404101024_YAGEO-RC0603JR-1310KL_C4118381.pdf" TargetMode="External"/><Relationship Id="rId112" Type="http://schemas.openxmlformats.org/officeDocument/2006/relationships/hyperlink" Target="https://jlcpcb.com/partdetail/C2930027" TargetMode="External"/><Relationship Id="rId113" Type="http://schemas.openxmlformats.org/officeDocument/2006/relationships/hyperlink" Target="https://wmsc.lcsc.com/wmsc/upload/file/pdf/v2/lcsc/2308241009_FOJAN-FRC0603J103TS_C2930027.pdf" TargetMode="External"/><Relationship Id="rId114" Type="http://schemas.openxmlformats.org/officeDocument/2006/relationships/hyperlink" Target="https://jlcpcb.com/partdetail/C15401" TargetMode="External"/><Relationship Id="rId115" Type="http://schemas.openxmlformats.org/officeDocument/2006/relationships/hyperlink" Target="https://wmsc.lcsc.com/wmsc/upload/file/pdf/v2/lcsc/2308241009_FOJAN-FRC0603J103TS_C2930027.pdf" TargetMode="External"/><Relationship Id="rId116" Type="http://schemas.openxmlformats.org/officeDocument/2006/relationships/hyperlink" Target="https://jlcpcb.com/partdetail/C23344" TargetMode="External"/><Relationship Id="rId117" Type="http://schemas.openxmlformats.org/officeDocument/2006/relationships/hyperlink" Target="https://www.lcsc.com/datasheet/lcsc_datasheet_2206010100_UNI-ROYAL-Uniroyal-Elec-0603WAJ0223T5E_C23344.pdf" TargetMode="External"/><Relationship Id="rId118" Type="http://schemas.openxmlformats.org/officeDocument/2006/relationships/hyperlink" Target="https://jlcpcb.com/partdetail/C15458" TargetMode="External"/><Relationship Id="rId119" Type="http://schemas.openxmlformats.org/officeDocument/2006/relationships/hyperlink" Target="https://www.lcsc.com/datasheet/lcsc_datasheet_2206010216_UNI-ROYAL-Uniroyal-Elec-0603WAJ0104T5E_C15458.pdf" TargetMode="External"/><Relationship Id="rId120" Type="http://schemas.openxmlformats.org/officeDocument/2006/relationships/hyperlink" Target="https://jlcpcb.com/partdetail/C22935" TargetMode="External"/><Relationship Id="rId121" Type="http://schemas.openxmlformats.org/officeDocument/2006/relationships/hyperlink" Target="https://www.lcsc.com/datasheet/lcsc_datasheet_2206010130_UNI-ROYAL-Uniroyal-Elec-0603WAF1004T5E_C22935.pdf" TargetMode="External"/><Relationship Id="rId122" Type="http://schemas.openxmlformats.org/officeDocument/2006/relationships/hyperlink" Target="https://jlcpcb.com/partdetail/C26098" TargetMode="External"/><Relationship Id="rId123" Type="http://schemas.openxmlformats.org/officeDocument/2006/relationships/hyperlink" Target="https://www.lcsc.com/datasheet/lcsc_datasheet_2206010030_UNI-ROYAL-Uniroyal-Elec-0603WAJ0105T5E_C26098.pdf" TargetMode="External"/><Relationship Id="rId124" Type="http://schemas.openxmlformats.org/officeDocument/2006/relationships/hyperlink" Target="https://jlcpcb.com/partdetail/C18679" TargetMode="External"/><Relationship Id="rId125" Type="http://schemas.openxmlformats.org/officeDocument/2006/relationships/hyperlink" Target="https://www.lcsc.com/datasheet/lcsc_datasheet_2206010145_UNI-ROYAL-Uniroyal-Elec-0603WAJ0225T5E_C18679.pdf" TargetMode="External"/><Relationship Id="rId126" Type="http://schemas.openxmlformats.org/officeDocument/2006/relationships/hyperlink" Target="https://jlcpcb.com/partdetail/C403986" TargetMode="External"/><Relationship Id="rId127" Type="http://schemas.openxmlformats.org/officeDocument/2006/relationships/hyperlink" Target="https://wmsc.lcsc.com/wmsc/upload/file/pdf/v2/lcsc/2304140030_FH--Guangdong-Fenghua-Advanced-Tech-RS-03L225JJT_C403986.pdf" TargetMode="External"/><Relationship Id="rId128" Type="http://schemas.openxmlformats.org/officeDocument/2006/relationships/hyperlink" Target="https://jlcpcb.com/partdetail/C18679" TargetMode="External"/><Relationship Id="rId129" Type="http://schemas.openxmlformats.org/officeDocument/2006/relationships/hyperlink" Target="https://www.lcsc.com/datasheet/lcsc_datasheet_2206010145_UNI-ROYAL-Uniroyal-Elec-0603WAJ0225T5E_C18679.pdf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E103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hidden="1" width="16.6667" style="1" customWidth="1"/>
    <col min="5" max="5" width="11.9766" style="1" customWidth="1"/>
    <col min="6" max="7" width="17.1328" style="1" customWidth="1"/>
    <col min="8" max="8" width="26.6797" style="1" customWidth="1"/>
    <col min="9" max="9" width="95.5156" style="1" customWidth="1"/>
    <col min="10" max="10" width="14.0781" style="1" customWidth="1"/>
    <col min="11" max="11" width="10.0703" style="1" customWidth="1"/>
    <col min="12" max="12" width="7.70312" style="1" customWidth="1"/>
    <col min="13" max="13" width="10.3672" style="1" customWidth="1"/>
    <col min="14" max="14" width="12.4062" style="1" customWidth="1"/>
    <col min="15" max="15" width="7.70312" style="1" customWidth="1"/>
    <col min="16" max="16" width="9.64844" style="1" customWidth="1"/>
    <col min="17" max="18" width="9.82812" style="1" customWidth="1"/>
    <col min="19" max="19" width="10.6953" style="1" customWidth="1"/>
    <col min="20" max="20" width="8.54688" style="1" customWidth="1"/>
    <col min="21" max="21" width="16.6875" style="1" customWidth="1"/>
    <col min="22" max="23" width="16.6719" style="1" customWidth="1"/>
    <col min="24" max="25" width="13.9453" style="1" customWidth="1"/>
    <col min="26" max="26" width="16.6719" style="1" customWidth="1"/>
    <col min="27" max="27" width="24.6953" style="1" customWidth="1"/>
    <col min="28" max="28" width="34.6484" style="1" customWidth="1"/>
    <col min="29" max="29" width="24.6172" style="1" customWidth="1"/>
    <col min="30" max="30" width="39.5312" style="1" customWidth="1"/>
    <col min="31" max="31" width="118.641" style="1" customWidth="1"/>
    <col min="32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4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5">
        <v>28</v>
      </c>
      <c r="AD3" t="s" s="5">
        <v>29</v>
      </c>
      <c r="AE3" t="s" s="3">
        <v>30</v>
      </c>
    </row>
    <row r="4" ht="18.9" customHeight="1">
      <c r="B4" t="s" s="6">
        <f>E4&amp;"_"&amp;G4</f>
        <v>31</v>
      </c>
      <c r="C4" t="s" s="7">
        <f>$G4&amp;IF($E4="LED"," LED","")&amp;IF($N4="",""," ")&amp;$N4&amp;IF($H4="",""," ")&amp;$H4&amp;IF($O4="",""," ")&amp;$O4&amp;IF($P4="",""," ")&amp;$P4&amp;IF($Q4="",""," ")&amp;$Q4&amp;IF($T4="",""," ")&amp;$T4&amp;IF($T4="","","mcd")</f>
        <v>32</v>
      </c>
      <c r="D4" t="s" s="7">
        <f>B4&amp;" "&amp;$G4&amp;" "&amp;E4&amp;IF($N4="",""," ")&amp;$N4&amp;IF($H4="",""," ")&amp;$H4&amp;IF($O4="",""," ")&amp;$O4&amp;IF($P4="",""," ")&amp;$P4&amp;IF($Q4="",""," ")&amp;$Q4&amp;IF($T4="",""," ")&amp;$T4&amp;IF($T4="","","mcd")</f>
        <v>33</v>
      </c>
      <c r="E4" t="s" s="8">
        <v>34</v>
      </c>
      <c r="F4" t="s" s="8">
        <v>35</v>
      </c>
      <c r="G4" t="s" s="8">
        <v>36</v>
      </c>
      <c r="H4" t="s" s="8">
        <v>37</v>
      </c>
      <c r="I4" t="s" s="9">
        <v>38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t="s" s="6">
        <v>39</v>
      </c>
      <c r="W4" s="10"/>
      <c r="X4" t="s" s="11">
        <f>IF(ISBLANK(W4),"",HYPERLINK("https://jlcpcb.com/partdetail/"&amp;$W4,$W4))</f>
      </c>
      <c r="Y4" s="12">
        <v>10</v>
      </c>
      <c r="Z4" t="s" s="8">
        <v>40</v>
      </c>
      <c r="AA4" s="13"/>
      <c r="AB4" s="10"/>
      <c r="AC4" t="s" s="14">
        <v>41</v>
      </c>
      <c r="AD4" t="s" s="15">
        <v>42</v>
      </c>
      <c r="AE4" s="10"/>
    </row>
    <row r="5" ht="18.9" customHeight="1">
      <c r="B5" t="s" s="16">
        <f>E5&amp;"_"&amp;G5</f>
        <v>43</v>
      </c>
      <c r="C5" t="s" s="17">
        <f>$G5&amp;IF($E5="LED"," LED","")&amp;IF($N5="",""," ")&amp;$N5&amp;IF($H5="",""," ")&amp;$H5&amp;IF($O5="",""," ")&amp;$O5&amp;IF($P5="",""," ")&amp;$P5&amp;IF($Q5="",""," ")&amp;$Q5&amp;IF($T5="",""," ")&amp;$T5&amp;IF($T5="","","mcd")</f>
        <v>44</v>
      </c>
      <c r="D5" t="s" s="17">
        <f>$G5&amp;" "&amp;E5&amp;IF($N5="",""," ")&amp;$N5&amp;IF($H5="",""," ")&amp;$H5&amp;IF($O5="",""," ")&amp;$O5&amp;IF($P5="",""," ")&amp;$P5&amp;IF($Q5="",""," ")&amp;$Q5&amp;IF($T5="",""," ")&amp;$T5&amp;IF($T5="","","mcd")</f>
        <v>45</v>
      </c>
      <c r="E5" t="s" s="18">
        <v>34</v>
      </c>
      <c r="F5" t="s" s="18">
        <v>35</v>
      </c>
      <c r="G5" t="s" s="18">
        <v>46</v>
      </c>
      <c r="H5" t="s" s="18">
        <v>37</v>
      </c>
      <c r="I5" t="s" s="19">
        <v>47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t="s" s="16">
        <v>39</v>
      </c>
      <c r="W5" s="20"/>
      <c r="X5" t="s" s="21">
        <f>IF(ISBLANK(W5),"",HYPERLINK("https://jlcpcb.com/partdetail/"&amp;$W5,$W5))</f>
      </c>
      <c r="Y5" s="22">
        <v>10</v>
      </c>
      <c r="Z5" t="s" s="18">
        <v>40</v>
      </c>
      <c r="AA5" s="23"/>
      <c r="AB5" s="20"/>
      <c r="AC5" t="s" s="24">
        <v>41</v>
      </c>
      <c r="AD5" t="s" s="25">
        <v>48</v>
      </c>
      <c r="AE5" s="20"/>
    </row>
    <row r="6" ht="18.9" customHeight="1">
      <c r="B6" t="s" s="16">
        <f>E6&amp;"_"&amp;G6</f>
        <v>49</v>
      </c>
      <c r="C6" t="s" s="17">
        <f>$G6&amp;IF($E6="LED"," LED","")&amp;IF($N6="",""," ")&amp;$N6&amp;IF($H6="",""," ")&amp;$H6&amp;IF($O6="",""," ")&amp;$O6&amp;IF($P6="",""," ")&amp;$P6&amp;IF($Q6="",""," ")&amp;$Q6&amp;IF($T6="",""," ")&amp;$T6&amp;IF($T6="","","mcd")</f>
        <v>50</v>
      </c>
      <c r="D6" t="s" s="17">
        <f>$G6&amp;" "&amp;E6&amp;IF($N6="",""," ")&amp;$N6&amp;IF($H6="",""," ")&amp;$H6&amp;IF($O6="",""," ")&amp;$O6&amp;IF($P6="",""," ")&amp;$P6&amp;IF($Q6="",""," ")&amp;$Q6&amp;IF($T6="",""," ")&amp;$T6&amp;IF($T6="","","mcd")</f>
        <v>51</v>
      </c>
      <c r="E6" t="s" s="18">
        <v>34</v>
      </c>
      <c r="F6" t="s" s="18">
        <v>35</v>
      </c>
      <c r="G6" t="s" s="18">
        <v>52</v>
      </c>
      <c r="H6" t="s" s="18">
        <v>37</v>
      </c>
      <c r="I6" t="s" s="19">
        <v>47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t="s" s="16">
        <v>39</v>
      </c>
      <c r="W6" s="20"/>
      <c r="X6" t="s" s="21">
        <f>IF(ISBLANK(W6),"",HYPERLINK("https://jlcpcb.com/partdetail/"&amp;$W6,$W6))</f>
      </c>
      <c r="Y6" s="22">
        <v>10</v>
      </c>
      <c r="Z6" t="s" s="18">
        <v>40</v>
      </c>
      <c r="AA6" s="23"/>
      <c r="AB6" s="20"/>
      <c r="AC6" t="s" s="24">
        <v>41</v>
      </c>
      <c r="AD6" t="s" s="25">
        <v>53</v>
      </c>
      <c r="AE6" s="20"/>
    </row>
    <row r="7" ht="18.9" customHeight="1">
      <c r="B7" t="s" s="16">
        <f>E7&amp;"_"&amp;G7</f>
        <v>54</v>
      </c>
      <c r="C7" t="s" s="17">
        <f>$G7&amp;IF($E7="LED"," LED","")&amp;IF($N7="",""," ")&amp;$N7&amp;IF($H7="",""," ")&amp;$H7&amp;IF($O7="",""," ")&amp;$O7&amp;IF($P7="",""," ")&amp;$P7&amp;IF($Q7="",""," ")&amp;$Q7&amp;IF($T7="",""," ")&amp;$T7&amp;IF($T7="","","mcd")</f>
        <v>55</v>
      </c>
      <c r="D7" t="s" s="17">
        <f>$G7&amp;" "&amp;E7&amp;IF($N7="",""," ")&amp;$N7&amp;IF($H7="",""," ")&amp;$H7&amp;IF($O7="",""," ")&amp;$O7&amp;IF($P7="",""," ")&amp;$P7&amp;IF($Q7="",""," ")&amp;$Q7&amp;IF($T7="",""," ")&amp;$T7&amp;IF($T7="","","mcd")</f>
        <v>56</v>
      </c>
      <c r="E7" t="s" s="18">
        <v>34</v>
      </c>
      <c r="F7" t="s" s="18">
        <v>35</v>
      </c>
      <c r="G7" t="s" s="18">
        <v>57</v>
      </c>
      <c r="H7" t="s" s="18">
        <v>37</v>
      </c>
      <c r="I7" t="s" s="19">
        <v>47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t="s" s="16">
        <v>39</v>
      </c>
      <c r="W7" s="20"/>
      <c r="X7" t="s" s="21">
        <f>IF(ISBLANK(W7),"",HYPERLINK("https://jlcpcb.com/partdetail/"&amp;$W7,$W7))</f>
      </c>
      <c r="Y7" s="22">
        <v>10</v>
      </c>
      <c r="Z7" s="20"/>
      <c r="AA7" s="23"/>
      <c r="AB7" s="20"/>
      <c r="AC7" t="s" s="24">
        <v>41</v>
      </c>
      <c r="AD7" t="s" s="25">
        <v>58</v>
      </c>
      <c r="AE7" s="20"/>
    </row>
    <row r="8" ht="18.9" customHeight="1">
      <c r="B8" t="s" s="16">
        <f>E8&amp;"_"&amp;G8</f>
        <v>54</v>
      </c>
      <c r="C8" t="s" s="17">
        <f>$G8&amp;IF($E8="LED"," LED","")&amp;IF($N8="",""," ")&amp;$N8&amp;IF($H8="",""," ")&amp;$H8&amp;IF($O8="",""," ")&amp;$O8&amp;IF($P8="",""," ")&amp;$P8&amp;IF($Q8="",""," ")&amp;$Q8&amp;IF($T8="",""," ")&amp;$T8&amp;IF($T8="","","mcd")</f>
        <v>55</v>
      </c>
      <c r="D8" t="s" s="17">
        <f>$G8&amp;" "&amp;E8&amp;IF($N8="",""," ")&amp;$N8&amp;IF($H8="",""," ")&amp;$H8&amp;IF($O8="",""," ")&amp;$O8&amp;IF($P8="",""," ")&amp;$P8&amp;IF($Q8="",""," ")&amp;$Q8&amp;IF($T8="",""," ")&amp;$T8&amp;IF($T8="","","mcd")</f>
        <v>56</v>
      </c>
      <c r="E8" t="s" s="18">
        <v>34</v>
      </c>
      <c r="F8" t="s" s="18">
        <v>35</v>
      </c>
      <c r="G8" t="s" s="18">
        <v>57</v>
      </c>
      <c r="H8" t="s" s="18">
        <v>37</v>
      </c>
      <c r="I8" t="s" s="19">
        <v>59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t="s" s="16">
        <v>39</v>
      </c>
      <c r="W8" s="20"/>
      <c r="X8" t="s" s="21">
        <f>IF(ISBLANK(W8),"",HYPERLINK("https://jlcpcb.com/partdetail/"&amp;$W8,$W8))</f>
      </c>
      <c r="Y8" s="22">
        <v>10</v>
      </c>
      <c r="Z8" s="20"/>
      <c r="AA8" s="23"/>
      <c r="AB8" s="20"/>
      <c r="AC8" t="s" s="24">
        <v>41</v>
      </c>
      <c r="AD8" t="s" s="25">
        <v>60</v>
      </c>
      <c r="AE8" s="20"/>
    </row>
    <row r="9" ht="18.9" customHeight="1">
      <c r="B9" t="s" s="16">
        <f>E9&amp;"_"&amp;G9</f>
        <v>61</v>
      </c>
      <c r="C9" t="s" s="17">
        <f>$G9&amp;IF($E9="LED"," LED","")&amp;IF($N9="",""," ")&amp;$N9&amp;IF($H9="",""," ")&amp;$H9&amp;IF($O9="",""," ")&amp;$O9&amp;IF($P9="",""," ")&amp;$P9&amp;IF($Q9="",""," ")&amp;$Q9&amp;IF($T9="",""," ")&amp;$T9&amp;IF($T9="","","mcd")</f>
        <v>62</v>
      </c>
      <c r="D9" t="s" s="17">
        <f>$G9&amp;" "&amp;E9&amp;IF($N9="",""," ")&amp;$N9&amp;IF($H9="",""," ")&amp;$H9&amp;IF($O9="",""," ")&amp;$O9&amp;IF($P9="",""," ")&amp;$P9&amp;IF($Q9="",""," ")&amp;$Q9&amp;IF($T9="",""," ")&amp;$T9&amp;IF($T9="","","mcd")</f>
        <v>63</v>
      </c>
      <c r="E9" t="s" s="18">
        <v>34</v>
      </c>
      <c r="F9" t="s" s="18">
        <v>35</v>
      </c>
      <c r="G9" t="s" s="18">
        <v>64</v>
      </c>
      <c r="H9" t="s" s="18">
        <v>37</v>
      </c>
      <c r="I9" t="s" s="19">
        <v>47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t="s" s="16">
        <v>39</v>
      </c>
      <c r="W9" s="20"/>
      <c r="X9" t="s" s="21">
        <f>IF(ISBLANK(W9),"",HYPERLINK("https://jlcpcb.com/partdetail/"&amp;$W9,$W9))</f>
      </c>
      <c r="Y9" s="22">
        <v>10</v>
      </c>
      <c r="Z9" s="20"/>
      <c r="AA9" s="23"/>
      <c r="AB9" s="20"/>
      <c r="AC9" t="s" s="24">
        <v>41</v>
      </c>
      <c r="AD9" t="s" s="25">
        <v>65</v>
      </c>
      <c r="AE9" s="20"/>
    </row>
    <row r="10" ht="18.9" customHeight="1">
      <c r="B10" t="s" s="16">
        <f>E10&amp;"_"&amp;G10</f>
        <v>66</v>
      </c>
      <c r="C10" t="s" s="17">
        <f>$G10&amp;IF($E10="LED"," LED","")&amp;IF($N10="",""," ")&amp;$N10&amp;IF($H10="",""," ")&amp;$H10&amp;IF($O10="",""," ")&amp;$O10&amp;IF($P10="",""," ")&amp;$P10&amp;IF($Q10="",""," ")&amp;$Q10&amp;IF($T10="",""," ")&amp;$T10&amp;IF($T10="","","mcd")</f>
        <v>67</v>
      </c>
      <c r="D10" t="s" s="17">
        <f>$G10&amp;" "&amp;E10&amp;IF($N10="",""," ")&amp;$N10&amp;IF($H10="",""," ")&amp;$H10&amp;IF($O10="",""," ")&amp;$O10&amp;IF($P10="",""," ")&amp;$P10&amp;IF($Q10="",""," ")&amp;$Q10&amp;IF($T10="",""," ")&amp;$T10&amp;IF($T10="","","mcd")</f>
        <v>68</v>
      </c>
      <c r="E10" t="s" s="18">
        <v>34</v>
      </c>
      <c r="F10" t="s" s="18">
        <v>35</v>
      </c>
      <c r="G10" t="s" s="18">
        <v>69</v>
      </c>
      <c r="H10" t="s" s="18">
        <v>37</v>
      </c>
      <c r="I10" t="s" s="19">
        <v>47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t="s" s="16">
        <v>39</v>
      </c>
      <c r="W10" s="20"/>
      <c r="X10" t="s" s="21">
        <f>IF(ISBLANK(W10),"",HYPERLINK("https://jlcpcb.com/partdetail/"&amp;$W10,$W10))</f>
      </c>
      <c r="Y10" s="22">
        <v>10</v>
      </c>
      <c r="Z10" s="20"/>
      <c r="AA10" s="23"/>
      <c r="AB10" s="20"/>
      <c r="AC10" t="s" s="24">
        <v>41</v>
      </c>
      <c r="AD10" t="s" s="25">
        <v>70</v>
      </c>
      <c r="AE10" s="20"/>
    </row>
    <row r="11" ht="18.9" customHeight="1">
      <c r="B11" t="s" s="16">
        <f>E11&amp;"_"&amp;G11</f>
        <v>71</v>
      </c>
      <c r="C11" t="s" s="17">
        <f>$G11&amp;IF($E11="LED"," LED","")&amp;IF($N11="",""," ")&amp;$N11&amp;IF($H11="",""," ")&amp;$H11&amp;IF($O11="",""," ")&amp;$O11&amp;IF($P11="",""," ")&amp;$P11&amp;IF($Q11="",""," ")&amp;$Q11&amp;IF($T11="",""," ")&amp;$T11&amp;IF($T11="","","mcd")</f>
        <v>72</v>
      </c>
      <c r="D11" t="s" s="17">
        <f>$G11&amp;" "&amp;E11&amp;IF($N11="",""," ")&amp;$N11&amp;IF($H11="",""," ")&amp;$H11&amp;IF($O11="",""," ")&amp;$O11&amp;IF($P11="",""," ")&amp;$P11&amp;IF($Q11="",""," ")&amp;$Q11&amp;IF($T11="",""," ")&amp;$T11&amp;IF($T11="","","mcd")</f>
        <v>73</v>
      </c>
      <c r="E11" t="s" s="18">
        <v>34</v>
      </c>
      <c r="F11" t="s" s="18">
        <v>35</v>
      </c>
      <c r="G11" t="s" s="18">
        <v>74</v>
      </c>
      <c r="H11" t="s" s="18">
        <v>37</v>
      </c>
      <c r="I11" t="s" s="19">
        <v>47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t="s" s="16">
        <v>39</v>
      </c>
      <c r="W11" s="20"/>
      <c r="X11" t="s" s="21">
        <f>IF(ISBLANK(W11),"",HYPERLINK("https://jlcpcb.com/partdetail/"&amp;$W11,$W11))</f>
      </c>
      <c r="Y11" s="22">
        <v>10</v>
      </c>
      <c r="Z11" s="20"/>
      <c r="AA11" s="23"/>
      <c r="AB11" s="20"/>
      <c r="AC11" t="s" s="24">
        <v>41</v>
      </c>
      <c r="AD11" t="s" s="25">
        <v>75</v>
      </c>
      <c r="AE11" s="20"/>
    </row>
    <row r="12" ht="18.9" customHeight="1">
      <c r="B12" t="s" s="16">
        <f>E12&amp;"_"&amp;G12</f>
        <v>76</v>
      </c>
      <c r="C12" t="s" s="17">
        <f>$G12&amp;IF($E12="LED"," LED","")&amp;IF($N12="",""," ")&amp;$N12&amp;IF($H12="",""," ")&amp;$H12&amp;IF($O12="",""," ")&amp;$O12&amp;IF($P12="",""," ")&amp;$P12&amp;IF($Q12="",""," ")&amp;$Q12&amp;IF($T12="",""," ")&amp;$T12&amp;IF($T12="","","mcd")</f>
        <v>77</v>
      </c>
      <c r="D12" t="s" s="17">
        <f>$G12&amp;" "&amp;E12&amp;IF($N12="",""," ")&amp;$N12&amp;IF($H12="",""," ")&amp;$H12&amp;IF($O12="",""," ")&amp;$O12&amp;IF($P12="",""," ")&amp;$P12&amp;IF($Q12="",""," ")&amp;$Q12&amp;IF($T12="",""," ")&amp;$T12&amp;IF($T12="","","mcd")</f>
        <v>78</v>
      </c>
      <c r="E12" t="s" s="18">
        <v>34</v>
      </c>
      <c r="F12" t="s" s="18">
        <v>35</v>
      </c>
      <c r="G12" t="s" s="18">
        <v>79</v>
      </c>
      <c r="H12" t="s" s="18">
        <v>80</v>
      </c>
      <c r="I12" t="s" s="19">
        <v>81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t="s" s="16">
        <v>39</v>
      </c>
      <c r="W12" s="20"/>
      <c r="X12" t="s" s="21">
        <f>IF(ISBLANK(W12),"",HYPERLINK("https://jlcpcb.com/partdetail/"&amp;$W12,$W12))</f>
      </c>
      <c r="Y12" s="22">
        <v>10</v>
      </c>
      <c r="Z12" s="20"/>
      <c r="AA12" s="23"/>
      <c r="AB12" s="20"/>
      <c r="AC12" t="s" s="24">
        <v>82</v>
      </c>
      <c r="AD12" t="s" s="25">
        <v>83</v>
      </c>
      <c r="AE12" s="20"/>
    </row>
    <row r="13" ht="18.9" customHeight="1">
      <c r="B13" t="s" s="16">
        <f>E13&amp;"_"&amp;G13</f>
        <v>84</v>
      </c>
      <c r="C13" t="s" s="17">
        <f>$G13&amp;IF($E13="LED"," LED","")&amp;IF($N13="",""," ")&amp;$N13&amp;IF($H13="",""," ")&amp;$H13&amp;IF($O13="",""," ")&amp;$O13&amp;IF($P13="",""," ")&amp;$P13&amp;IF($Q13="",""," ")&amp;$Q13&amp;IF($T13="",""," ")&amp;$T13&amp;IF($T13="","","mcd")</f>
        <v>85</v>
      </c>
      <c r="D13" t="s" s="17">
        <f>$G13&amp;" "&amp;E13&amp;IF($N13="",""," ")&amp;$N13&amp;IF($H13="",""," ")&amp;$H13&amp;IF($O13="",""," ")&amp;$O13&amp;IF($P13="",""," ")&amp;$P13&amp;IF($Q13="",""," ")&amp;$Q13&amp;IF($T13="",""," ")&amp;$T13&amp;IF($T13="","","mcd")</f>
        <v>86</v>
      </c>
      <c r="E13" t="s" s="18">
        <v>34</v>
      </c>
      <c r="F13" t="s" s="18">
        <v>35</v>
      </c>
      <c r="G13" t="s" s="18">
        <v>87</v>
      </c>
      <c r="H13" t="s" s="18">
        <v>80</v>
      </c>
      <c r="I13" t="s" s="19">
        <v>81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t="s" s="16">
        <v>39</v>
      </c>
      <c r="W13" s="20"/>
      <c r="X13" t="s" s="21">
        <f>IF(ISBLANK(W13),"",HYPERLINK("https://jlcpcb.com/partdetail/"&amp;$W13,$W13))</f>
      </c>
      <c r="Y13" s="22">
        <v>10</v>
      </c>
      <c r="Z13" s="20"/>
      <c r="AA13" s="23"/>
      <c r="AB13" s="20"/>
      <c r="AC13" t="s" s="24">
        <v>88</v>
      </c>
      <c r="AD13" t="s" s="25">
        <v>89</v>
      </c>
      <c r="AE13" s="20"/>
    </row>
    <row r="14" ht="18.9" customHeight="1">
      <c r="B14" t="s" s="16">
        <f>E14&amp;"_"&amp;G14</f>
        <v>90</v>
      </c>
      <c r="C14" t="s" s="17">
        <f>$G14&amp;IF($E14="LED"," LED","")&amp;IF($N14="",""," ")&amp;$N14&amp;IF($H14="",""," ")&amp;$H14&amp;IF($O14="",""," ")&amp;$O14&amp;IF($P14="",""," ")&amp;$P14&amp;IF($Q14="",""," ")&amp;$Q14&amp;IF($T14="",""," ")&amp;$T14&amp;IF($T14="","","mcd")</f>
        <v>91</v>
      </c>
      <c r="D14" t="s" s="17">
        <f>$G14&amp;" "&amp;E14&amp;IF($N14="",""," ")&amp;$N14&amp;IF($H14="",""," ")&amp;$H14&amp;IF($O14="",""," ")&amp;$O14&amp;IF($P14="",""," ")&amp;$P14&amp;IF($Q14="",""," ")&amp;$Q14&amp;IF($T14="",""," ")&amp;$T14&amp;IF($T14="","","mcd")</f>
        <v>92</v>
      </c>
      <c r="E14" t="s" s="18">
        <v>34</v>
      </c>
      <c r="F14" t="s" s="18">
        <v>35</v>
      </c>
      <c r="G14" t="s" s="18">
        <v>93</v>
      </c>
      <c r="H14" t="s" s="18">
        <v>80</v>
      </c>
      <c r="I14" t="s" s="19">
        <v>94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t="s" s="16">
        <v>39</v>
      </c>
      <c r="W14" s="20"/>
      <c r="X14" t="s" s="21">
        <f>IF(ISBLANK(W14),"",HYPERLINK("https://jlcpcb.com/partdetail/"&amp;$W14,$W14))</f>
      </c>
      <c r="Y14" s="22">
        <v>10</v>
      </c>
      <c r="Z14" s="20"/>
      <c r="AA14" s="23"/>
      <c r="AB14" s="20"/>
      <c r="AC14" t="s" s="24">
        <v>95</v>
      </c>
      <c r="AD14" t="s" s="25">
        <v>96</v>
      </c>
      <c r="AE14" s="20"/>
    </row>
    <row r="15" ht="18.9" customHeight="1">
      <c r="B15" t="s" s="16">
        <f>E15&amp;"_"&amp;G15</f>
        <v>97</v>
      </c>
      <c r="C15" t="s" s="17">
        <f>$G15&amp;IF($E15="LED"," LED","")&amp;IF($N15="",""," ")&amp;$N15&amp;IF($H15="",""," ")&amp;$H15&amp;IF($O15="",""," ")&amp;$O15&amp;IF($P15="",""," ")&amp;$P15&amp;IF($Q15="",""," ")&amp;$Q15&amp;IF($T15="",""," ")&amp;$T15&amp;IF($T15="","","mcd")</f>
        <v>98</v>
      </c>
      <c r="D15" t="s" s="17">
        <f>$G15&amp;" "&amp;E15&amp;IF($N15="",""," ")&amp;$N15&amp;IF($H15="",""," ")&amp;$H15&amp;IF($O15="",""," ")&amp;$O15&amp;IF($P15="",""," ")&amp;$P15&amp;IF($Q15="",""," ")&amp;$Q15&amp;IF($T15="",""," ")&amp;$T15&amp;IF($T15="","","mcd")</f>
        <v>99</v>
      </c>
      <c r="E15" t="s" s="18">
        <v>34</v>
      </c>
      <c r="F15" t="s" s="18">
        <v>35</v>
      </c>
      <c r="G15" t="s" s="18">
        <v>100</v>
      </c>
      <c r="H15" t="s" s="18">
        <v>80</v>
      </c>
      <c r="I15" t="s" s="19">
        <v>101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t="s" s="16">
        <v>39</v>
      </c>
      <c r="W15" s="20"/>
      <c r="X15" t="s" s="21">
        <f>IF(ISBLANK(W15),"",HYPERLINK("https://jlcpcb.com/partdetail/"&amp;$W15,$W15))</f>
      </c>
      <c r="Y15" s="22">
        <v>10</v>
      </c>
      <c r="Z15" s="20"/>
      <c r="AA15" s="23"/>
      <c r="AB15" s="20"/>
      <c r="AC15" t="s" s="24">
        <v>102</v>
      </c>
      <c r="AD15" t="s" s="25">
        <v>103</v>
      </c>
      <c r="AE15" s="20"/>
    </row>
    <row r="16" ht="18.9" customHeight="1">
      <c r="B16" t="s" s="16">
        <f>E16&amp;"_"&amp;G16</f>
        <v>104</v>
      </c>
      <c r="C16" t="s" s="17">
        <f>$G16&amp;IF($E16="LED"," LED","")&amp;IF($N16="",""," ")&amp;$N16&amp;IF($H16="",""," ")&amp;$H16&amp;IF($O16="",""," ")&amp;$O16&amp;IF($P16="",""," ")&amp;$P16&amp;IF($Q16="",""," ")&amp;$Q16&amp;IF($T16="",""," ")&amp;$T16&amp;IF($T16="","","mcd")</f>
        <v>105</v>
      </c>
      <c r="D16" t="s" s="17">
        <f>$G16&amp;" "&amp;E16&amp;IF($N16="",""," ")&amp;$N16&amp;IF($H16="",""," ")&amp;$H16&amp;IF($O16="",""," ")&amp;$O16&amp;IF($P16="",""," ")&amp;$P16&amp;IF($Q16="",""," ")&amp;$Q16&amp;IF($T16="",""," ")&amp;$T16&amp;IF($T16="","","mcd")</f>
        <v>106</v>
      </c>
      <c r="E16" t="s" s="18">
        <v>34</v>
      </c>
      <c r="F16" t="s" s="18">
        <v>35</v>
      </c>
      <c r="G16" t="s" s="18">
        <v>107</v>
      </c>
      <c r="H16" t="s" s="18">
        <v>80</v>
      </c>
      <c r="I16" t="s" s="19">
        <v>108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t="s" s="16">
        <v>39</v>
      </c>
      <c r="W16" s="20"/>
      <c r="X16" t="s" s="21">
        <f>IF(ISBLANK(W16),"",HYPERLINK("https://jlcpcb.com/partdetail/"&amp;$W16,$W16))</f>
      </c>
      <c r="Y16" s="22">
        <v>10</v>
      </c>
      <c r="Z16" s="20"/>
      <c r="AA16" s="23"/>
      <c r="AB16" s="20"/>
      <c r="AC16" t="s" s="24">
        <v>109</v>
      </c>
      <c r="AD16" t="s" s="25">
        <v>110</v>
      </c>
      <c r="AE16" s="20"/>
    </row>
    <row r="17" ht="18.9" customHeight="1">
      <c r="B17" t="s" s="16">
        <f>E17&amp;"_"&amp;G17</f>
        <v>111</v>
      </c>
      <c r="C17" t="s" s="17">
        <f>$G17&amp;IF($E17="LED"," LED","")&amp;IF($N17="",""," ")&amp;$N17&amp;IF($H17="",""," ")&amp;$H17&amp;IF($O17="",""," ")&amp;$O17&amp;IF($P17="",""," ")&amp;$P17&amp;IF($Q17="",""," ")&amp;$Q17&amp;IF($T17="",""," ")&amp;$T17&amp;IF($T17="","","mcd")</f>
        <v>112</v>
      </c>
      <c r="D17" t="s" s="17">
        <f>$G17&amp;" "&amp;E17&amp;IF($N17="",""," ")&amp;$N17&amp;IF($H17="",""," ")&amp;$H17&amp;IF($O17="",""," ")&amp;$O17&amp;IF($P17="",""," ")&amp;$P17&amp;IF($Q17="",""," ")&amp;$Q17&amp;IF($T17="",""," ")&amp;$T17&amp;IF($T17="","","mcd")</f>
        <v>113</v>
      </c>
      <c r="E17" t="s" s="18">
        <v>34</v>
      </c>
      <c r="F17" t="s" s="18">
        <v>35</v>
      </c>
      <c r="G17" t="s" s="18">
        <v>114</v>
      </c>
      <c r="H17" t="s" s="18">
        <v>80</v>
      </c>
      <c r="I17" t="s" s="19">
        <v>115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t="s" s="16">
        <v>39</v>
      </c>
      <c r="W17" s="20"/>
      <c r="X17" t="s" s="21">
        <f>IF(ISBLANK(W17),"",HYPERLINK("https://jlcpcb.com/partdetail/"&amp;$W17,$W17))</f>
      </c>
      <c r="Y17" s="22">
        <v>10</v>
      </c>
      <c r="Z17" s="20"/>
      <c r="AA17" s="23"/>
      <c r="AB17" s="20"/>
      <c r="AC17" t="s" s="24">
        <v>116</v>
      </c>
      <c r="AD17" t="s" s="25">
        <v>117</v>
      </c>
      <c r="AE17" s="20"/>
    </row>
    <row r="18" ht="18.9" customHeight="1">
      <c r="B18" t="s" s="16">
        <f>E18&amp;"_"&amp;G18</f>
        <v>118</v>
      </c>
      <c r="C18" t="s" s="17">
        <f>$G18&amp;IF($E18="LED"," LED","")&amp;IF($N18="",""," ")&amp;$N18&amp;IF($H18="",""," ")&amp;$H18&amp;IF($O18="",""," ")&amp;$O18&amp;IF($P18="",""," ")&amp;$P18&amp;IF($Q18="",""," ")&amp;$Q18&amp;IF($T18="",""," ")&amp;$T18&amp;IF($T18="","","mcd")</f>
        <v>119</v>
      </c>
      <c r="D18" t="s" s="17">
        <f>$G18&amp;" "&amp;E18&amp;IF($N18="",""," ")&amp;$N18&amp;IF($H18="",""," ")&amp;$H18&amp;IF($O18="",""," ")&amp;$O18&amp;IF($P18="",""," ")&amp;$P18&amp;IF($Q18="",""," ")&amp;$Q18&amp;IF($T18="",""," ")&amp;$T18&amp;IF($T18="","","mcd")</f>
        <v>120</v>
      </c>
      <c r="E18" t="s" s="18">
        <v>34</v>
      </c>
      <c r="F18" t="s" s="18">
        <v>35</v>
      </c>
      <c r="G18" t="s" s="18">
        <v>121</v>
      </c>
      <c r="H18" t="s" s="18">
        <v>80</v>
      </c>
      <c r="I18" t="s" s="19">
        <v>122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t="s" s="16">
        <v>39</v>
      </c>
      <c r="W18" s="26"/>
      <c r="X18" t="s" s="21">
        <f>IF(ISBLANK(W18),"",HYPERLINK("https://jlcpcb.com/partdetail/"&amp;$W18,$W18))</f>
      </c>
      <c r="Y18" s="22">
        <v>10</v>
      </c>
      <c r="Z18" s="20"/>
      <c r="AA18" s="23"/>
      <c r="AB18" s="20"/>
      <c r="AC18" t="s" s="24">
        <v>123</v>
      </c>
      <c r="AD18" t="s" s="25">
        <v>124</v>
      </c>
      <c r="AE18" s="20"/>
    </row>
    <row r="19" ht="18.9" customHeight="1">
      <c r="B19" t="s" s="16">
        <f>E19&amp;"_"&amp;G19</f>
        <v>125</v>
      </c>
      <c r="C19" t="s" s="17">
        <f>$G19&amp;IF($E19="LED"," LED","")&amp;IF($N19="",""," ")&amp;$N19&amp;IF($H19="",""," ")&amp;$H19&amp;IF($O19="",""," ")&amp;$O19&amp;IF($P19="",""," ")&amp;$P19&amp;IF($Q19="",""," ")&amp;$Q19&amp;IF($T19="",""," ")&amp;$T19&amp;IF($T19="","","mcd")</f>
        <v>126</v>
      </c>
      <c r="D19" t="s" s="17">
        <f>$G19&amp;" "&amp;E19&amp;IF($N19="",""," ")&amp;$N19&amp;IF($H19="",""," ")&amp;$H19&amp;IF($O19="",""," ")&amp;$O19&amp;IF($P19="",""," ")&amp;$P19&amp;IF($Q19="",""," ")&amp;$Q19&amp;IF($T19="",""," ")&amp;$T19&amp;IF($T19="","","mcd")</f>
        <v>127</v>
      </c>
      <c r="E19" t="s" s="18">
        <v>34</v>
      </c>
      <c r="F19" t="s" s="18">
        <v>35</v>
      </c>
      <c r="G19" t="s" s="18">
        <v>128</v>
      </c>
      <c r="H19" t="s" s="18">
        <v>80</v>
      </c>
      <c r="I19" t="s" s="19">
        <v>129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t="s" s="16">
        <v>39</v>
      </c>
      <c r="W19" s="26"/>
      <c r="X19" t="s" s="21">
        <f>IF(ISBLANK(W19),"",HYPERLINK("https://jlcpcb.com/partdetail/"&amp;$W19,$W19))</f>
      </c>
      <c r="Y19" s="22">
        <v>10</v>
      </c>
      <c r="Z19" s="20"/>
      <c r="AA19" s="23"/>
      <c r="AB19" s="20"/>
      <c r="AC19" t="s" s="24">
        <v>130</v>
      </c>
      <c r="AD19" t="s" s="25">
        <v>131</v>
      </c>
      <c r="AE19" s="20"/>
    </row>
    <row r="20" ht="18.9" customHeight="1">
      <c r="B20" t="s" s="16">
        <f>E20&amp;"_"&amp;G20</f>
        <v>132</v>
      </c>
      <c r="C20" t="s" s="17">
        <f>$G20&amp;IF($E20="LED"," LED","")&amp;IF($N20="",""," ")&amp;$N20&amp;IF($H20="",""," ")&amp;$H20&amp;IF($O20="",""," ")&amp;$O20&amp;IF($P20="",""," ")&amp;$P20&amp;IF($Q20="",""," ")&amp;$Q20&amp;IF($T20="",""," ")&amp;$T20&amp;IF($T20="","","mcd")</f>
        <v>133</v>
      </c>
      <c r="D20" t="s" s="17">
        <f>$G20&amp;" "&amp;E20&amp;IF($N20="",""," ")&amp;$N20&amp;IF($H20="",""," ")&amp;$H20&amp;IF($O20="",""," ")&amp;$O20&amp;IF($P20="",""," ")&amp;$P20&amp;IF($Q20="",""," ")&amp;$Q20&amp;IF($T20="",""," ")&amp;$T20&amp;IF($T20="","","mcd")</f>
        <v>134</v>
      </c>
      <c r="E20" t="s" s="18">
        <v>135</v>
      </c>
      <c r="F20" t="s" s="18">
        <v>35</v>
      </c>
      <c r="G20" t="s" s="18">
        <v>136</v>
      </c>
      <c r="H20" t="s" s="18">
        <v>137</v>
      </c>
      <c r="I20" t="s" s="19">
        <v>138</v>
      </c>
      <c r="J20" s="18"/>
      <c r="K20" t="s" s="18">
        <v>139</v>
      </c>
      <c r="L20" t="s" s="18">
        <v>140</v>
      </c>
      <c r="M20" t="s" s="18">
        <v>141</v>
      </c>
      <c r="N20" s="18"/>
      <c r="O20" s="18"/>
      <c r="P20" s="18"/>
      <c r="Q20" s="18"/>
      <c r="R20" s="18"/>
      <c r="S20" s="18"/>
      <c r="T20" s="18"/>
      <c r="U20" s="18"/>
      <c r="V20" t="s" s="16">
        <v>39</v>
      </c>
      <c r="W20" s="20"/>
      <c r="X20" t="s" s="21">
        <f>IF(ISBLANK(W20),"",HYPERLINK("https://jlcpcb.com/partdetail/"&amp;$W20,$W20))</f>
      </c>
      <c r="Y20" s="22">
        <v>10</v>
      </c>
      <c r="Z20" s="20"/>
      <c r="AA20" t="s" s="16">
        <v>142</v>
      </c>
      <c r="AB20" t="s" s="18">
        <v>136</v>
      </c>
      <c r="AC20" t="s" s="24">
        <v>143</v>
      </c>
      <c r="AD20" t="s" s="25">
        <v>144</v>
      </c>
      <c r="AE20" s="20"/>
    </row>
    <row r="21" ht="18.9" customHeight="1">
      <c r="B21" t="s" s="16">
        <f>E21&amp;"_"&amp;G21</f>
        <v>145</v>
      </c>
      <c r="C21" t="s" s="17">
        <f>$G21&amp;IF($E21="LED"," LED","")&amp;IF($N21="",""," ")&amp;$N21&amp;IF($H21="",""," ")&amp;$H21&amp;IF($O21="",""," ")&amp;$O21&amp;IF($P21="",""," ")&amp;$P21&amp;IF($Q21="",""," ")&amp;$Q21&amp;IF($T21="",""," ")&amp;$T21&amp;IF($T21="","","mcd")</f>
        <v>146</v>
      </c>
      <c r="D21" t="s" s="17">
        <f>$G21&amp;" "&amp;E21&amp;IF($N21="",""," ")&amp;$N21&amp;IF($H21="",""," ")&amp;$H21&amp;IF($O21="",""," ")&amp;$O21&amp;IF($P21="",""," ")&amp;$P21&amp;IF($Q21="",""," ")&amp;$Q21&amp;IF($T21="",""," ")&amp;$T21&amp;IF($T21="","","mcd")</f>
        <v>147</v>
      </c>
      <c r="E21" t="s" s="18">
        <v>135</v>
      </c>
      <c r="F21" t="s" s="18">
        <v>35</v>
      </c>
      <c r="G21" t="s" s="18">
        <v>148</v>
      </c>
      <c r="H21" t="s" s="18">
        <v>137</v>
      </c>
      <c r="I21" t="s" s="19">
        <v>149</v>
      </c>
      <c r="J21" s="18"/>
      <c r="K21" t="s" s="18">
        <v>150</v>
      </c>
      <c r="L21" t="s" s="18">
        <v>140</v>
      </c>
      <c r="M21" t="s" s="18">
        <v>141</v>
      </c>
      <c r="N21" s="18"/>
      <c r="O21" s="18"/>
      <c r="P21" s="18"/>
      <c r="Q21" s="18"/>
      <c r="R21" s="18"/>
      <c r="S21" s="18"/>
      <c r="T21" s="18"/>
      <c r="U21" s="18"/>
      <c r="V21" t="s" s="16">
        <v>39</v>
      </c>
      <c r="W21" s="20"/>
      <c r="X21" t="s" s="21">
        <f>IF(ISBLANK(W21),"",HYPERLINK("https://jlcpcb.com/partdetail/"&amp;$W21,$W21))</f>
      </c>
      <c r="Y21" s="22">
        <v>10</v>
      </c>
      <c r="Z21" s="20"/>
      <c r="AA21" t="s" s="16">
        <v>142</v>
      </c>
      <c r="AB21" t="s" s="18">
        <v>148</v>
      </c>
      <c r="AC21" t="s" s="24">
        <v>143</v>
      </c>
      <c r="AD21" t="s" s="25">
        <v>151</v>
      </c>
      <c r="AE21" s="20"/>
    </row>
    <row r="22" ht="18.9" customHeight="1">
      <c r="B22" t="s" s="16">
        <f>E22&amp;"_"&amp;G22</f>
        <v>152</v>
      </c>
      <c r="C22" t="s" s="17">
        <f>$G22&amp;IF($E22="LED"," LED","")&amp;IF($N22="",""," ")&amp;$N22&amp;IF($H22="",""," ")&amp;$H22&amp;IF($O22="",""," ")&amp;$O22&amp;IF($P22="",""," ")&amp;$P22&amp;IF($Q22="",""," ")&amp;$Q22&amp;IF($T22="",""," ")&amp;$T22&amp;IF($T22="","","mcd")</f>
        <v>153</v>
      </c>
      <c r="D22" t="s" s="17">
        <f>$G22&amp;" "&amp;E22&amp;IF($N22="",""," ")&amp;$N22&amp;IF($H22="",""," ")&amp;$H22&amp;IF($O22="",""," ")&amp;$O22&amp;IF($P22="",""," ")&amp;$P22&amp;IF($Q22="",""," ")&amp;$Q22&amp;IF($T22="",""," ")&amp;$T22&amp;IF($T22="","","mcd")</f>
        <v>154</v>
      </c>
      <c r="E22" t="s" s="18">
        <v>135</v>
      </c>
      <c r="F22" t="s" s="18">
        <v>35</v>
      </c>
      <c r="G22" t="s" s="18">
        <v>155</v>
      </c>
      <c r="H22" t="s" s="18">
        <v>137</v>
      </c>
      <c r="I22" t="s" s="19">
        <v>156</v>
      </c>
      <c r="J22" s="18"/>
      <c r="K22" t="s" s="18">
        <v>139</v>
      </c>
      <c r="L22" t="s" s="18">
        <v>157</v>
      </c>
      <c r="M22" t="s" s="18">
        <v>141</v>
      </c>
      <c r="N22" s="18"/>
      <c r="O22" s="18"/>
      <c r="P22" s="18"/>
      <c r="Q22" s="18"/>
      <c r="R22" s="18"/>
      <c r="S22" s="18"/>
      <c r="T22" s="18"/>
      <c r="U22" s="18"/>
      <c r="V22" t="s" s="16">
        <v>39</v>
      </c>
      <c r="W22" s="20"/>
      <c r="X22" t="s" s="21">
        <f>IF(ISBLANK(W22),"",HYPERLINK("https://jlcpcb.com/partdetail/"&amp;$W22,$W22))</f>
      </c>
      <c r="Y22" s="22">
        <v>10</v>
      </c>
      <c r="Z22" s="20"/>
      <c r="AA22" t="s" s="16">
        <v>142</v>
      </c>
      <c r="AB22" t="s" s="18">
        <v>155</v>
      </c>
      <c r="AC22" t="s" s="24">
        <v>158</v>
      </c>
      <c r="AD22" t="s" s="25">
        <v>159</v>
      </c>
      <c r="AE22" s="20"/>
    </row>
    <row r="23" ht="18.9" customHeight="1">
      <c r="B23" t="s" s="16">
        <f>E23&amp;"_"&amp;G23</f>
        <v>160</v>
      </c>
      <c r="C23" t="s" s="17">
        <f>$G23&amp;IF($E23="LED"," LED","")&amp;IF($N23="",""," ")&amp;$N23&amp;IF($H23="",""," ")&amp;$H23&amp;IF($O23="",""," ")&amp;$O23&amp;IF($P23="",""," ")&amp;$P23&amp;IF($Q23="",""," ")&amp;$Q23&amp;IF($T23="",""," ")&amp;$T23&amp;IF($T23="","","mcd")</f>
        <v>161</v>
      </c>
      <c r="D23" t="s" s="17">
        <f>$G23&amp;" "&amp;E23&amp;IF($N23="",""," ")&amp;$N23&amp;IF($H23="",""," ")&amp;$H23&amp;IF($O23="",""," ")&amp;$O23&amp;IF($P23="",""," ")&amp;$P23&amp;IF($Q23="",""," ")&amp;$Q23&amp;IF($T23="",""," ")&amp;$T23&amp;IF($T23="","","mcd")</f>
        <v>162</v>
      </c>
      <c r="E23" t="s" s="18">
        <v>135</v>
      </c>
      <c r="F23" t="s" s="18">
        <v>35</v>
      </c>
      <c r="G23" t="s" s="18">
        <v>163</v>
      </c>
      <c r="H23" t="s" s="18">
        <v>137</v>
      </c>
      <c r="I23" t="s" s="19">
        <v>164</v>
      </c>
      <c r="J23" s="18"/>
      <c r="K23" t="s" s="18">
        <v>150</v>
      </c>
      <c r="L23" t="s" s="18">
        <v>157</v>
      </c>
      <c r="M23" t="s" s="18">
        <v>141</v>
      </c>
      <c r="N23" s="18"/>
      <c r="O23" s="18"/>
      <c r="P23" s="18"/>
      <c r="Q23" s="18"/>
      <c r="R23" s="18"/>
      <c r="S23" s="18"/>
      <c r="T23" s="18"/>
      <c r="U23" s="18"/>
      <c r="V23" t="s" s="16">
        <v>39</v>
      </c>
      <c r="W23" s="20"/>
      <c r="X23" t="s" s="21">
        <f>IF(ISBLANK(W23),"",HYPERLINK("https://jlcpcb.com/partdetail/"&amp;$W23,$W23))</f>
      </c>
      <c r="Y23" s="22">
        <v>10</v>
      </c>
      <c r="Z23" s="20"/>
      <c r="AA23" t="s" s="16">
        <v>142</v>
      </c>
      <c r="AB23" t="s" s="18">
        <v>163</v>
      </c>
      <c r="AC23" t="s" s="24">
        <v>158</v>
      </c>
      <c r="AD23" t="s" s="25">
        <v>165</v>
      </c>
      <c r="AE23" s="20"/>
    </row>
    <row r="24" ht="18.9" customHeight="1">
      <c r="B24" t="s" s="16">
        <f>E24&amp;"_"&amp;G24</f>
        <v>166</v>
      </c>
      <c r="C24" t="s" s="17">
        <f>$G24&amp;IF($E24="LED"," LED","")&amp;IF($N24="",""," ")&amp;$N24&amp;IF($H24="",""," ")&amp;$H24&amp;IF($O24="",""," ")&amp;$O24&amp;IF($P24="",""," ")&amp;$P24&amp;IF($Q24="",""," ")&amp;$Q24&amp;IF($T24="",""," ")&amp;$T24&amp;IF($T24="","","mcd")</f>
        <v>167</v>
      </c>
      <c r="D24" t="s" s="17">
        <f>$G24&amp;" "&amp;E24&amp;IF($N24="",""," ")&amp;$N24&amp;IF($H24="",""," ")&amp;$H24&amp;IF($O24="",""," ")&amp;$O24&amp;IF($P24="",""," ")&amp;$P24&amp;IF($Q24="",""," ")&amp;$Q24&amp;IF($T24="",""," ")&amp;$T24&amp;IF($T24="","","mcd")</f>
        <v>168</v>
      </c>
      <c r="E24" t="s" s="18">
        <v>135</v>
      </c>
      <c r="F24" t="s" s="18">
        <v>35</v>
      </c>
      <c r="G24" t="s" s="18">
        <v>169</v>
      </c>
      <c r="H24" t="s" s="18">
        <v>137</v>
      </c>
      <c r="I24" t="s" s="19">
        <v>170</v>
      </c>
      <c r="J24" s="18"/>
      <c r="K24" t="s" s="18">
        <v>150</v>
      </c>
      <c r="L24" t="s" s="18">
        <v>171</v>
      </c>
      <c r="M24" t="s" s="18">
        <v>141</v>
      </c>
      <c r="N24" s="18"/>
      <c r="O24" s="18"/>
      <c r="P24" s="18"/>
      <c r="Q24" s="18"/>
      <c r="R24" s="18"/>
      <c r="S24" s="18"/>
      <c r="T24" s="18"/>
      <c r="U24" s="18"/>
      <c r="V24" t="s" s="16">
        <v>39</v>
      </c>
      <c r="W24" s="20"/>
      <c r="X24" t="s" s="21">
        <f>IF(ISBLANK(W24),"",HYPERLINK("https://jlcpcb.com/partdetail/"&amp;$W24,$W24))</f>
      </c>
      <c r="Y24" s="22">
        <v>10</v>
      </c>
      <c r="Z24" s="20"/>
      <c r="AA24" t="s" s="16">
        <v>142</v>
      </c>
      <c r="AB24" t="s" s="18">
        <v>169</v>
      </c>
      <c r="AC24" t="s" s="24">
        <v>172</v>
      </c>
      <c r="AD24" t="s" s="25">
        <v>173</v>
      </c>
      <c r="AE24" s="20"/>
    </row>
    <row r="25" ht="18.9" customHeight="1">
      <c r="B25" t="s" s="16">
        <f>E25&amp;"_"&amp;G25</f>
        <v>174</v>
      </c>
      <c r="C25" t="s" s="17">
        <f>$G25&amp;IF($E25="LED"," LED","")&amp;IF($N25="",""," ")&amp;$N25&amp;IF($H25="",""," ")&amp;$H25&amp;IF($O25="",""," ")&amp;$O25&amp;IF($P25="",""," ")&amp;$P25&amp;IF($Q25="",""," ")&amp;$Q25&amp;IF($T25="",""," ")&amp;$T25&amp;IF($T25="","","mcd")</f>
        <v>175</v>
      </c>
      <c r="D25" t="s" s="17">
        <f>$G25&amp;" "&amp;E25&amp;IF($N25="",""," ")&amp;$N25&amp;IF($H25="",""," ")&amp;$H25&amp;IF($O25="",""," ")&amp;$O25&amp;IF($P25="",""," ")&amp;$P25&amp;IF($Q25="",""," ")&amp;$Q25&amp;IF($T25="",""," ")&amp;$T25&amp;IF($T25="","","mcd")</f>
        <v>176</v>
      </c>
      <c r="E25" t="s" s="18">
        <v>177</v>
      </c>
      <c r="F25" t="s" s="19">
        <v>178</v>
      </c>
      <c r="G25" t="s" s="18">
        <v>179</v>
      </c>
      <c r="H25" t="s" s="18">
        <v>180</v>
      </c>
      <c r="I25" t="s" s="19">
        <v>181</v>
      </c>
      <c r="J25" t="s" s="18">
        <v>182</v>
      </c>
      <c r="K25" t="s" s="18">
        <v>183</v>
      </c>
      <c r="L25" t="s" s="18">
        <v>184</v>
      </c>
      <c r="M25" t="s" s="18">
        <v>141</v>
      </c>
      <c r="N25" s="18"/>
      <c r="O25" s="18"/>
      <c r="P25" s="18"/>
      <c r="Q25" s="18"/>
      <c r="R25" s="18"/>
      <c r="S25" s="18"/>
      <c r="T25" s="18"/>
      <c r="U25" s="18"/>
      <c r="V25" t="s" s="19">
        <v>185</v>
      </c>
      <c r="W25" t="s" s="19">
        <v>186</v>
      </c>
      <c r="X25" t="s" s="21">
        <f>IF(ISBLANK(W25),"",HYPERLINK("https://jlcpcb.com/partdetail/"&amp;$W25,$W25))</f>
        <v>187</v>
      </c>
      <c r="Y25" s="22">
        <v>10</v>
      </c>
      <c r="Z25" t="s" s="18">
        <v>188</v>
      </c>
      <c r="AA25" t="s" s="16">
        <v>189</v>
      </c>
      <c r="AB25" t="s" s="18">
        <v>190</v>
      </c>
      <c r="AC25" t="s" s="24">
        <v>191</v>
      </c>
      <c r="AD25" t="s" s="25">
        <v>191</v>
      </c>
      <c r="AE25" t="s" s="18">
        <v>192</v>
      </c>
    </row>
    <row r="26" ht="18.9" customHeight="1">
      <c r="B26" t="s" s="16">
        <f>E26&amp;"_"&amp;G26</f>
        <v>174</v>
      </c>
      <c r="C26" t="s" s="17">
        <f>$G26&amp;IF($E26="LED"," LED","")&amp;IF($N26="",""," ")&amp;$N26&amp;IF($H26="",""," ")&amp;$H26&amp;IF($O26="",""," ")&amp;$O26&amp;IF($P26="",""," ")&amp;$P26&amp;IF($Q26="",""," ")&amp;$Q26&amp;IF($T26="",""," ")&amp;$T26&amp;IF($T26="","","mcd")</f>
        <v>175</v>
      </c>
      <c r="D26" t="s" s="17">
        <f>$G26&amp;" "&amp;E26&amp;IF($N26="",""," ")&amp;$N26&amp;IF($H26="",""," ")&amp;$H26&amp;IF($O26="",""," ")&amp;$O26&amp;IF($P26="",""," ")&amp;$P26&amp;IF($Q26="",""," ")&amp;$Q26&amp;IF($T26="",""," ")&amp;$T26&amp;IF($T26="","","mcd")</f>
        <v>176</v>
      </c>
      <c r="E26" t="s" s="18">
        <v>177</v>
      </c>
      <c r="F26" t="s" s="19">
        <v>178</v>
      </c>
      <c r="G26" t="s" s="18">
        <v>179</v>
      </c>
      <c r="H26" t="s" s="18">
        <v>180</v>
      </c>
      <c r="I26" t="s" s="19">
        <v>181</v>
      </c>
      <c r="J26" t="s" s="18">
        <v>182</v>
      </c>
      <c r="K26" t="s" s="18">
        <v>183</v>
      </c>
      <c r="L26" t="s" s="18">
        <v>184</v>
      </c>
      <c r="M26" t="s" s="18">
        <v>141</v>
      </c>
      <c r="N26" s="18"/>
      <c r="O26" s="18"/>
      <c r="P26" s="18"/>
      <c r="Q26" s="18"/>
      <c r="R26" s="18"/>
      <c r="S26" s="18"/>
      <c r="T26" s="18"/>
      <c r="U26" s="18"/>
      <c r="V26" t="s" s="19">
        <v>39</v>
      </c>
      <c r="W26" t="s" s="19">
        <v>179</v>
      </c>
      <c r="X26" t="s" s="21">
        <f>IF(ISBLANK(W26),"",HYPERLINK("https://jlcpcb.com/partdetail/"&amp;$W26,$W26))</f>
        <v>193</v>
      </c>
      <c r="Y26" s="22">
        <v>1</v>
      </c>
      <c r="Z26" t="s" s="18">
        <v>188</v>
      </c>
      <c r="AA26" t="s" s="16">
        <v>189</v>
      </c>
      <c r="AB26" t="s" s="18">
        <v>190</v>
      </c>
      <c r="AC26" t="s" s="24">
        <v>191</v>
      </c>
      <c r="AD26" t="s" s="25">
        <v>191</v>
      </c>
      <c r="AE26" t="s" s="18">
        <v>192</v>
      </c>
    </row>
    <row r="27" ht="18.9" customHeight="1">
      <c r="B27" t="s" s="16">
        <f>E27&amp;"_"&amp;G27</f>
        <v>194</v>
      </c>
      <c r="C27" t="s" s="17">
        <f>$G27&amp;IF($E27="LED"," LED","")&amp;IF($N27="",""," ")&amp;$N27&amp;IF($H27="",""," ")&amp;$H27&amp;IF($O27="",""," ")&amp;$O27&amp;IF($P27="",""," ")&amp;$P27&amp;IF($Q27="",""," ")&amp;$Q27&amp;IF($T27="",""," ")&amp;$T27&amp;IF($T27="","","mcd")</f>
        <v>195</v>
      </c>
      <c r="D27" t="s" s="17">
        <f>$G27&amp;" "&amp;E27&amp;IF($N27="",""," ")&amp;$N27&amp;IF($H27="",""," ")&amp;$H27&amp;IF($O27="",""," ")&amp;$O27&amp;IF($P27="",""," ")&amp;$P27&amp;IF($Q27="",""," ")&amp;$Q27&amp;IF($T27="",""," ")&amp;$T27&amp;IF($T27="","","mcd")</f>
        <v>196</v>
      </c>
      <c r="E27" t="s" s="18">
        <v>177</v>
      </c>
      <c r="F27" t="s" s="19">
        <v>178</v>
      </c>
      <c r="G27" t="s" s="19">
        <v>197</v>
      </c>
      <c r="H27" t="s" s="18">
        <v>198</v>
      </c>
      <c r="I27" t="s" s="19">
        <v>199</v>
      </c>
      <c r="J27" t="s" s="18">
        <v>200</v>
      </c>
      <c r="K27" t="s" s="18">
        <v>178</v>
      </c>
      <c r="L27" t="s" s="18">
        <v>201</v>
      </c>
      <c r="M27" s="18"/>
      <c r="N27" s="18"/>
      <c r="O27" s="18"/>
      <c r="P27" s="18"/>
      <c r="Q27" s="18"/>
      <c r="R27" s="18"/>
      <c r="S27" s="18"/>
      <c r="T27" s="18"/>
      <c r="U27" s="18"/>
      <c r="V27" t="s" s="19">
        <v>39</v>
      </c>
      <c r="W27" s="26"/>
      <c r="X27" t="s" s="21">
        <f>IF(ISBLANK(W27),"",HYPERLINK("https://jlcpcb.com/partdetail/"&amp;$W27,$W27))</f>
      </c>
      <c r="Y27" s="22">
        <v>1</v>
      </c>
      <c r="Z27" t="s" s="18">
        <v>188</v>
      </c>
      <c r="AA27" s="27"/>
      <c r="AB27" s="26"/>
      <c r="AC27" t="s" s="24">
        <v>202</v>
      </c>
      <c r="AD27" t="s" s="25">
        <v>203</v>
      </c>
      <c r="AE27" t="s" s="18">
        <v>204</v>
      </c>
    </row>
    <row r="28" ht="18.9" customHeight="1">
      <c r="B28" t="s" s="16">
        <f>E28&amp;"_"&amp;G28</f>
        <v>205</v>
      </c>
      <c r="C28" t="s" s="17">
        <f>$G28&amp;IF($E28="LED"," LED","")&amp;IF($N28="",""," ")&amp;$N28&amp;IF($H28="",""," ")&amp;$H28&amp;IF($O28="",""," ")&amp;$O28&amp;IF($P28="",""," ")&amp;$P28&amp;IF($Q28="",""," ")&amp;$Q28&amp;IF($T28="",""," ")&amp;$T28&amp;IF($T28="","","mcd")</f>
        <v>206</v>
      </c>
      <c r="D28" t="s" s="17">
        <f>$G28&amp;" "&amp;E28&amp;IF($N28="",""," ")&amp;$N28&amp;IF($H28="",""," ")&amp;$H28&amp;IF($O28="",""," ")&amp;$O28&amp;IF($P28="",""," ")&amp;$P28&amp;IF($Q28="",""," ")&amp;$Q28&amp;IF($T28="",""," ")&amp;$T28&amp;IF($T28="","","mcd")</f>
        <v>207</v>
      </c>
      <c r="E28" t="s" s="18">
        <v>177</v>
      </c>
      <c r="F28" t="s" s="18">
        <v>5</v>
      </c>
      <c r="G28" t="s" s="19">
        <v>208</v>
      </c>
      <c r="H28" t="s" s="18">
        <v>198</v>
      </c>
      <c r="I28" t="s" s="19">
        <v>209</v>
      </c>
      <c r="J28" t="s" s="18">
        <v>200</v>
      </c>
      <c r="K28" t="s" s="18">
        <v>5</v>
      </c>
      <c r="L28" t="s" s="18">
        <v>201</v>
      </c>
      <c r="M28" s="18"/>
      <c r="N28" s="18"/>
      <c r="O28" s="18"/>
      <c r="P28" s="18"/>
      <c r="Q28" s="18"/>
      <c r="R28" s="18"/>
      <c r="S28" s="18"/>
      <c r="T28" s="18"/>
      <c r="U28" s="18"/>
      <c r="V28" t="s" s="19">
        <v>39</v>
      </c>
      <c r="W28" s="26"/>
      <c r="X28" t="s" s="21">
        <f>IF(ISBLANK(W28),"",HYPERLINK("https://jlcpcb.com/partdetail/"&amp;$W28,$W28))</f>
      </c>
      <c r="Y28" s="22">
        <v>1</v>
      </c>
      <c r="Z28" t="s" s="18">
        <v>188</v>
      </c>
      <c r="AA28" s="27"/>
      <c r="AB28" s="26"/>
      <c r="AC28" t="s" s="24">
        <v>202</v>
      </c>
      <c r="AD28" t="s" s="25">
        <v>210</v>
      </c>
      <c r="AE28" t="s" s="18">
        <v>211</v>
      </c>
    </row>
    <row r="29" ht="18.9" customHeight="1">
      <c r="B29" t="s" s="16">
        <f>E29&amp;"_"&amp;G29</f>
        <v>194</v>
      </c>
      <c r="C29" t="s" s="17">
        <f>$G29&amp;IF($E29="LED"," LED","")&amp;IF($N29="",""," ")&amp;$N29&amp;IF($H29="",""," ")&amp;$H29&amp;IF($O29="",""," ")&amp;$O29&amp;IF($P29="",""," ")&amp;$P29&amp;IF($Q29="",""," ")&amp;$Q29&amp;IF($T29="",""," ")&amp;$T29&amp;IF($T29="","","mcd")</f>
        <v>195</v>
      </c>
      <c r="D29" t="s" s="17">
        <f>$G29&amp;" "&amp;E29&amp;IF($N29="",""," ")&amp;$N29&amp;IF($H29="",""," ")&amp;$H29&amp;IF($O29="",""," ")&amp;$O29&amp;IF($P29="",""," ")&amp;$P29&amp;IF($Q29="",""," ")&amp;$Q29&amp;IF($T29="",""," ")&amp;$T29&amp;IF($T29="","","mcd")</f>
        <v>196</v>
      </c>
      <c r="E29" t="s" s="18">
        <v>177</v>
      </c>
      <c r="F29" t="s" s="19">
        <v>178</v>
      </c>
      <c r="G29" t="s" s="19">
        <v>197</v>
      </c>
      <c r="H29" t="s" s="18">
        <v>198</v>
      </c>
      <c r="I29" t="s" s="19">
        <v>199</v>
      </c>
      <c r="J29" t="s" s="18">
        <v>200</v>
      </c>
      <c r="K29" t="s" s="18">
        <v>178</v>
      </c>
      <c r="L29" t="s" s="18">
        <v>201</v>
      </c>
      <c r="M29" s="18"/>
      <c r="N29" s="18"/>
      <c r="O29" s="18"/>
      <c r="P29" s="18"/>
      <c r="Q29" s="18"/>
      <c r="R29" s="18"/>
      <c r="S29" s="18"/>
      <c r="T29" s="18"/>
      <c r="U29" s="18"/>
      <c r="V29" t="s" s="19">
        <v>185</v>
      </c>
      <c r="W29" t="s" s="19">
        <v>212</v>
      </c>
      <c r="X29" t="s" s="21">
        <f>IF(ISBLANK(W29),"",HYPERLINK("https://jlcpcb.com/partdetail/"&amp;$W29,$W29))</f>
        <v>213</v>
      </c>
      <c r="Y29" s="22">
        <v>10</v>
      </c>
      <c r="Z29" t="s" s="18">
        <v>188</v>
      </c>
      <c r="AA29" t="s" s="28">
        <v>214</v>
      </c>
      <c r="AB29" t="s" s="19">
        <v>215</v>
      </c>
      <c r="AC29" t="s" s="24">
        <v>202</v>
      </c>
      <c r="AD29" t="s" s="25">
        <v>203</v>
      </c>
      <c r="AE29" t="s" s="18">
        <v>204</v>
      </c>
    </row>
    <row r="30" ht="18.9" customHeight="1">
      <c r="B30" t="s" s="16">
        <f>E30&amp;"_"&amp;G30</f>
        <v>205</v>
      </c>
      <c r="C30" t="s" s="17">
        <f>$G30&amp;IF($E30="LED"," LED","")&amp;IF($N30="",""," ")&amp;$N30&amp;IF($H30="",""," ")&amp;$H30&amp;IF($O30="",""," ")&amp;$O30&amp;IF($P30="",""," ")&amp;$P30&amp;IF($Q30="",""," ")&amp;$Q30&amp;IF($T30="",""," ")&amp;$T30&amp;IF($T30="","","mcd")</f>
        <v>206</v>
      </c>
      <c r="D30" t="s" s="17">
        <f>$G30&amp;" "&amp;E30&amp;IF($N30="",""," ")&amp;$N30&amp;IF($H30="",""," ")&amp;$H30&amp;IF($O30="",""," ")&amp;$O30&amp;IF($P30="",""," ")&amp;$P30&amp;IF($Q30="",""," ")&amp;$Q30&amp;IF($T30="",""," ")&amp;$T30&amp;IF($T30="","","mcd")</f>
        <v>207</v>
      </c>
      <c r="E30" t="s" s="18">
        <v>177</v>
      </c>
      <c r="F30" t="s" s="18">
        <v>5</v>
      </c>
      <c r="G30" t="s" s="19">
        <v>208</v>
      </c>
      <c r="H30" t="s" s="18">
        <v>198</v>
      </c>
      <c r="I30" t="s" s="19">
        <v>209</v>
      </c>
      <c r="J30" t="s" s="18">
        <v>200</v>
      </c>
      <c r="K30" t="s" s="18">
        <v>5</v>
      </c>
      <c r="L30" t="s" s="18">
        <v>201</v>
      </c>
      <c r="M30" s="18"/>
      <c r="N30" s="18"/>
      <c r="O30" s="18"/>
      <c r="P30" s="18"/>
      <c r="Q30" s="18"/>
      <c r="R30" s="18"/>
      <c r="S30" s="18"/>
      <c r="T30" s="18"/>
      <c r="U30" s="18"/>
      <c r="V30" t="s" s="19">
        <v>185</v>
      </c>
      <c r="W30" t="s" s="19">
        <v>216</v>
      </c>
      <c r="X30" t="s" s="21">
        <f>IF(ISBLANK(W30),"",HYPERLINK("https://jlcpcb.com/partdetail/"&amp;$W30,$W30))</f>
        <v>217</v>
      </c>
      <c r="Y30" s="22">
        <v>10</v>
      </c>
      <c r="Z30" t="s" s="18">
        <v>188</v>
      </c>
      <c r="AA30" t="s" s="28">
        <v>214</v>
      </c>
      <c r="AB30" t="s" s="19">
        <v>218</v>
      </c>
      <c r="AC30" t="s" s="24">
        <v>202</v>
      </c>
      <c r="AD30" t="s" s="25">
        <v>210</v>
      </c>
      <c r="AE30" t="s" s="18">
        <v>211</v>
      </c>
    </row>
    <row r="31" ht="18.9" customHeight="1">
      <c r="B31" t="s" s="16">
        <f>E31&amp;"_"&amp;G31</f>
        <v>219</v>
      </c>
      <c r="C31" t="s" s="17">
        <f>$G31&amp;IF($E31="LED"," LED","")&amp;IF($N31="",""," ")&amp;$N31&amp;IF($H31="",""," ")&amp;$H31&amp;IF($O31="",""," ")&amp;$O31&amp;IF($P31="",""," ")&amp;$P31&amp;IF($Q31="",""," ")&amp;$Q31&amp;IF($T31="",""," ")&amp;$T31&amp;IF($T31="","","mcd")</f>
        <v>220</v>
      </c>
      <c r="D31" t="s" s="17">
        <f>$G31&amp;" "&amp;E31&amp;IF($N31="",""," ")&amp;$N31&amp;IF($H31="",""," ")&amp;$H31&amp;IF($O31="",""," ")&amp;$O31&amp;IF($P31="",""," ")&amp;$P31&amp;IF($Q31="",""," ")&amp;$Q31&amp;IF($T31="",""," ")&amp;$T31&amp;IF($T31="","","mcd")</f>
        <v>221</v>
      </c>
      <c r="E31" t="s" s="18">
        <v>135</v>
      </c>
      <c r="F31" t="s" s="19">
        <v>178</v>
      </c>
      <c r="G31" t="s" s="18">
        <v>222</v>
      </c>
      <c r="H31" t="s" s="18">
        <v>223</v>
      </c>
      <c r="I31" t="s" s="19">
        <v>224</v>
      </c>
      <c r="J31" s="18"/>
      <c r="K31" s="18"/>
      <c r="L31" t="s" s="18">
        <v>225</v>
      </c>
      <c r="M31" s="18"/>
      <c r="N31" s="18"/>
      <c r="O31" s="18"/>
      <c r="P31" s="18"/>
      <c r="Q31" s="18"/>
      <c r="R31" s="18"/>
      <c r="S31" s="18"/>
      <c r="T31" s="18"/>
      <c r="U31" s="18"/>
      <c r="V31" s="20"/>
      <c r="W31" s="20"/>
      <c r="X31" t="s" s="21">
        <f>IF(ISBLANK(W31),"",HYPERLINK("https://jlcpcb.com/partdetail/"&amp;$W31,$W31))</f>
      </c>
      <c r="Y31" s="22">
        <v>10</v>
      </c>
      <c r="Z31" t="s" s="18">
        <v>188</v>
      </c>
      <c r="AA31" s="23"/>
      <c r="AB31" t="s" s="18">
        <v>222</v>
      </c>
      <c r="AC31" t="s" s="24">
        <v>226</v>
      </c>
      <c r="AD31" t="s" s="25">
        <v>227</v>
      </c>
      <c r="AE31" s="20"/>
    </row>
    <row r="32" ht="18.9" customHeight="1">
      <c r="B32" t="s" s="16">
        <f>E32&amp;"_"&amp;G32</f>
        <v>228</v>
      </c>
      <c r="C32" t="s" s="17">
        <f>$G32&amp;IF($E32="LED"," LED","")&amp;IF($N32="",""," ")&amp;$N32&amp;IF($H32="",""," ")&amp;$H32&amp;IF($O32="",""," ")&amp;$O32&amp;IF($P32="",""," ")&amp;$P32&amp;IF($Q32="",""," ")&amp;$Q32&amp;IF($T32="",""," ")&amp;$T32&amp;IF($T32="","","mcd")</f>
        <v>229</v>
      </c>
      <c r="D32" t="s" s="17">
        <f>$G32&amp;" "&amp;E32&amp;IF($N32="",""," ")&amp;$N32&amp;IF($H32="",""," ")&amp;$H32&amp;IF($O32="",""," ")&amp;$O32&amp;IF($P32="",""," ")&amp;$P32&amp;IF($Q32="",""," ")&amp;$Q32&amp;IF($T32="",""," ")&amp;$T32&amp;IF($T32="","","mcd")</f>
        <v>230</v>
      </c>
      <c r="E32" t="s" s="18">
        <v>135</v>
      </c>
      <c r="F32" t="s" s="19">
        <v>178</v>
      </c>
      <c r="G32" t="s" s="18">
        <v>231</v>
      </c>
      <c r="H32" t="s" s="18">
        <v>232</v>
      </c>
      <c r="I32" t="s" s="19">
        <v>233</v>
      </c>
      <c r="J32" s="18"/>
      <c r="K32" s="18"/>
      <c r="L32" t="s" s="18">
        <v>234</v>
      </c>
      <c r="M32" t="s" s="18">
        <v>235</v>
      </c>
      <c r="N32" s="18"/>
      <c r="O32" s="18"/>
      <c r="P32" s="18"/>
      <c r="Q32" s="18"/>
      <c r="R32" s="18"/>
      <c r="S32" s="18"/>
      <c r="T32" s="18"/>
      <c r="U32" s="18"/>
      <c r="V32" s="20"/>
      <c r="W32" s="20"/>
      <c r="X32" t="s" s="21">
        <f>IF(ISBLANK(W32),"",HYPERLINK("https://jlcpcb.com/partdetail/"&amp;$W32,$W32))</f>
      </c>
      <c r="Y32" s="22">
        <v>10</v>
      </c>
      <c r="Z32" t="s" s="18">
        <v>188</v>
      </c>
      <c r="AA32" s="23"/>
      <c r="AB32" s="20"/>
      <c r="AC32" t="s" s="24">
        <v>236</v>
      </c>
      <c r="AD32" t="s" s="25">
        <v>237</v>
      </c>
      <c r="AE32" s="20"/>
    </row>
    <row r="33" ht="18.9" customHeight="1">
      <c r="B33" t="s" s="16">
        <f>E33&amp;"_"&amp;G33</f>
        <v>238</v>
      </c>
      <c r="C33" t="s" s="17">
        <f>$G33&amp;IF($E33="LED"," LED","")&amp;IF($N33="",""," ")&amp;$N33&amp;IF($H33="",""," ")&amp;$H33&amp;IF($O33="",""," ")&amp;$O33&amp;IF($P33="",""," ")&amp;$P33&amp;IF($Q33="",""," ")&amp;$Q33&amp;IF($T33="",""," ")&amp;$T33&amp;IF($T33="","","mcd")</f>
        <v>239</v>
      </c>
      <c r="D33" t="s" s="17">
        <f>$G33&amp;" "&amp;E33&amp;IF($N33="",""," ")&amp;$N33&amp;IF($H33="",""," ")&amp;$H33&amp;IF($O33="",""," ")&amp;$O33&amp;IF($P33="",""," ")&amp;$P33&amp;IF($Q33="",""," ")&amp;$Q33&amp;IF($T33="",""," ")&amp;$T33&amp;IF($T33="","","mcd")</f>
        <v>240</v>
      </c>
      <c r="E33" t="s" s="18">
        <v>135</v>
      </c>
      <c r="F33" t="s" s="19">
        <v>178</v>
      </c>
      <c r="G33" t="s" s="18">
        <v>241</v>
      </c>
      <c r="H33" t="s" s="18">
        <v>232</v>
      </c>
      <c r="I33" t="s" s="19">
        <v>242</v>
      </c>
      <c r="J33" s="18"/>
      <c r="K33" s="18"/>
      <c r="L33" t="s" s="18">
        <v>243</v>
      </c>
      <c r="M33" t="s" s="18">
        <v>235</v>
      </c>
      <c r="N33" s="18"/>
      <c r="O33" s="18"/>
      <c r="P33" s="18"/>
      <c r="Q33" s="18"/>
      <c r="R33" s="18"/>
      <c r="S33" s="18"/>
      <c r="T33" s="18"/>
      <c r="U33" s="18"/>
      <c r="V33" s="20"/>
      <c r="W33" s="20"/>
      <c r="X33" t="s" s="21">
        <f>IF(ISBLANK(W33),"",HYPERLINK("https://jlcpcb.com/partdetail/"&amp;$W33,$W33))</f>
      </c>
      <c r="Y33" s="22">
        <v>10</v>
      </c>
      <c r="Z33" t="s" s="18">
        <v>188</v>
      </c>
      <c r="AA33" s="23"/>
      <c r="AB33" s="20"/>
      <c r="AC33" t="s" s="24">
        <v>244</v>
      </c>
      <c r="AD33" t="s" s="25">
        <v>245</v>
      </c>
      <c r="AE33" s="20"/>
    </row>
    <row r="34" ht="18.9" customHeight="1">
      <c r="B34" t="s" s="16">
        <f>E34&amp;"_"&amp;G34</f>
        <v>246</v>
      </c>
      <c r="C34" t="s" s="17">
        <f>$G34&amp;IF($E34="LED"," LED","")&amp;IF($N34="",""," ")&amp;$N34&amp;IF($H34="",""," ")&amp;$H34&amp;IF($O34="",""," ")&amp;$O34&amp;IF($P34="",""," ")&amp;$P34&amp;IF($Q34="",""," ")&amp;$Q34&amp;IF($T34="",""," ")&amp;$T34&amp;IF($T34="","","mcd")</f>
        <v>247</v>
      </c>
      <c r="D34" t="s" s="17">
        <f>$G34&amp;" "&amp;E34&amp;IF($N34="",""," ")&amp;$N34&amp;IF($H34="",""," ")&amp;$H34&amp;IF($O34="",""," ")&amp;$O34&amp;IF($P34="",""," ")&amp;$P34&amp;IF($Q34="",""," ")&amp;$Q34&amp;IF($T34="",""," ")&amp;$T34&amp;IF($T34="","","mcd")</f>
        <v>248</v>
      </c>
      <c r="E34" t="s" s="18">
        <v>135</v>
      </c>
      <c r="F34" t="s" s="19">
        <v>178</v>
      </c>
      <c r="G34" t="s" s="18">
        <v>249</v>
      </c>
      <c r="H34" t="s" s="18">
        <v>232</v>
      </c>
      <c r="I34" t="s" s="19">
        <v>250</v>
      </c>
      <c r="J34" s="18"/>
      <c r="K34" s="18"/>
      <c r="L34" t="s" s="18">
        <v>251</v>
      </c>
      <c r="M34" t="s" s="18">
        <v>235</v>
      </c>
      <c r="N34" s="18"/>
      <c r="O34" s="18"/>
      <c r="P34" s="18"/>
      <c r="Q34" s="18"/>
      <c r="R34" s="18"/>
      <c r="S34" s="18"/>
      <c r="T34" s="18"/>
      <c r="U34" s="18"/>
      <c r="V34" s="20"/>
      <c r="W34" s="20"/>
      <c r="X34" t="s" s="21">
        <f>IF(ISBLANK(W34),"",HYPERLINK("https://jlcpcb.com/partdetail/"&amp;$W34,$W34))</f>
      </c>
      <c r="Y34" s="22">
        <v>10</v>
      </c>
      <c r="Z34" t="s" s="18">
        <v>188</v>
      </c>
      <c r="AA34" s="23"/>
      <c r="AB34" s="20"/>
      <c r="AC34" t="s" s="24">
        <v>252</v>
      </c>
      <c r="AD34" t="s" s="25">
        <v>253</v>
      </c>
      <c r="AE34" s="20"/>
    </row>
    <row r="35" ht="18.9" customHeight="1">
      <c r="B35" t="s" s="16">
        <f>E35&amp;"_"&amp;G35</f>
        <v>254</v>
      </c>
      <c r="C35" t="s" s="17">
        <f>$G35&amp;IF($E35="LED"," LED","")&amp;IF($N35="",""," ")&amp;$N35&amp;IF($H35="",""," ")&amp;$H35&amp;IF($O35="",""," ")&amp;$O35&amp;IF($P35="",""," ")&amp;$P35&amp;IF($Q35="",""," ")&amp;$Q35&amp;IF($T35="",""," ")&amp;$T35&amp;IF($T35="","","mcd")</f>
        <v>255</v>
      </c>
      <c r="D35" t="s" s="17">
        <f>$G35&amp;" "&amp;E35&amp;IF($N35="",""," ")&amp;$N35&amp;IF($H35="",""," ")&amp;$H35&amp;IF($O35="",""," ")&amp;$O35&amp;IF($P35="",""," ")&amp;$P35&amp;IF($Q35="",""," ")&amp;$Q35&amp;IF($T35="",""," ")&amp;$T35&amp;IF($T35="","","mcd")</f>
        <v>256</v>
      </c>
      <c r="E35" t="s" s="18">
        <v>135</v>
      </c>
      <c r="F35" t="s" s="19">
        <v>178</v>
      </c>
      <c r="G35" t="s" s="18">
        <v>257</v>
      </c>
      <c r="H35" t="s" s="18">
        <v>232</v>
      </c>
      <c r="I35" t="s" s="19">
        <v>258</v>
      </c>
      <c r="J35" s="18"/>
      <c r="K35" s="18"/>
      <c r="L35" t="s" s="18">
        <v>259</v>
      </c>
      <c r="M35" t="s" s="18">
        <v>235</v>
      </c>
      <c r="N35" s="18"/>
      <c r="O35" s="18"/>
      <c r="P35" s="18"/>
      <c r="Q35" s="18"/>
      <c r="R35" s="18"/>
      <c r="S35" s="18"/>
      <c r="T35" s="18"/>
      <c r="U35" s="18"/>
      <c r="V35" s="20"/>
      <c r="W35" s="20"/>
      <c r="X35" t="s" s="21">
        <f>IF(ISBLANK(W35),"",HYPERLINK("https://jlcpcb.com/partdetail/"&amp;$W35,$W35))</f>
      </c>
      <c r="Y35" s="22">
        <v>10</v>
      </c>
      <c r="Z35" t="s" s="18">
        <v>188</v>
      </c>
      <c r="AA35" s="23"/>
      <c r="AB35" s="20"/>
      <c r="AC35" t="s" s="24">
        <v>260</v>
      </c>
      <c r="AD35" t="s" s="25">
        <v>261</v>
      </c>
      <c r="AE35" s="20"/>
    </row>
    <row r="36" ht="18.9" customHeight="1">
      <c r="B36" t="s" s="16">
        <f>E36&amp;"_"&amp;G36</f>
        <v>262</v>
      </c>
      <c r="C36" t="s" s="17">
        <f>$G36&amp;IF($E36="LED"," LED","")&amp;IF($N36="",""," ")&amp;$N36&amp;IF($H36="",""," ")&amp;$H36&amp;IF($O36="",""," ")&amp;$O36&amp;IF($P36="",""," ")&amp;$P36&amp;IF($Q36="",""," ")&amp;$Q36&amp;IF($T36="",""," ")&amp;$T36&amp;IF($T36="","","mcd")</f>
        <v>263</v>
      </c>
      <c r="D36" t="s" s="17">
        <f>$G36&amp;" "&amp;E36&amp;IF($N36="",""," ")&amp;$N36&amp;IF($H36="",""," ")&amp;$H36&amp;IF($O36="",""," ")&amp;$O36&amp;IF($P36="",""," ")&amp;$P36&amp;IF($Q36="",""," ")&amp;$Q36&amp;IF($T36="",""," ")&amp;$T36&amp;IF($T36="","","mcd")</f>
        <v>264</v>
      </c>
      <c r="E36" t="s" s="18">
        <v>135</v>
      </c>
      <c r="F36" t="s" s="19">
        <v>178</v>
      </c>
      <c r="G36" t="s" s="18">
        <v>265</v>
      </c>
      <c r="H36" t="s" s="18">
        <v>232</v>
      </c>
      <c r="I36" t="s" s="19">
        <v>266</v>
      </c>
      <c r="J36" s="18"/>
      <c r="K36" s="18"/>
      <c r="L36" t="s" s="18">
        <v>259</v>
      </c>
      <c r="M36" t="s" s="18">
        <v>235</v>
      </c>
      <c r="N36" s="18"/>
      <c r="O36" s="18"/>
      <c r="P36" s="18"/>
      <c r="Q36" s="18"/>
      <c r="R36" s="18"/>
      <c r="S36" s="18"/>
      <c r="T36" s="18"/>
      <c r="U36" s="18"/>
      <c r="V36" s="20"/>
      <c r="W36" s="20"/>
      <c r="X36" t="s" s="21">
        <f>IF(ISBLANK(W36),"",HYPERLINK("https://jlcpcb.com/partdetail/"&amp;$W36,$W36))</f>
      </c>
      <c r="Y36" s="22">
        <v>10</v>
      </c>
      <c r="Z36" t="s" s="18">
        <v>188</v>
      </c>
      <c r="AA36" s="23"/>
      <c r="AB36" s="20"/>
      <c r="AC36" t="s" s="24">
        <v>267</v>
      </c>
      <c r="AD36" t="s" s="25">
        <v>268</v>
      </c>
      <c r="AE36" s="20"/>
    </row>
    <row r="37" ht="18.9" customHeight="1">
      <c r="B37" t="s" s="16">
        <f>E37&amp;"_"&amp;G37</f>
        <v>269</v>
      </c>
      <c r="C37" t="s" s="17">
        <f>$G37&amp;IF($E37="LED"," LED","")&amp;IF($N37="",""," ")&amp;$N37&amp;IF($H37="",""," ")&amp;$H37&amp;IF($O37="",""," ")&amp;$O37&amp;IF($P37="",""," ")&amp;$P37&amp;IF($Q37="",""," ")&amp;$Q37&amp;IF($T37="",""," ")&amp;$T37&amp;IF($T37="","","mcd")</f>
        <v>270</v>
      </c>
      <c r="D37" t="s" s="17">
        <f>$G37&amp;" "&amp;E37&amp;IF($N37="",""," ")&amp;$N37&amp;IF($H37="",""," ")&amp;$H37&amp;IF($O37="",""," ")&amp;$O37&amp;IF($P37="",""," ")&amp;$P37&amp;IF($Q37="",""," ")&amp;$Q37&amp;IF($T37="",""," ")&amp;$T37&amp;IF($T37="","","mcd")</f>
        <v>271</v>
      </c>
      <c r="E37" t="s" s="18">
        <v>135</v>
      </c>
      <c r="F37" t="s" s="19">
        <v>178</v>
      </c>
      <c r="G37" t="s" s="18">
        <v>272</v>
      </c>
      <c r="H37" t="s" s="18">
        <v>273</v>
      </c>
      <c r="I37" t="s" s="19">
        <v>274</v>
      </c>
      <c r="J37" s="18"/>
      <c r="K37" s="18"/>
      <c r="L37" t="s" s="18">
        <v>259</v>
      </c>
      <c r="M37" t="s" s="18">
        <v>235</v>
      </c>
      <c r="N37" s="18"/>
      <c r="O37" s="18"/>
      <c r="P37" s="18"/>
      <c r="Q37" s="18"/>
      <c r="R37" s="18"/>
      <c r="S37" s="18"/>
      <c r="T37" s="18"/>
      <c r="U37" s="18"/>
      <c r="V37" s="20"/>
      <c r="W37" s="20"/>
      <c r="X37" t="s" s="21">
        <f>IF(ISBLANK(W37),"",HYPERLINK("https://jlcpcb.com/partdetail/"&amp;$W37,$W37))</f>
      </c>
      <c r="Y37" s="22">
        <v>10</v>
      </c>
      <c r="Z37" t="s" s="18">
        <v>188</v>
      </c>
      <c r="AA37" s="23"/>
      <c r="AB37" s="20"/>
      <c r="AC37" t="s" s="24">
        <v>275</v>
      </c>
      <c r="AD37" t="s" s="25">
        <v>276</v>
      </c>
      <c r="AE37" s="20"/>
    </row>
    <row r="38" ht="18.9" customHeight="1">
      <c r="B38" t="s" s="16">
        <f>E38&amp;"_"&amp;G38</f>
        <v>277</v>
      </c>
      <c r="C38" t="s" s="17">
        <f>$G38&amp;IF($E38="LED"," LED","")&amp;IF($N38="",""," ")&amp;$N38&amp;IF($H38="",""," ")&amp;$H38&amp;IF($O38="",""," ")&amp;$O38&amp;IF($P38="",""," ")&amp;$P38&amp;IF($Q38="",""," ")&amp;$Q38&amp;IF($T38="",""," ")&amp;$T38&amp;IF($T38="","","mcd")</f>
        <v>278</v>
      </c>
      <c r="D38" t="s" s="17">
        <f>$G38&amp;" "&amp;E38&amp;IF($N38="",""," ")&amp;$N38&amp;IF($H38="",""," ")&amp;$H38&amp;IF($O38="",""," ")&amp;$O38&amp;IF($P38="",""," ")&amp;$P38&amp;IF($Q38="",""," ")&amp;$Q38&amp;IF($T38="",""," ")&amp;$T38&amp;IF($T38="","","mcd")</f>
        <v>279</v>
      </c>
      <c r="E38" t="s" s="18">
        <v>135</v>
      </c>
      <c r="F38" t="s" s="19">
        <v>178</v>
      </c>
      <c r="G38" t="s" s="18">
        <v>280</v>
      </c>
      <c r="H38" t="s" s="18">
        <v>232</v>
      </c>
      <c r="I38" t="s" s="19">
        <v>281</v>
      </c>
      <c r="J38" s="18"/>
      <c r="K38" s="18"/>
      <c r="L38" t="s" s="18">
        <v>251</v>
      </c>
      <c r="M38" t="s" s="18">
        <v>235</v>
      </c>
      <c r="N38" s="18"/>
      <c r="O38" s="18"/>
      <c r="P38" s="18"/>
      <c r="Q38" s="18"/>
      <c r="R38" s="18"/>
      <c r="S38" s="18"/>
      <c r="T38" s="18"/>
      <c r="U38" s="18"/>
      <c r="V38" s="20"/>
      <c r="W38" s="20"/>
      <c r="X38" t="s" s="21">
        <f>IF(ISBLANK(W38),"",HYPERLINK("https://jlcpcb.com/partdetail/"&amp;$W38,$W38))</f>
      </c>
      <c r="Y38" s="22">
        <v>10</v>
      </c>
      <c r="Z38" t="s" s="18">
        <v>188</v>
      </c>
      <c r="AA38" s="23"/>
      <c r="AB38" s="20"/>
      <c r="AC38" t="s" s="24">
        <v>282</v>
      </c>
      <c r="AD38" t="s" s="25">
        <v>283</v>
      </c>
      <c r="AE38" s="20"/>
    </row>
    <row r="39" ht="18.9" customHeight="1">
      <c r="B39" t="s" s="16">
        <f>E39&amp;"_"&amp;G39</f>
        <v>284</v>
      </c>
      <c r="C39" t="s" s="17">
        <f>$G39&amp;IF($E39="LED"," LED","")&amp;IF($N39="",""," ")&amp;$N39&amp;IF($H39="",""," ")&amp;$H39&amp;IF($O39="",""," ")&amp;$O39&amp;IF($P39="",""," ")&amp;$P39&amp;IF($Q39="",""," ")&amp;$Q39&amp;IF($T39="",""," ")&amp;$T39&amp;IF($T39="","","mcd")</f>
        <v>285</v>
      </c>
      <c r="D39" t="s" s="17">
        <f>$G39&amp;" "&amp;E39&amp;IF($N39="",""," ")&amp;$N39&amp;IF($H39="",""," ")&amp;$H39&amp;IF($O39="",""," ")&amp;$O39&amp;IF($P39="",""," ")&amp;$P39&amp;IF($Q39="",""," ")&amp;$Q39&amp;IF($T39="",""," ")&amp;$T39&amp;IF($T39="","","mcd")</f>
        <v>286</v>
      </c>
      <c r="E39" t="s" s="18">
        <v>287</v>
      </c>
      <c r="F39" t="s" s="19">
        <v>178</v>
      </c>
      <c r="G39" t="s" s="18">
        <v>288</v>
      </c>
      <c r="H39" t="s" s="18">
        <v>289</v>
      </c>
      <c r="I39" t="s" s="19">
        <v>288</v>
      </c>
      <c r="J39" s="18"/>
      <c r="K39" s="18"/>
      <c r="L39" t="s" s="18">
        <v>290</v>
      </c>
      <c r="M39" t="s" s="18">
        <v>291</v>
      </c>
      <c r="N39" s="18"/>
      <c r="O39" s="18"/>
      <c r="P39" s="18"/>
      <c r="Q39" s="18"/>
      <c r="R39" s="18"/>
      <c r="S39" s="18"/>
      <c r="T39" s="18"/>
      <c r="U39" s="18"/>
      <c r="V39" s="20"/>
      <c r="W39" s="20"/>
      <c r="X39" t="s" s="21">
        <f>IF(ISBLANK(W39),"",HYPERLINK("https://jlcpcb.com/partdetail/"&amp;$W39,$W39))</f>
      </c>
      <c r="Y39" s="22">
        <v>10</v>
      </c>
      <c r="Z39" t="s" s="18">
        <v>188</v>
      </c>
      <c r="AA39" t="s" s="16">
        <v>292</v>
      </c>
      <c r="AB39" t="s" s="18">
        <v>288</v>
      </c>
      <c r="AC39" t="s" s="24">
        <v>293</v>
      </c>
      <c r="AD39" t="s" s="25">
        <v>293</v>
      </c>
      <c r="AE39" t="s" s="18">
        <v>294</v>
      </c>
    </row>
    <row r="40" ht="18.9" customHeight="1">
      <c r="B40" t="s" s="16">
        <f>E40&amp;"_"&amp;G40</f>
        <v>295</v>
      </c>
      <c r="C40" t="s" s="17">
        <f>$G40&amp;IF($E40="LED"," LED","")&amp;IF($N40="",""," ")&amp;$N40&amp;IF($H40="",""," ")&amp;$H40&amp;IF($O40="",""," ")&amp;$O40&amp;IF($P40="",""," ")&amp;$P40&amp;IF($Q40="",""," ")&amp;$Q40&amp;IF($T40="",""," ")&amp;$T40&amp;IF($T40="","","mcd")</f>
        <v>296</v>
      </c>
      <c r="D40" t="s" s="17">
        <f>$G40&amp;" "&amp;E40&amp;IF($N40="",""," ")&amp;$N40&amp;IF($H40="",""," ")&amp;$H40&amp;IF($O40="",""," ")&amp;$O40&amp;IF($P40="",""," ")&amp;$P40&amp;IF($Q40="",""," ")&amp;$Q40&amp;IF($T40="",""," ")&amp;$T40&amp;IF($T40="","","mcd")</f>
        <v>297</v>
      </c>
      <c r="E40" t="s" s="18">
        <v>287</v>
      </c>
      <c r="F40" t="s" s="19">
        <v>178</v>
      </c>
      <c r="G40" t="s" s="18">
        <v>298</v>
      </c>
      <c r="H40" t="s" s="18">
        <v>289</v>
      </c>
      <c r="I40" t="s" s="19">
        <v>299</v>
      </c>
      <c r="J40" s="18"/>
      <c r="K40" s="18"/>
      <c r="L40" t="s" s="18">
        <v>300</v>
      </c>
      <c r="M40" t="s" s="18">
        <v>291</v>
      </c>
      <c r="N40" s="18"/>
      <c r="O40" s="18"/>
      <c r="P40" s="18"/>
      <c r="Q40" s="18"/>
      <c r="R40" s="18"/>
      <c r="S40" s="18"/>
      <c r="T40" s="18"/>
      <c r="U40" s="18"/>
      <c r="V40" s="20"/>
      <c r="W40" s="20"/>
      <c r="X40" t="s" s="21">
        <f>IF(ISBLANK(W40),"",HYPERLINK("https://jlcpcb.com/partdetail/"&amp;$W40,$W40))</f>
      </c>
      <c r="Y40" s="22">
        <v>10</v>
      </c>
      <c r="Z40" t="s" s="18">
        <v>188</v>
      </c>
      <c r="AA40" t="s" s="16">
        <v>301</v>
      </c>
      <c r="AB40" t="s" s="18">
        <v>298</v>
      </c>
      <c r="AC40" t="s" s="24">
        <v>302</v>
      </c>
      <c r="AD40" t="s" s="25">
        <v>302</v>
      </c>
      <c r="AE40" t="s" s="18">
        <v>303</v>
      </c>
    </row>
    <row r="41" ht="18.9" customHeight="1">
      <c r="B41" t="s" s="16">
        <f>E41&amp;"_"&amp;G41&amp;"_"&amp;H41&amp;"_"&amp;J41</f>
        <v>304</v>
      </c>
      <c r="C41" t="s" s="17">
        <f>$G41&amp;IF($E41="LED"," LED","")&amp;IF($N41="",""," ")&amp;$N41&amp;IF($H41="",""," ")&amp;$H41&amp;IF($O41="",""," ")&amp;$O41&amp;IF($P41="",""," ")&amp;$P41&amp;IF($Q41="",""," ")&amp;$Q41&amp;IF($T41="",""," ")&amp;$T41&amp;IF($T41="","","mcd")</f>
        <v>305</v>
      </c>
      <c r="D41" t="s" s="17">
        <f>$G41&amp;" "&amp;E41&amp;IF($N41="",""," ")&amp;$N41&amp;IF($H41="",""," ")&amp;$H41&amp;IF($O41="",""," ")&amp;$O41&amp;IF($P41="",""," ")&amp;$P41&amp;IF($Q41="",""," ")&amp;$Q41&amp;IF($T41="",""," ")&amp;$T41&amp;IF($T41="","","mcd")</f>
        <v>306</v>
      </c>
      <c r="E41" t="s" s="18">
        <v>307</v>
      </c>
      <c r="F41" t="s" s="18">
        <v>5</v>
      </c>
      <c r="G41" t="s" s="18">
        <v>308</v>
      </c>
      <c r="H41" t="s" s="18">
        <v>309</v>
      </c>
      <c r="I41" t="s" s="19">
        <v>310</v>
      </c>
      <c r="J41" t="s" s="18">
        <v>311</v>
      </c>
      <c r="K41" s="18"/>
      <c r="L41" s="18"/>
      <c r="M41" s="18"/>
      <c r="N41" t="s" s="18">
        <v>312</v>
      </c>
      <c r="O41" t="s" s="18">
        <v>313</v>
      </c>
      <c r="P41" s="18"/>
      <c r="Q41" s="18"/>
      <c r="R41" s="18"/>
      <c r="S41" s="18"/>
      <c r="T41" s="18"/>
      <c r="U41" s="18"/>
      <c r="V41" t="s" s="19">
        <v>185</v>
      </c>
      <c r="W41" t="s" s="18">
        <v>314</v>
      </c>
      <c r="X41" t="s" s="21">
        <f>IF(ISBLANK(W41),"",HYPERLINK("https://jlcpcb.com/partdetail/"&amp;$W41,$W41))</f>
        <v>315</v>
      </c>
      <c r="Y41" s="29">
        <v>1</v>
      </c>
      <c r="Z41" t="s" s="18">
        <v>316</v>
      </c>
      <c r="AA41" t="s" s="16">
        <v>317</v>
      </c>
      <c r="AB41" t="s" s="18">
        <v>318</v>
      </c>
      <c r="AC41" t="s" s="24">
        <v>319</v>
      </c>
      <c r="AD41" t="s" s="25">
        <v>320</v>
      </c>
      <c r="AE41" t="s" s="18">
        <v>321</v>
      </c>
    </row>
    <row r="42" ht="18.9" customHeight="1">
      <c r="B42" t="s" s="16">
        <f>E42&amp;"_"&amp;G42&amp;"_"&amp;H42&amp;"_"&amp;J42</f>
        <v>322</v>
      </c>
      <c r="C42" t="s" s="17">
        <f>$G42&amp;IF($E42="LED"," LED","")&amp;IF($N42="",""," ")&amp;$N42&amp;IF($H42="",""," ")&amp;$H42&amp;IF($O42="",""," ")&amp;$O42&amp;IF($P42="",""," ")&amp;$P42&amp;IF($Q42="",""," ")&amp;$Q42&amp;IF($T42="",""," ")&amp;$T42&amp;IF($T42="","","mcd")</f>
        <v>323</v>
      </c>
      <c r="D42" t="s" s="17">
        <f>$G42&amp;" "&amp;E42&amp;IF($N42="",""," ")&amp;$N42&amp;IF($H42="",""," ")&amp;$H42&amp;IF($O42="",""," ")&amp;$O42&amp;IF($P42="",""," ")&amp;$P42&amp;IF($Q42="",""," ")&amp;$Q42&amp;IF($T42="",""," ")&amp;$T42&amp;IF($T42="","","mcd")</f>
        <v>324</v>
      </c>
      <c r="E42" t="s" s="18">
        <v>307</v>
      </c>
      <c r="F42" t="s" s="18">
        <v>5</v>
      </c>
      <c r="G42" t="s" s="18">
        <v>308</v>
      </c>
      <c r="H42" t="s" s="18">
        <v>325</v>
      </c>
      <c r="I42" t="s" s="19">
        <v>326</v>
      </c>
      <c r="J42" t="s" s="18">
        <v>311</v>
      </c>
      <c r="K42" s="18"/>
      <c r="L42" s="18"/>
      <c r="M42" s="18"/>
      <c r="N42" t="s" s="18">
        <v>312</v>
      </c>
      <c r="O42" t="s" s="18">
        <v>327</v>
      </c>
      <c r="P42" s="18"/>
      <c r="Q42" s="18"/>
      <c r="R42" s="18"/>
      <c r="S42" s="18"/>
      <c r="T42" s="18"/>
      <c r="U42" s="18"/>
      <c r="V42" t="s" s="19">
        <v>185</v>
      </c>
      <c r="W42" t="s" s="18">
        <v>328</v>
      </c>
      <c r="X42" t="s" s="21">
        <f>IF(ISBLANK(W42),"",HYPERLINK("https://jlcpcb.com/partdetail/"&amp;$W42,$W42))</f>
        <v>329</v>
      </c>
      <c r="Y42" s="29">
        <v>2</v>
      </c>
      <c r="Z42" t="s" s="18">
        <v>316</v>
      </c>
      <c r="AA42" t="s" s="16">
        <v>330</v>
      </c>
      <c r="AB42" t="s" s="18">
        <v>331</v>
      </c>
      <c r="AC42" t="s" s="24">
        <v>319</v>
      </c>
      <c r="AD42" t="s" s="25">
        <v>320</v>
      </c>
      <c r="AE42" t="s" s="18">
        <v>332</v>
      </c>
    </row>
    <row r="43" ht="20.8" customHeight="1">
      <c r="B43" t="s" s="16">
        <f>E43&amp;"_"&amp;G43&amp;"_"&amp;H43&amp;"_"&amp;J43</f>
        <v>304</v>
      </c>
      <c r="C43" t="s" s="17">
        <f>$G43&amp;IF($E43="LED"," LED","")&amp;IF($N43="",""," ")&amp;$N43&amp;IF($H43="",""," ")&amp;$H43&amp;IF($O43="",""," ")&amp;$O43&amp;IF($P43="",""," ")&amp;$P43&amp;IF($Q43="",""," ")&amp;$Q43&amp;IF($T43="",""," ")&amp;$T43&amp;IF($T43="","","mcd")</f>
        <v>333</v>
      </c>
      <c r="D43" t="s" s="17">
        <f>$G43&amp;" "&amp;E43&amp;IF($N43="",""," ")&amp;$N43&amp;IF($H43="",""," ")&amp;$H43&amp;IF($O43="",""," ")&amp;$O43&amp;IF($P43="",""," ")&amp;$P43&amp;IF($Q43="",""," ")&amp;$Q43&amp;IF($T43="",""," ")&amp;$T43&amp;IF($T43="","","mcd")</f>
        <v>334</v>
      </c>
      <c r="E43" t="s" s="18">
        <v>307</v>
      </c>
      <c r="F43" t="s" s="18">
        <v>5</v>
      </c>
      <c r="G43" t="s" s="18">
        <v>308</v>
      </c>
      <c r="H43" t="s" s="18">
        <v>309</v>
      </c>
      <c r="I43" t="s" s="19">
        <v>335</v>
      </c>
      <c r="J43" t="s" s="18">
        <v>311</v>
      </c>
      <c r="K43" s="18"/>
      <c r="L43" s="18"/>
      <c r="M43" s="18"/>
      <c r="N43" t="s" s="18">
        <v>312</v>
      </c>
      <c r="O43" t="s" s="18">
        <v>327</v>
      </c>
      <c r="P43" s="18"/>
      <c r="Q43" s="18"/>
      <c r="R43" s="18"/>
      <c r="S43" s="18"/>
      <c r="T43" s="18"/>
      <c r="U43" s="18"/>
      <c r="V43" t="s" s="19">
        <v>185</v>
      </c>
      <c r="W43" t="s" s="18">
        <v>336</v>
      </c>
      <c r="X43" t="s" s="21">
        <f>IF(ISBLANK(W43),"",HYPERLINK("https://jlcpcb.com/partdetail/"&amp;$W43,$W43))</f>
        <v>337</v>
      </c>
      <c r="Y43" s="29">
        <v>3</v>
      </c>
      <c r="Z43" t="s" s="18">
        <v>188</v>
      </c>
      <c r="AA43" t="s" s="16">
        <v>317</v>
      </c>
      <c r="AB43" t="s" s="18">
        <v>338</v>
      </c>
      <c r="AC43" t="s" s="24">
        <v>319</v>
      </c>
      <c r="AD43" t="s" s="25">
        <v>320</v>
      </c>
      <c r="AE43" t="s" s="18">
        <v>339</v>
      </c>
    </row>
    <row r="44" ht="18.9" customHeight="1">
      <c r="B44" t="s" s="16">
        <f>E44&amp;"_"&amp;G44&amp;"_"&amp;H44&amp;"_"&amp;J44</f>
        <v>340</v>
      </c>
      <c r="C44" t="s" s="17">
        <f>$G44&amp;IF($E44="LED"," LED","")&amp;IF($N44="",""," ")&amp;$N44&amp;IF($H44="",""," ")&amp;$H44&amp;IF($O44="",""," ")&amp;$O44&amp;IF($P44="",""," ")&amp;$P44&amp;IF($Q44="",""," ")&amp;$Q44&amp;IF($T44="",""," ")&amp;$T44&amp;IF($T44="","","mcd")</f>
        <v>341</v>
      </c>
      <c r="D44" t="s" s="17">
        <f>$G44&amp;" "&amp;E44&amp;IF($N44="",""," ")&amp;$N44&amp;IF($H44="",""," ")&amp;$H44&amp;IF($O44="",""," ")&amp;$O44&amp;IF($P44="",""," ")&amp;$P44&amp;IF($Q44="",""," ")&amp;$Q44&amp;IF($T44="",""," ")&amp;$T44&amp;IF($T44="","","mcd")</f>
        <v>342</v>
      </c>
      <c r="E44" t="s" s="18">
        <v>307</v>
      </c>
      <c r="F44" t="s" s="18">
        <v>5</v>
      </c>
      <c r="G44" t="s" s="18">
        <v>343</v>
      </c>
      <c r="H44" t="s" s="18">
        <v>325</v>
      </c>
      <c r="I44" t="s" s="19">
        <v>344</v>
      </c>
      <c r="J44" t="s" s="18">
        <v>311</v>
      </c>
      <c r="K44" s="18"/>
      <c r="L44" s="18"/>
      <c r="M44" s="18"/>
      <c r="N44" t="s" s="18">
        <v>312</v>
      </c>
      <c r="O44" t="s" s="18">
        <v>313</v>
      </c>
      <c r="P44" s="18"/>
      <c r="Q44" s="18"/>
      <c r="R44" s="18"/>
      <c r="S44" s="18"/>
      <c r="T44" s="18"/>
      <c r="U44" s="18"/>
      <c r="V44" t="s" s="19">
        <v>185</v>
      </c>
      <c r="W44" t="s" s="18">
        <v>345</v>
      </c>
      <c r="X44" t="s" s="21">
        <f>IF(ISBLANK(W44),"",HYPERLINK("https://jlcpcb.com/partdetail/"&amp;$W44,$W44))</f>
        <v>346</v>
      </c>
      <c r="Y44" s="29">
        <v>1</v>
      </c>
      <c r="Z44" t="s" s="18">
        <v>316</v>
      </c>
      <c r="AA44" t="s" s="16">
        <v>330</v>
      </c>
      <c r="AB44" t="s" s="18">
        <v>347</v>
      </c>
      <c r="AC44" t="s" s="24">
        <v>319</v>
      </c>
      <c r="AD44" t="s" s="25">
        <v>320</v>
      </c>
      <c r="AE44" t="s" s="18">
        <v>332</v>
      </c>
    </row>
    <row r="45" ht="17.35" customHeight="1">
      <c r="B45" t="s" s="16">
        <f>E45&amp;"_"&amp;G45&amp;"_"&amp;H45&amp;"_"&amp;J45</f>
        <v>348</v>
      </c>
      <c r="C45" t="s" s="17">
        <f>$G45&amp;IF($E45="LED"," LED","")&amp;IF($N45="",""," ")&amp;$N45&amp;IF($H45="",""," ")&amp;$H45&amp;IF($O45="",""," ")&amp;$O45&amp;IF($P45="",""," ")&amp;$P45&amp;IF($Q45="",""," ")&amp;$Q45&amp;IF($T45="",""," ")&amp;$T45&amp;IF($T45="","","mcd")</f>
        <v>349</v>
      </c>
      <c r="D45" t="s" s="17">
        <f>$G45&amp;" "&amp;E45&amp;IF($N45="",""," ")&amp;$N45&amp;IF($H45="",""," ")&amp;$H45&amp;IF($O45="",""," ")&amp;$O45&amp;IF($P45="",""," ")&amp;$P45&amp;IF($Q45="",""," ")&amp;$Q45&amp;IF($T45="",""," ")&amp;$T45&amp;IF($T45="","","mcd")</f>
        <v>350</v>
      </c>
      <c r="E45" t="s" s="18">
        <v>307</v>
      </c>
      <c r="F45" t="s" s="18">
        <v>5</v>
      </c>
      <c r="G45" t="s" s="18">
        <v>343</v>
      </c>
      <c r="H45" t="s" s="18">
        <v>309</v>
      </c>
      <c r="I45" t="s" s="19">
        <v>351</v>
      </c>
      <c r="J45" t="s" s="18">
        <v>311</v>
      </c>
      <c r="K45" s="18"/>
      <c r="L45" s="18"/>
      <c r="M45" s="18"/>
      <c r="N45" t="s" s="18">
        <v>312</v>
      </c>
      <c r="O45" t="s" s="18">
        <v>327</v>
      </c>
      <c r="P45" s="18"/>
      <c r="Q45" s="18"/>
      <c r="R45" s="18"/>
      <c r="S45" s="18"/>
      <c r="T45" s="18"/>
      <c r="U45" s="18"/>
      <c r="V45" t="s" s="19">
        <v>185</v>
      </c>
      <c r="W45" t="s" s="18">
        <v>352</v>
      </c>
      <c r="X45" t="s" s="21">
        <f>IF(ISBLANK(W45),"",HYPERLINK("https://jlcpcb.com/partdetail/"&amp;$W45,$W45))</f>
        <v>353</v>
      </c>
      <c r="Y45" s="29">
        <v>2</v>
      </c>
      <c r="Z45" t="s" s="18">
        <v>188</v>
      </c>
      <c r="AA45" t="s" s="16">
        <v>317</v>
      </c>
      <c r="AB45" t="s" s="18">
        <v>354</v>
      </c>
      <c r="AC45" t="s" s="24">
        <v>319</v>
      </c>
      <c r="AD45" t="s" s="25">
        <v>320</v>
      </c>
      <c r="AE45" t="s" s="18">
        <v>355</v>
      </c>
    </row>
    <row r="46" ht="18.9" customHeight="1">
      <c r="B46" t="s" s="16">
        <f>E46&amp;"_"&amp;G46&amp;"_"&amp;H46&amp;"_"&amp;J46</f>
        <v>356</v>
      </c>
      <c r="C46" t="s" s="17">
        <f>$G46&amp;IF($E46="LED"," LED","")&amp;IF($N46="",""," ")&amp;$N46&amp;IF($H46="",""," ")&amp;$H46&amp;IF($O46="",""," ")&amp;$O46&amp;IF($P46="",""," ")&amp;$P46&amp;IF($Q46="",""," ")&amp;$Q46&amp;IF($T46="",""," ")&amp;$T46&amp;IF($T46="","","mcd")</f>
        <v>357</v>
      </c>
      <c r="D46" t="s" s="17">
        <f>$G46&amp;" "&amp;E46&amp;IF($N46="",""," ")&amp;$N46&amp;IF($H46="",""," ")&amp;$H46&amp;IF($O46="",""," ")&amp;$O46&amp;IF($P46="",""," ")&amp;$P46&amp;IF($Q46="",""," ")&amp;$Q46&amp;IF($T46="",""," ")&amp;$T46&amp;IF($T46="","","mcd")</f>
        <v>358</v>
      </c>
      <c r="E46" t="s" s="18">
        <v>307</v>
      </c>
      <c r="F46" t="s" s="18">
        <v>5</v>
      </c>
      <c r="G46" t="s" s="18">
        <v>359</v>
      </c>
      <c r="H46" t="s" s="18">
        <v>325</v>
      </c>
      <c r="I46" t="s" s="19">
        <v>360</v>
      </c>
      <c r="J46" t="s" s="18">
        <v>311</v>
      </c>
      <c r="K46" s="18"/>
      <c r="L46" s="18"/>
      <c r="M46" s="18"/>
      <c r="N46" t="s" s="18">
        <v>312</v>
      </c>
      <c r="O46" t="s" s="18">
        <v>313</v>
      </c>
      <c r="P46" s="18"/>
      <c r="Q46" s="18"/>
      <c r="R46" s="18"/>
      <c r="S46" s="18"/>
      <c r="T46" s="18"/>
      <c r="U46" s="18"/>
      <c r="V46" t="s" s="19">
        <v>185</v>
      </c>
      <c r="W46" t="s" s="18">
        <v>361</v>
      </c>
      <c r="X46" t="s" s="21">
        <f>IF(ISBLANK(W46),"",HYPERLINK("https://jlcpcb.com/partdetail/"&amp;$W46,$W46))</f>
        <v>362</v>
      </c>
      <c r="Y46" s="29">
        <v>1</v>
      </c>
      <c r="Z46" t="s" s="18">
        <v>316</v>
      </c>
      <c r="AA46" t="s" s="16">
        <v>363</v>
      </c>
      <c r="AB46" t="s" s="18">
        <v>364</v>
      </c>
      <c r="AC46" t="s" s="24">
        <v>319</v>
      </c>
      <c r="AD46" t="s" s="25">
        <v>320</v>
      </c>
      <c r="AE46" t="s" s="18">
        <v>365</v>
      </c>
    </row>
    <row r="47" ht="19.5" customHeight="1">
      <c r="B47" t="s" s="16">
        <f>E47&amp;"_"&amp;G47&amp;"_"&amp;H47&amp;"_"&amp;J47</f>
        <v>356</v>
      </c>
      <c r="C47" t="s" s="17">
        <f>$G47&amp;IF($E47="LED"," LED","")&amp;IF($N47="",""," ")&amp;$N47&amp;IF($H47="",""," ")&amp;$H47&amp;IF($O47="",""," ")&amp;$O47&amp;IF($P47="",""," ")&amp;$P47&amp;IF($Q47="",""," ")&amp;$Q47&amp;IF($T47="",""," ")&amp;$T47&amp;IF($T47="","","mcd")</f>
        <v>366</v>
      </c>
      <c r="D47" t="s" s="17">
        <f>$G47&amp;" "&amp;E47&amp;IF($N47="",""," ")&amp;$N47&amp;IF($H47="",""," ")&amp;$H47&amp;IF($O47="",""," ")&amp;$O47&amp;IF($P47="",""," ")&amp;$P47&amp;IF($Q47="",""," ")&amp;$Q47&amp;IF($T47="",""," ")&amp;$T47&amp;IF($T47="","","mcd")</f>
        <v>367</v>
      </c>
      <c r="E47" t="s" s="18">
        <v>307</v>
      </c>
      <c r="F47" t="s" s="18">
        <v>5</v>
      </c>
      <c r="G47" t="s" s="18">
        <v>359</v>
      </c>
      <c r="H47" t="s" s="18">
        <v>325</v>
      </c>
      <c r="I47" t="s" s="19">
        <v>368</v>
      </c>
      <c r="J47" t="s" s="18">
        <v>311</v>
      </c>
      <c r="K47" s="18"/>
      <c r="L47" s="18"/>
      <c r="M47" s="18"/>
      <c r="N47" t="s" s="18">
        <v>312</v>
      </c>
      <c r="O47" t="s" s="18">
        <v>327</v>
      </c>
      <c r="P47" s="18"/>
      <c r="Q47" s="18"/>
      <c r="R47" s="18"/>
      <c r="S47" s="18"/>
      <c r="T47" s="18"/>
      <c r="U47" s="18"/>
      <c r="V47" t="s" s="19">
        <v>185</v>
      </c>
      <c r="W47" t="s" s="18">
        <v>369</v>
      </c>
      <c r="X47" t="s" s="21">
        <f>IF(ISBLANK(W47),"",HYPERLINK("https://jlcpcb.com/partdetail/"&amp;$W47,$W47))</f>
        <v>370</v>
      </c>
      <c r="Y47" s="29">
        <v>2</v>
      </c>
      <c r="Z47" t="s" s="18">
        <v>188</v>
      </c>
      <c r="AA47" t="s" s="16">
        <v>371</v>
      </c>
      <c r="AB47" t="s" s="18">
        <v>372</v>
      </c>
      <c r="AC47" t="s" s="24">
        <v>319</v>
      </c>
      <c r="AD47" t="s" s="25">
        <v>320</v>
      </c>
      <c r="AE47" t="s" s="18">
        <v>373</v>
      </c>
    </row>
    <row r="48" ht="19.5" customHeight="1">
      <c r="B48" t="s" s="16">
        <f>E48&amp;"_"&amp;G48&amp;"_"&amp;H48&amp;"_"&amp;J48</f>
        <v>374</v>
      </c>
      <c r="C48" t="s" s="17">
        <f>$G48&amp;IF($E48="LED"," LED","")&amp;IF($N48="",""," ")&amp;$N48&amp;IF($H48="",""," ")&amp;$H48&amp;IF($O48="",""," ")&amp;$O48&amp;IF($P48="",""," ")&amp;$P48&amp;IF($Q48="",""," ")&amp;$Q48&amp;IF($T48="",""," ")&amp;$T48&amp;IF($T48="","","mcd")</f>
        <v>375</v>
      </c>
      <c r="D48" t="s" s="17">
        <f>$G48&amp;" "&amp;E48&amp;IF($N48="",""," ")&amp;$N48&amp;IF($H48="",""," ")&amp;$H48&amp;IF($O48="",""," ")&amp;$O48&amp;IF($P48="",""," ")&amp;$P48&amp;IF($Q48="",""," ")&amp;$Q48&amp;IF($T48="",""," ")&amp;$T48&amp;IF($T48="","","mcd")</f>
        <v>376</v>
      </c>
      <c r="E48" t="s" s="18">
        <v>307</v>
      </c>
      <c r="F48" t="s" s="18">
        <v>5</v>
      </c>
      <c r="G48" t="s" s="18">
        <v>377</v>
      </c>
      <c r="H48" t="s" s="18">
        <v>325</v>
      </c>
      <c r="I48" t="s" s="19">
        <v>378</v>
      </c>
      <c r="J48" t="s" s="18">
        <v>379</v>
      </c>
      <c r="K48" s="18"/>
      <c r="L48" s="18"/>
      <c r="M48" s="18"/>
      <c r="N48" t="s" s="18">
        <v>312</v>
      </c>
      <c r="O48" t="s" s="18">
        <v>327</v>
      </c>
      <c r="P48" s="18"/>
      <c r="Q48" s="18"/>
      <c r="R48" s="18"/>
      <c r="S48" s="18"/>
      <c r="T48" s="18"/>
      <c r="U48" s="18"/>
      <c r="V48" t="s" s="19">
        <v>185</v>
      </c>
      <c r="W48" t="s" s="18">
        <v>380</v>
      </c>
      <c r="X48" t="s" s="21">
        <f>IF(ISBLANK(W48),"",HYPERLINK("https://jlcpcb.com/partdetail/"&amp;$W48,$W48))</f>
        <v>381</v>
      </c>
      <c r="Y48" s="29">
        <v>1</v>
      </c>
      <c r="Z48" t="s" s="18">
        <v>188</v>
      </c>
      <c r="AA48" t="s" s="16">
        <v>371</v>
      </c>
      <c r="AB48" t="s" s="18">
        <v>382</v>
      </c>
      <c r="AC48" t="s" s="24">
        <v>319</v>
      </c>
      <c r="AD48" t="s" s="25">
        <v>383</v>
      </c>
      <c r="AE48" t="s" s="18">
        <v>384</v>
      </c>
    </row>
    <row r="49" ht="19.5" customHeight="1">
      <c r="B49" t="s" s="16">
        <f>E49&amp;"_"&amp;G49&amp;"_"&amp;H49&amp;"_"&amp;J49</f>
        <v>385</v>
      </c>
      <c r="C49" t="s" s="17">
        <f>$G49&amp;IF($E49="LED"," LED","")&amp;IF($N49="",""," ")&amp;$N49&amp;IF($H49="",""," ")&amp;$H49&amp;IF($O49="",""," ")&amp;$O49&amp;IF($P49="",""," ")&amp;$P49&amp;IF($Q49="",""," ")&amp;$Q49&amp;IF($T49="",""," ")&amp;$T49&amp;IF($T49="","","mcd")</f>
        <v>386</v>
      </c>
      <c r="D49" t="s" s="17">
        <f>$G49&amp;" "&amp;E49&amp;IF($N49="",""," ")&amp;$N49&amp;IF($H49="",""," ")&amp;$H49&amp;IF($O49="",""," ")&amp;$O49&amp;IF($P49="",""," ")&amp;$P49&amp;IF($Q49="",""," ")&amp;$Q49&amp;IF($T49="",""," ")&amp;$T49&amp;IF($T49="","","mcd")</f>
        <v>387</v>
      </c>
      <c r="E49" t="s" s="18">
        <v>307</v>
      </c>
      <c r="F49" t="s" s="18">
        <v>5</v>
      </c>
      <c r="G49" t="s" s="18">
        <v>388</v>
      </c>
      <c r="H49" t="s" s="18">
        <v>389</v>
      </c>
      <c r="I49" t="s" s="19">
        <v>390</v>
      </c>
      <c r="J49" t="s" s="18">
        <v>391</v>
      </c>
      <c r="K49" s="18"/>
      <c r="L49" s="18"/>
      <c r="M49" s="18"/>
      <c r="N49" t="s" s="18">
        <v>392</v>
      </c>
      <c r="O49" t="s" s="18">
        <v>393</v>
      </c>
      <c r="P49" s="18"/>
      <c r="Q49" s="18"/>
      <c r="R49" s="18"/>
      <c r="S49" s="18"/>
      <c r="T49" s="18"/>
      <c r="U49" s="18"/>
      <c r="V49" t="s" s="19">
        <v>185</v>
      </c>
      <c r="W49" t="s" s="18">
        <v>394</v>
      </c>
      <c r="X49" t="s" s="21">
        <f>IF(ISBLANK(W49),"",HYPERLINK("https://jlcpcb.com/partdetail/"&amp;$W49,$W49))</f>
        <v>395</v>
      </c>
      <c r="Y49" s="29">
        <v>1</v>
      </c>
      <c r="Z49" t="s" s="18">
        <v>188</v>
      </c>
      <c r="AA49" t="s" s="16">
        <v>396</v>
      </c>
      <c r="AB49" t="s" s="18">
        <v>397</v>
      </c>
      <c r="AC49" t="s" s="24">
        <v>398</v>
      </c>
      <c r="AD49" t="s" s="25">
        <v>399</v>
      </c>
      <c r="AE49" t="s" s="18">
        <v>400</v>
      </c>
    </row>
    <row r="50" ht="17.9" customHeight="1">
      <c r="B50" t="s" s="16">
        <f>E50&amp;"_"&amp;G50&amp;"_"&amp;J50</f>
        <v>401</v>
      </c>
      <c r="C50" t="s" s="17">
        <f>$G50&amp;IF($E50="LED"," LED","")&amp;IF($N50="",""," ")&amp;$N50&amp;IF($H50="",""," ")&amp;$H50&amp;IF($O50="",""," ")&amp;$O50&amp;IF($P50="",""," ")&amp;$P50&amp;IF($Q50="",""," ")&amp;$Q50&amp;IF($T50="",""," ")&amp;$T50&amp;IF($T50="","","mcd")</f>
        <v>402</v>
      </c>
      <c r="D50" t="s" s="17">
        <f>$G50&amp;" "&amp;E50&amp;IF($N50="",""," ")&amp;$N50&amp;IF($H50="",""," ")&amp;$H50&amp;IF($O50="",""," ")&amp;$O50&amp;IF($P50="",""," ")&amp;$P50&amp;IF($Q50="",""," ")&amp;$Q50&amp;IF($T50="",""," ")&amp;$T50&amp;IF($T50="","","mcd")</f>
        <v>403</v>
      </c>
      <c r="E50" t="s" s="18">
        <v>404</v>
      </c>
      <c r="F50" t="s" s="18">
        <v>5</v>
      </c>
      <c r="G50" t="s" s="18">
        <v>405</v>
      </c>
      <c r="H50" t="s" s="18">
        <v>406</v>
      </c>
      <c r="I50" t="s" s="30">
        <v>407</v>
      </c>
      <c r="J50" t="s" s="31">
        <v>408</v>
      </c>
      <c r="K50" s="18"/>
      <c r="L50" s="18"/>
      <c r="M50" s="18"/>
      <c r="N50" s="18"/>
      <c r="O50" t="s" s="18">
        <v>409</v>
      </c>
      <c r="P50" t="s" s="18">
        <v>410</v>
      </c>
      <c r="Q50" t="s" s="18">
        <v>411</v>
      </c>
      <c r="R50" s="18"/>
      <c r="S50" s="18"/>
      <c r="T50" s="18"/>
      <c r="U50" s="18"/>
      <c r="V50" t="s" s="19">
        <v>185</v>
      </c>
      <c r="W50" t="s" s="31">
        <v>412</v>
      </c>
      <c r="X50" t="s" s="21">
        <f>IF(ISBLANK(W50),"",HYPERLINK("https://jlcpcb.com/partdetail/"&amp;$W50,$W50))</f>
        <v>413</v>
      </c>
      <c r="Y50" s="29">
        <v>5</v>
      </c>
      <c r="Z50" t="s" s="18">
        <v>188</v>
      </c>
      <c r="AA50" t="s" s="32">
        <v>414</v>
      </c>
      <c r="AB50" t="s" s="31">
        <v>415</v>
      </c>
      <c r="AC50" t="s" s="16">
        <v>416</v>
      </c>
      <c r="AD50" t="s" s="28">
        <v>417</v>
      </c>
      <c r="AE50" t="s" s="18">
        <v>418</v>
      </c>
    </row>
    <row r="51" ht="17.9" customHeight="1">
      <c r="B51" t="s" s="16">
        <f>E51&amp;"_"&amp;G51&amp;"_"&amp;J51</f>
        <v>419</v>
      </c>
      <c r="C51" t="s" s="17">
        <f>$G51&amp;IF($E51="LED"," LED","")&amp;IF($N51="",""," ")&amp;$N51&amp;IF($H51="",""," ")&amp;$H51&amp;IF($O51="",""," ")&amp;$O51&amp;IF($P51="",""," ")&amp;$P51&amp;IF($Q51="",""," ")&amp;$Q51&amp;IF($T51="",""," ")&amp;$T51&amp;IF($T51="","","mcd")</f>
        <v>420</v>
      </c>
      <c r="D51" t="s" s="17">
        <f>$G51&amp;" "&amp;E51&amp;IF($N51="",""," ")&amp;$N51&amp;IF($H51="",""," ")&amp;$H51&amp;IF($O51="",""," ")&amp;$O51&amp;IF($P51="",""," ")&amp;$P51&amp;IF($Q51="",""," ")&amp;$Q51&amp;IF($T51="",""," ")&amp;$T51&amp;IF($T51="","","mcd")</f>
        <v>421</v>
      </c>
      <c r="E51" t="s" s="18">
        <v>404</v>
      </c>
      <c r="F51" t="s" s="18">
        <v>5</v>
      </c>
      <c r="G51" t="s" s="18">
        <v>422</v>
      </c>
      <c r="H51" t="s" s="18">
        <v>423</v>
      </c>
      <c r="I51" t="s" s="33">
        <v>424</v>
      </c>
      <c r="J51" t="s" s="18">
        <v>425</v>
      </c>
      <c r="K51" s="18"/>
      <c r="L51" s="18"/>
      <c r="M51" s="18"/>
      <c r="N51" s="18"/>
      <c r="O51" t="s" s="18">
        <v>426</v>
      </c>
      <c r="P51" s="18"/>
      <c r="Q51" s="18"/>
      <c r="R51" s="18"/>
      <c r="S51" s="18"/>
      <c r="T51" s="18"/>
      <c r="U51" s="18"/>
      <c r="V51" t="s" s="19">
        <v>185</v>
      </c>
      <c r="W51" t="s" s="31">
        <v>427</v>
      </c>
      <c r="X51" t="s" s="21">
        <f>IF(ISBLANK(W51),"",HYPERLINK("https://jlcpcb.com/partdetail/"&amp;$W51,$W51))</f>
        <v>428</v>
      </c>
      <c r="Y51" s="29">
        <v>5</v>
      </c>
      <c r="Z51" t="s" s="18">
        <v>188</v>
      </c>
      <c r="AA51" t="s" s="16">
        <v>429</v>
      </c>
      <c r="AB51" t="s" s="18">
        <v>422</v>
      </c>
      <c r="AC51" t="s" s="34">
        <v>430</v>
      </c>
      <c r="AD51" t="s" s="35">
        <v>431</v>
      </c>
      <c r="AE51" t="s" s="18">
        <v>432</v>
      </c>
    </row>
    <row r="52" ht="17.9" customHeight="1">
      <c r="B52" t="s" s="16">
        <f>E52&amp;"_"&amp;G52&amp;"_"&amp;J52</f>
        <v>433</v>
      </c>
      <c r="C52" t="s" s="17">
        <f>$G52&amp;IF($E52="LED"," LED","")&amp;IF($N52="",""," ")&amp;$N52&amp;IF($H52="",""," ")&amp;$H52&amp;IF($O52="",""," ")&amp;$O52&amp;IF($P52="",""," ")&amp;$P52&amp;IF($Q52="",""," ")&amp;$Q52&amp;IF($T52="",""," ")&amp;$T52&amp;IF($T52="","","mcd")</f>
        <v>434</v>
      </c>
      <c r="D52" t="s" s="17">
        <f>$G52&amp;" "&amp;E52&amp;IF($N52="",""," ")&amp;$N52&amp;IF($H52="",""," ")&amp;$H52&amp;IF($O52="",""," ")&amp;$O52&amp;IF($P52="",""," ")&amp;$P52&amp;IF($Q52="",""," ")&amp;$Q52&amp;IF($T52="",""," ")&amp;$T52&amp;IF($T52="","","mcd")</f>
        <v>435</v>
      </c>
      <c r="E52" t="s" s="18">
        <v>404</v>
      </c>
      <c r="F52" t="s" s="18">
        <v>5</v>
      </c>
      <c r="G52" t="s" s="18">
        <v>436</v>
      </c>
      <c r="H52" t="s" s="18">
        <v>437</v>
      </c>
      <c r="I52" t="s" s="33">
        <v>438</v>
      </c>
      <c r="J52" t="s" s="18">
        <v>425</v>
      </c>
      <c r="K52" s="18"/>
      <c r="L52" s="18"/>
      <c r="M52" s="18"/>
      <c r="N52" s="18"/>
      <c r="O52" t="s" s="18">
        <v>426</v>
      </c>
      <c r="P52" s="18"/>
      <c r="Q52" s="18"/>
      <c r="R52" s="18"/>
      <c r="S52" s="18"/>
      <c r="T52" s="18"/>
      <c r="U52" s="18"/>
      <c r="V52" t="s" s="19">
        <v>185</v>
      </c>
      <c r="W52" t="s" s="31">
        <v>439</v>
      </c>
      <c r="X52" t="s" s="21">
        <f>IF(ISBLANK(W52),"",HYPERLINK("https://jlcpcb.com/partdetail/"&amp;$W52,$W52))</f>
        <v>440</v>
      </c>
      <c r="Y52" s="29">
        <v>5</v>
      </c>
      <c r="Z52" t="s" s="18">
        <v>188</v>
      </c>
      <c r="AA52" t="s" s="16">
        <v>441</v>
      </c>
      <c r="AB52" t="s" s="18">
        <v>436</v>
      </c>
      <c r="AC52" t="s" s="34">
        <v>442</v>
      </c>
      <c r="AD52" t="s" s="35">
        <v>431</v>
      </c>
      <c r="AE52" t="s" s="18">
        <v>443</v>
      </c>
    </row>
    <row r="53" ht="17.9" customHeight="1">
      <c r="B53" t="s" s="16">
        <f>E53&amp;"_"&amp;G53&amp;"_"&amp;J53</f>
        <v>444</v>
      </c>
      <c r="C53" t="s" s="17">
        <f>$G53&amp;IF($E53="LED"," LED","")&amp;IF($N53="",""," ")&amp;$N53&amp;IF($H53="",""," ")&amp;$H53&amp;IF($O53="",""," ")&amp;$O53&amp;IF($P53="",""," ")&amp;$P53&amp;IF($Q53="",""," ")&amp;$Q53&amp;IF($T53="",""," ")&amp;$T53&amp;IF($T53="","","mcd")</f>
        <v>445</v>
      </c>
      <c r="D53" t="s" s="17">
        <f>$G53&amp;" "&amp;E53&amp;IF($N53="",""," ")&amp;$N53&amp;IF($H53="",""," ")&amp;$H53&amp;IF($O53="",""," ")&amp;$O53&amp;IF($P53="",""," ")&amp;$P53&amp;IF($Q53="",""," ")&amp;$Q53&amp;IF($T53="",""," ")&amp;$T53&amp;IF($T53="","","mcd")</f>
        <v>446</v>
      </c>
      <c r="E53" t="s" s="18">
        <v>404</v>
      </c>
      <c r="F53" t="s" s="18">
        <v>5</v>
      </c>
      <c r="G53" t="s" s="18">
        <v>447</v>
      </c>
      <c r="H53" t="s" s="18">
        <v>448</v>
      </c>
      <c r="I53" t="s" s="33">
        <v>449</v>
      </c>
      <c r="J53" t="s" s="18">
        <v>425</v>
      </c>
      <c r="K53" s="18"/>
      <c r="L53" s="18"/>
      <c r="M53" s="18"/>
      <c r="N53" s="18"/>
      <c r="O53" t="s" s="18">
        <v>426</v>
      </c>
      <c r="P53" s="18"/>
      <c r="Q53" s="18"/>
      <c r="R53" s="18"/>
      <c r="S53" s="18"/>
      <c r="T53" s="18"/>
      <c r="U53" s="18"/>
      <c r="V53" t="s" s="19">
        <v>185</v>
      </c>
      <c r="W53" t="s" s="31">
        <v>450</v>
      </c>
      <c r="X53" t="s" s="21">
        <f>IF(ISBLANK(W53),"",HYPERLINK("https://jlcpcb.com/partdetail/"&amp;$W53,$W53))</f>
        <v>451</v>
      </c>
      <c r="Y53" s="29">
        <v>5</v>
      </c>
      <c r="Z53" t="s" s="18">
        <v>188</v>
      </c>
      <c r="AA53" t="s" s="16">
        <v>441</v>
      </c>
      <c r="AB53" t="s" s="18">
        <v>447</v>
      </c>
      <c r="AC53" t="s" s="34">
        <v>452</v>
      </c>
      <c r="AD53" t="s" s="35">
        <v>431</v>
      </c>
      <c r="AE53" t="s" s="18">
        <v>453</v>
      </c>
    </row>
    <row r="54" ht="17.9" customHeight="1">
      <c r="B54" t="s" s="16">
        <f>E54&amp;"_"&amp;G54&amp;"_"&amp;J54</f>
        <v>454</v>
      </c>
      <c r="C54" t="s" s="17">
        <f>$G54&amp;IF($E54="LED"," LED","")&amp;IF($N54="",""," ")&amp;$N54&amp;IF($H54="",""," ")&amp;$H54&amp;IF($O54="",""," ")&amp;$O54&amp;IF($P54="",""," ")&amp;$P54&amp;IF($Q54="",""," ")&amp;$Q54&amp;IF($T54="",""," ")&amp;$T54&amp;IF($T54="","","mcd")</f>
        <v>455</v>
      </c>
      <c r="D54" t="s" s="17">
        <f>$G54&amp;" "&amp;E54&amp;IF($N54="",""," ")&amp;$N54&amp;IF($H54="",""," ")&amp;$H54&amp;IF($O54="",""," ")&amp;$O54&amp;IF($P54="",""," ")&amp;$P54&amp;IF($Q54="",""," ")&amp;$Q54&amp;IF($T54="",""," ")&amp;$T54&amp;IF($T54="","","mcd")</f>
        <v>456</v>
      </c>
      <c r="E54" t="s" s="18">
        <v>404</v>
      </c>
      <c r="F54" t="s" s="18">
        <v>5</v>
      </c>
      <c r="G54" t="s" s="18">
        <v>457</v>
      </c>
      <c r="H54" t="s" s="18">
        <v>458</v>
      </c>
      <c r="I54" t="s" s="19">
        <v>459</v>
      </c>
      <c r="J54" t="s" s="18">
        <v>425</v>
      </c>
      <c r="K54" s="18"/>
      <c r="L54" s="18"/>
      <c r="M54" s="18"/>
      <c r="N54" s="18"/>
      <c r="O54" t="s" s="18">
        <v>426</v>
      </c>
      <c r="P54" s="18"/>
      <c r="Q54" s="18"/>
      <c r="R54" s="18"/>
      <c r="S54" s="18"/>
      <c r="T54" s="18"/>
      <c r="U54" s="18"/>
      <c r="V54" t="s" s="19">
        <v>185</v>
      </c>
      <c r="W54" t="s" s="19">
        <v>460</v>
      </c>
      <c r="X54" t="s" s="21">
        <f>IF(ISBLANK(W54),"",HYPERLINK("https://jlcpcb.com/partdetail/"&amp;$W54,$W54))</f>
        <v>461</v>
      </c>
      <c r="Y54" s="29">
        <v>1</v>
      </c>
      <c r="Z54" t="s" s="18">
        <v>188</v>
      </c>
      <c r="AA54" t="s" s="16">
        <v>462</v>
      </c>
      <c r="AB54" t="s" s="18">
        <v>457</v>
      </c>
      <c r="AC54" t="s" s="16">
        <v>463</v>
      </c>
      <c r="AD54" t="s" s="35">
        <v>431</v>
      </c>
      <c r="AE54" t="s" s="18">
        <v>464</v>
      </c>
    </row>
    <row r="55" ht="20.15" customHeight="1">
      <c r="B55" t="s" s="16">
        <f>E55&amp;"_"&amp;G55&amp;"_"&amp;J55</f>
        <v>465</v>
      </c>
      <c r="C55" t="s" s="17">
        <f>$G55&amp;IF($E55="LED"," LED","")&amp;IF($N55="",""," ")&amp;$N55&amp;IF($H55="",""," ")&amp;$H55&amp;IF($O55="",""," ")&amp;$O55&amp;IF($P55="",""," ")&amp;$P55&amp;IF($Q55="",""," ")&amp;$Q55&amp;IF($T55="",""," ")&amp;$T55&amp;IF($T55="","","mcd")</f>
        <v>466</v>
      </c>
      <c r="D55" t="s" s="17">
        <f>$G55&amp;" "&amp;E55&amp;IF($N55="",""," ")&amp;$N55&amp;IF($H55="",""," ")&amp;$H55&amp;IF($O55="",""," ")&amp;$O55&amp;IF($P55="",""," ")&amp;$P55&amp;IF($Q55="",""," ")&amp;$Q55&amp;IF($T55="",""," ")&amp;$T55&amp;IF($T55="","","mcd")</f>
        <v>467</v>
      </c>
      <c r="E55" t="s" s="18">
        <v>468</v>
      </c>
      <c r="F55" t="s" s="18">
        <v>5</v>
      </c>
      <c r="G55" t="s" s="18">
        <v>469</v>
      </c>
      <c r="H55" t="s" s="18">
        <v>470</v>
      </c>
      <c r="I55" t="s" s="19">
        <v>471</v>
      </c>
      <c r="J55" t="s" s="18">
        <v>472</v>
      </c>
      <c r="K55" s="18"/>
      <c r="L55" s="18"/>
      <c r="M55" s="18"/>
      <c r="N55" s="18"/>
      <c r="O55" t="s" s="18">
        <v>473</v>
      </c>
      <c r="P55" s="18"/>
      <c r="Q55" s="18"/>
      <c r="R55" s="18"/>
      <c r="S55" s="18"/>
      <c r="T55" s="18"/>
      <c r="U55" s="18"/>
      <c r="V55" t="s" s="19">
        <v>185</v>
      </c>
      <c r="W55" t="s" s="19">
        <v>474</v>
      </c>
      <c r="X55" t="s" s="21">
        <f>IF(ISBLANK(W55),"",HYPERLINK("https://jlcpcb.com/partdetail/"&amp;$W55,$W55))</f>
        <v>475</v>
      </c>
      <c r="Y55" s="29">
        <v>1</v>
      </c>
      <c r="Z55" t="s" s="18">
        <v>188</v>
      </c>
      <c r="AA55" t="s" s="16">
        <v>476</v>
      </c>
      <c r="AB55" t="s" s="18">
        <v>469</v>
      </c>
      <c r="AC55" t="s" s="24">
        <v>477</v>
      </c>
      <c r="AD55" t="s" s="25">
        <v>478</v>
      </c>
      <c r="AE55" t="s" s="18">
        <v>479</v>
      </c>
    </row>
    <row r="56" ht="20.15" customHeight="1">
      <c r="B56" t="s" s="16">
        <f>E56&amp;"_"&amp;G56&amp;"_"&amp;J56</f>
        <v>480</v>
      </c>
      <c r="C56" t="s" s="17">
        <f>$G56&amp;IF($E56="LED"," LED","")&amp;IF($N56="",""," ")&amp;$N56&amp;IF($H56="",""," ")&amp;$H56&amp;IF($O56="",""," ")&amp;$O56&amp;IF($P56="",""," ")&amp;$P56&amp;IF($Q56="",""," ")&amp;$Q56&amp;IF($T56="",""," ")&amp;$T56&amp;IF($T56="","","mcd")</f>
        <v>481</v>
      </c>
      <c r="D56" t="s" s="17">
        <f>$G56&amp;" "&amp;E56&amp;IF($N56="",""," ")&amp;$N56&amp;IF($H56="",""," ")&amp;$H56&amp;IF($O56="",""," ")&amp;$O56&amp;IF($P56="",""," ")&amp;$P56&amp;IF($Q56="",""," ")&amp;$Q56&amp;IF($T56="",""," ")&amp;$T56&amp;IF($T56="","","mcd")</f>
        <v>482</v>
      </c>
      <c r="E56" t="s" s="18">
        <v>468</v>
      </c>
      <c r="F56" t="s" s="18">
        <v>5</v>
      </c>
      <c r="G56" t="s" s="18">
        <v>483</v>
      </c>
      <c r="H56" t="s" s="18">
        <v>484</v>
      </c>
      <c r="I56" t="s" s="19">
        <v>485</v>
      </c>
      <c r="J56" t="s" s="31">
        <v>486</v>
      </c>
      <c r="K56" s="18"/>
      <c r="L56" s="18"/>
      <c r="M56" s="18"/>
      <c r="N56" s="18"/>
      <c r="O56" t="s" s="18">
        <v>487</v>
      </c>
      <c r="P56" s="18"/>
      <c r="Q56" t="s" s="18">
        <v>488</v>
      </c>
      <c r="R56" s="18"/>
      <c r="S56" s="18"/>
      <c r="T56" s="18"/>
      <c r="U56" s="18"/>
      <c r="V56" t="s" s="19">
        <v>185</v>
      </c>
      <c r="W56" t="s" s="19">
        <v>489</v>
      </c>
      <c r="X56" t="s" s="21">
        <f>IF(ISBLANK(W56),"",HYPERLINK("https://jlcpcb.com/partdetail/"&amp;$W56,$W56))</f>
        <v>490</v>
      </c>
      <c r="Y56" s="29">
        <v>5</v>
      </c>
      <c r="Z56" t="s" s="18">
        <v>188</v>
      </c>
      <c r="AA56" t="s" s="32">
        <v>491</v>
      </c>
      <c r="AB56" t="s" s="31">
        <v>492</v>
      </c>
      <c r="AC56" t="s" s="16">
        <v>493</v>
      </c>
      <c r="AD56" t="s" s="28">
        <v>494</v>
      </c>
      <c r="AE56" t="s" s="18">
        <v>495</v>
      </c>
    </row>
    <row r="57" ht="20.15" customHeight="1">
      <c r="B57" t="s" s="16">
        <f>E57&amp;"_"&amp;G57&amp;"_"&amp;J57</f>
        <v>496</v>
      </c>
      <c r="C57" t="s" s="17">
        <f>$G57&amp;IF($E57="LED"," LED","")&amp;IF($N57="",""," ")&amp;$N57&amp;IF($H57="",""," ")&amp;$H57&amp;IF($O57="",""," ")&amp;$O57&amp;IF($P57="",""," ")&amp;$P57&amp;IF($Q57="",""," ")&amp;$Q57&amp;IF($T57="",""," ")&amp;$T57&amp;IF($T57="","","mcd")</f>
        <v>497</v>
      </c>
      <c r="D57" t="s" s="17">
        <f>$G57&amp;" "&amp;E57&amp;IF($N57="",""," ")&amp;$N57&amp;IF($H57="",""," ")&amp;$H57&amp;IF($O57="",""," ")&amp;$O57&amp;IF($P57="",""," ")&amp;$P57&amp;IF($Q57="",""," ")&amp;$Q57&amp;IF($T57="",""," ")&amp;$T57&amp;IF($T57="","","mcd")</f>
        <v>498</v>
      </c>
      <c r="E57" t="s" s="18">
        <v>468</v>
      </c>
      <c r="F57" t="s" s="18">
        <v>5</v>
      </c>
      <c r="G57" t="s" s="18">
        <v>499</v>
      </c>
      <c r="H57" t="s" s="18">
        <v>500</v>
      </c>
      <c r="I57" t="s" s="19">
        <v>501</v>
      </c>
      <c r="J57" t="s" s="31">
        <v>502</v>
      </c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t="s" s="19">
        <v>185</v>
      </c>
      <c r="W57" t="s" s="19">
        <v>503</v>
      </c>
      <c r="X57" t="s" s="21">
        <f>IF(ISBLANK(W57),"",HYPERLINK("https://jlcpcb.com/partdetail/"&amp;$W57,$W57))</f>
        <v>504</v>
      </c>
      <c r="Y57" s="29">
        <v>1</v>
      </c>
      <c r="Z57" t="s" s="18">
        <v>188</v>
      </c>
      <c r="AA57" t="s" s="32">
        <v>505</v>
      </c>
      <c r="AB57" t="s" s="31">
        <v>506</v>
      </c>
      <c r="AC57" t="s" s="16">
        <v>507</v>
      </c>
      <c r="AD57" t="s" s="28">
        <v>508</v>
      </c>
      <c r="AE57" t="s" s="18">
        <v>509</v>
      </c>
    </row>
    <row r="58" ht="20.15" customHeight="1">
      <c r="B58" t="s" s="16">
        <f>E58&amp;"_"&amp;G58&amp;"_"&amp;J58</f>
        <v>510</v>
      </c>
      <c r="C58" t="s" s="17">
        <f>$G58&amp;IF($E58="LED"," LED","")&amp;IF($N58="",""," ")&amp;$N58&amp;IF($H58="",""," ")&amp;$H58&amp;IF($O58="",""," ")&amp;$O58&amp;IF($P58="",""," ")&amp;$P58&amp;IF($Q58="",""," ")&amp;$Q58&amp;IF($T58="",""," ")&amp;$T58&amp;IF($T58="","","mcd")</f>
        <v>511</v>
      </c>
      <c r="D58" t="s" s="17">
        <f>$G58&amp;" "&amp;E58&amp;IF($N58="",""," ")&amp;$N58&amp;IF($H58="",""," ")&amp;$H58&amp;IF($O58="",""," ")&amp;$O58&amp;IF($P58="",""," ")&amp;$P58&amp;IF($Q58="",""," ")&amp;$Q58&amp;IF($T58="",""," ")&amp;$T58&amp;IF($T58="","","mcd")</f>
        <v>512</v>
      </c>
      <c r="E58" t="s" s="18">
        <v>468</v>
      </c>
      <c r="F58" t="s" s="18">
        <v>5</v>
      </c>
      <c r="G58" t="s" s="18">
        <v>513</v>
      </c>
      <c r="H58" t="s" s="18">
        <v>514</v>
      </c>
      <c r="I58" t="s" s="19">
        <v>515</v>
      </c>
      <c r="J58" t="s" s="31">
        <v>516</v>
      </c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t="s" s="19">
        <v>185</v>
      </c>
      <c r="W58" t="s" s="19">
        <v>517</v>
      </c>
      <c r="X58" t="s" s="21">
        <f>IF(ISBLANK(W58),"",HYPERLINK("https://jlcpcb.com/partdetail/"&amp;$W58,$W58))</f>
        <v>518</v>
      </c>
      <c r="Y58" s="29">
        <v>1</v>
      </c>
      <c r="Z58" t="s" s="18">
        <v>188</v>
      </c>
      <c r="AA58" t="s" s="32">
        <v>519</v>
      </c>
      <c r="AB58" t="s" s="31">
        <v>520</v>
      </c>
      <c r="AC58" t="s" s="16">
        <v>521</v>
      </c>
      <c r="AD58" t="s" s="28">
        <v>522</v>
      </c>
      <c r="AE58" t="s" s="18">
        <v>523</v>
      </c>
    </row>
    <row r="59" ht="19.3" customHeight="1">
      <c r="B59" t="s" s="16">
        <f>E59&amp;"_"&amp;G59&amp;"_"&amp;J59</f>
        <v>524</v>
      </c>
      <c r="C59" t="s" s="17">
        <f>$G59&amp;IF($E59="LED"," LED","")&amp;IF($N59="",""," ")&amp;$N59&amp;IF($H59="",""," ")&amp;$H59&amp;IF($O59="",""," ")&amp;$O59&amp;IF($P59="",""," ")&amp;$P59&amp;IF($Q59="",""," ")&amp;$Q59&amp;IF($T59="",""," ")&amp;$T59&amp;IF($T59="","","mcd")</f>
        <v>525</v>
      </c>
      <c r="D59" t="s" s="17">
        <f>$G59&amp;" "&amp;E59&amp;IF($N59="",""," ")&amp;$N59&amp;IF($H59="",""," ")&amp;$H59&amp;IF($O59="",""," ")&amp;$O59&amp;IF($P59="",""," ")&amp;$P59&amp;IF($Q59="",""," ")&amp;$Q59&amp;IF($T59="",""," ")&amp;$T59&amp;IF($T59="","","mcd")</f>
        <v>525</v>
      </c>
      <c r="E59" t="s" s="18">
        <v>526</v>
      </c>
      <c r="F59" t="s" s="18">
        <v>5</v>
      </c>
      <c r="G59" t="s" s="18">
        <v>527</v>
      </c>
      <c r="H59" t="s" s="18">
        <v>528</v>
      </c>
      <c r="I59" t="s" s="19">
        <v>529</v>
      </c>
      <c r="J59" t="s" s="18">
        <v>311</v>
      </c>
      <c r="K59" s="18"/>
      <c r="L59" s="18"/>
      <c r="M59" s="18"/>
      <c r="N59" s="18"/>
      <c r="O59" t="s" s="18">
        <v>530</v>
      </c>
      <c r="P59" t="s" s="18">
        <v>531</v>
      </c>
      <c r="Q59" s="18"/>
      <c r="R59" t="s" s="18">
        <v>532</v>
      </c>
      <c r="S59" t="s" s="18">
        <v>533</v>
      </c>
      <c r="T59" t="s" s="18">
        <v>534</v>
      </c>
      <c r="U59" s="18"/>
      <c r="V59" t="s" s="19">
        <v>185</v>
      </c>
      <c r="W59" t="s" s="19">
        <v>535</v>
      </c>
      <c r="X59" t="s" s="21">
        <f>IF(ISBLANK(W59),"",HYPERLINK("https://jlcpcb.com/partdetail/"&amp;$W59,$W59))</f>
        <v>536</v>
      </c>
      <c r="Y59" s="29">
        <v>1</v>
      </c>
      <c r="Z59" t="s" s="18">
        <v>188</v>
      </c>
      <c r="AA59" t="s" s="16">
        <v>537</v>
      </c>
      <c r="AB59" t="s" s="18">
        <v>538</v>
      </c>
      <c r="AC59" t="s" s="24">
        <v>539</v>
      </c>
      <c r="AD59" t="s" s="25">
        <v>540</v>
      </c>
      <c r="AE59" t="s" s="18">
        <v>541</v>
      </c>
    </row>
    <row r="60" ht="20.95" customHeight="1">
      <c r="B60" t="s" s="16">
        <f>E60&amp;"_"&amp;G60&amp;"_"&amp;J60</f>
        <v>542</v>
      </c>
      <c r="C60" t="s" s="17">
        <f>$G60&amp;IF($E60="LED"," LED","")&amp;IF($N60="",""," ")&amp;$N60&amp;IF($H60="",""," ")&amp;$H60&amp;IF($O60="",""," ")&amp;$O60&amp;IF($P60="",""," ")&amp;$P60&amp;IF($Q60="",""," ")&amp;$Q60&amp;IF($T60="",""," ")&amp;$T60&amp;IF($T60="","","mcd")</f>
        <v>543</v>
      </c>
      <c r="D60" t="s" s="17">
        <f>$G60&amp;" "&amp;E60&amp;IF($N60="",""," ")&amp;$N60&amp;IF($H60="",""," ")&amp;$H60&amp;IF($O60="",""," ")&amp;$O60&amp;IF($P60="",""," ")&amp;$P60&amp;IF($Q60="",""," ")&amp;$Q60&amp;IF($T60="",""," ")&amp;$T60&amp;IF($T60="","","mcd")</f>
        <v>543</v>
      </c>
      <c r="E60" t="s" s="18">
        <v>526</v>
      </c>
      <c r="F60" t="s" s="18">
        <v>5</v>
      </c>
      <c r="G60" t="s" s="18">
        <v>544</v>
      </c>
      <c r="H60" t="s" s="18">
        <v>545</v>
      </c>
      <c r="I60" t="s" s="19">
        <v>546</v>
      </c>
      <c r="J60" t="s" s="18">
        <v>311</v>
      </c>
      <c r="K60" s="18"/>
      <c r="L60" s="18"/>
      <c r="M60" s="18"/>
      <c r="N60" s="18"/>
      <c r="O60" t="s" s="18">
        <v>547</v>
      </c>
      <c r="P60" t="s" s="18">
        <v>531</v>
      </c>
      <c r="Q60" s="18"/>
      <c r="R60" t="s" s="18">
        <v>532</v>
      </c>
      <c r="S60" t="s" s="18">
        <v>548</v>
      </c>
      <c r="T60" t="s" s="18">
        <v>549</v>
      </c>
      <c r="U60" s="18"/>
      <c r="V60" t="s" s="19">
        <v>185</v>
      </c>
      <c r="W60" t="s" s="19">
        <v>550</v>
      </c>
      <c r="X60" t="s" s="21">
        <f>IF(ISBLANK(W60),"",HYPERLINK("https://jlcpcb.com/partdetail/"&amp;$W60,$W60))</f>
        <v>551</v>
      </c>
      <c r="Y60" s="29">
        <v>1</v>
      </c>
      <c r="Z60" t="s" s="18">
        <v>188</v>
      </c>
      <c r="AA60" t="s" s="16">
        <v>537</v>
      </c>
      <c r="AB60" t="s" s="18">
        <v>552</v>
      </c>
      <c r="AC60" t="s" s="24">
        <v>539</v>
      </c>
      <c r="AD60" t="s" s="25">
        <v>540</v>
      </c>
      <c r="AE60" t="s" s="18">
        <v>553</v>
      </c>
    </row>
    <row r="61" ht="18.4" customHeight="1">
      <c r="B61" t="s" s="16">
        <f>E61&amp;"_"&amp;G61&amp;"_"&amp;J61</f>
        <v>554</v>
      </c>
      <c r="C61" t="s" s="17">
        <f>$G61&amp;IF($E61="LED"," LED","")&amp;IF($N61="",""," ")&amp;$N61&amp;IF($H61="",""," ")&amp;$H61&amp;IF($O61="",""," ")&amp;$O61&amp;IF($P61="",""," ")&amp;$P61&amp;IF($Q61="",""," ")&amp;$Q61&amp;IF($T61="",""," ")&amp;$T61&amp;IF($T61="","","mcd")</f>
        <v>555</v>
      </c>
      <c r="D61" t="s" s="17">
        <f>$G61&amp;" "&amp;E61&amp;IF($N61="",""," ")&amp;$N61&amp;IF($H61="",""," ")&amp;$H61&amp;IF($O61="",""," ")&amp;$O61&amp;IF($P61="",""," ")&amp;$P61&amp;IF($Q61="",""," ")&amp;$Q61&amp;IF($T61="",""," ")&amp;$T61&amp;IF($T61="","","mcd")</f>
        <v>555</v>
      </c>
      <c r="E61" t="s" s="18">
        <v>526</v>
      </c>
      <c r="F61" t="s" s="18">
        <v>5</v>
      </c>
      <c r="G61" t="s" s="18">
        <v>556</v>
      </c>
      <c r="H61" t="s" s="18">
        <v>528</v>
      </c>
      <c r="I61" t="s" s="19">
        <v>557</v>
      </c>
      <c r="J61" t="s" s="18">
        <v>311</v>
      </c>
      <c r="K61" s="18"/>
      <c r="L61" s="18"/>
      <c r="M61" s="18"/>
      <c r="N61" s="18"/>
      <c r="O61" t="s" s="18">
        <v>530</v>
      </c>
      <c r="P61" t="s" s="18">
        <v>531</v>
      </c>
      <c r="Q61" s="18"/>
      <c r="R61" t="s" s="18">
        <v>532</v>
      </c>
      <c r="S61" t="s" s="18">
        <v>558</v>
      </c>
      <c r="T61" t="s" s="18">
        <v>559</v>
      </c>
      <c r="U61" s="18"/>
      <c r="V61" t="s" s="19">
        <v>185</v>
      </c>
      <c r="W61" t="s" s="19">
        <v>560</v>
      </c>
      <c r="X61" t="s" s="21">
        <f>IF(ISBLANK(W61),"",HYPERLINK("https://jlcpcb.com/partdetail/"&amp;$W61,$W61))</f>
        <v>561</v>
      </c>
      <c r="Y61" s="29">
        <v>1</v>
      </c>
      <c r="Z61" t="s" s="18">
        <v>188</v>
      </c>
      <c r="AA61" t="s" s="16">
        <v>537</v>
      </c>
      <c r="AB61" t="s" s="18">
        <v>562</v>
      </c>
      <c r="AC61" t="s" s="24">
        <v>539</v>
      </c>
      <c r="AD61" t="s" s="25">
        <v>540</v>
      </c>
      <c r="AE61" t="s" s="18">
        <v>563</v>
      </c>
    </row>
    <row r="62" ht="18.9" customHeight="1">
      <c r="B62" t="s" s="16">
        <f>E62&amp;"_"&amp;G62&amp;"_"&amp;J62</f>
        <v>564</v>
      </c>
      <c r="C62" t="s" s="17">
        <f>$G62&amp;IF($E62="LED"," LED","")&amp;IF($N62="",""," ")&amp;$N62&amp;IF($H62="",""," ")&amp;$H62&amp;IF($O62="",""," ")&amp;$O62&amp;IF($P62="",""," ")&amp;$P62&amp;IF($Q62="",""," ")&amp;$Q62&amp;IF($T62="",""," ")&amp;$T62&amp;IF($T62="","","mcd")</f>
        <v>565</v>
      </c>
      <c r="D62" t="s" s="17">
        <f>$G62&amp;" "&amp;E62&amp;IF($N62="",""," ")&amp;$N62&amp;IF($H62="",""," ")&amp;$H62&amp;IF($O62="",""," ")&amp;$O62&amp;IF($P62="",""," ")&amp;$P62&amp;IF($Q62="",""," ")&amp;$Q62&amp;IF($T62="",""," ")&amp;$T62&amp;IF($T62="","","mcd")</f>
        <v>565</v>
      </c>
      <c r="E62" t="s" s="18">
        <v>526</v>
      </c>
      <c r="F62" t="s" s="18">
        <v>5</v>
      </c>
      <c r="G62" t="s" s="18">
        <v>566</v>
      </c>
      <c r="H62" t="s" s="18">
        <v>528</v>
      </c>
      <c r="I62" t="s" s="19">
        <v>567</v>
      </c>
      <c r="J62" t="s" s="18">
        <v>311</v>
      </c>
      <c r="K62" s="18"/>
      <c r="L62" s="18"/>
      <c r="M62" s="18"/>
      <c r="N62" s="18"/>
      <c r="O62" t="s" s="18">
        <v>568</v>
      </c>
      <c r="P62" t="s" s="18">
        <v>531</v>
      </c>
      <c r="Q62" s="18"/>
      <c r="R62" s="18"/>
      <c r="S62" t="s" s="18">
        <v>569</v>
      </c>
      <c r="T62" t="s" s="18">
        <v>534</v>
      </c>
      <c r="U62" s="18"/>
      <c r="V62" t="s" s="19">
        <v>185</v>
      </c>
      <c r="W62" t="s" s="19">
        <v>570</v>
      </c>
      <c r="X62" t="s" s="21">
        <f>IF(ISBLANK(W62),"",HYPERLINK("https://jlcpcb.com/partdetail/"&amp;$W62,$W62))</f>
        <v>571</v>
      </c>
      <c r="Y62" s="29">
        <v>1</v>
      </c>
      <c r="Z62" t="s" s="18">
        <v>316</v>
      </c>
      <c r="AA62" t="s" s="16">
        <v>537</v>
      </c>
      <c r="AB62" t="s" s="18">
        <v>572</v>
      </c>
      <c r="AC62" t="s" s="24">
        <v>539</v>
      </c>
      <c r="AD62" t="s" s="25">
        <v>540</v>
      </c>
      <c r="AE62" t="s" s="18">
        <v>573</v>
      </c>
    </row>
    <row r="63" ht="18.9" customHeight="1">
      <c r="B63" t="s" s="16">
        <f>E63&amp;"_"&amp;G63&amp;"_"&amp;J63</f>
        <v>574</v>
      </c>
      <c r="C63" t="s" s="17">
        <f>$G63&amp;IF($E63="LED"," LED","")&amp;IF($N63="",""," ")&amp;$N63&amp;IF($H63="",""," ")&amp;$H63&amp;IF($O63="",""," ")&amp;$O63&amp;IF($P63="",""," ")&amp;$P63&amp;IF($Q63="",""," ")&amp;$Q63&amp;IF($T63="",""," ")&amp;$T63&amp;IF($T63="","","mcd")</f>
        <v>575</v>
      </c>
      <c r="D63" t="s" s="17">
        <f>$G63&amp;" "&amp;E63&amp;IF($N63="",""," ")&amp;$N63&amp;IF($H63="",""," ")&amp;$H63&amp;IF($O63="",""," ")&amp;$O63&amp;IF($P63="",""," ")&amp;$P63&amp;IF($Q63="",""," ")&amp;$Q63&amp;IF($T63="",""," ")&amp;$T63&amp;IF($T63="","","mcd")</f>
        <v>575</v>
      </c>
      <c r="E63" t="s" s="18">
        <v>526</v>
      </c>
      <c r="F63" t="s" s="18">
        <v>5</v>
      </c>
      <c r="G63" t="s" s="18">
        <v>576</v>
      </c>
      <c r="H63" t="s" s="18">
        <v>528</v>
      </c>
      <c r="I63" t="s" s="19">
        <v>577</v>
      </c>
      <c r="J63" t="s" s="18">
        <v>311</v>
      </c>
      <c r="K63" s="18"/>
      <c r="L63" s="18"/>
      <c r="M63" s="18"/>
      <c r="N63" s="18"/>
      <c r="O63" t="s" s="18">
        <v>578</v>
      </c>
      <c r="P63" t="s" s="18">
        <v>579</v>
      </c>
      <c r="Q63" s="18"/>
      <c r="R63" s="18"/>
      <c r="S63" t="s" s="18">
        <v>580</v>
      </c>
      <c r="T63" t="s" s="18">
        <v>581</v>
      </c>
      <c r="U63" s="18"/>
      <c r="V63" t="s" s="19">
        <v>185</v>
      </c>
      <c r="W63" t="s" s="19">
        <v>582</v>
      </c>
      <c r="X63" t="s" s="21">
        <f>IF(ISBLANK(W63),"",HYPERLINK("https://jlcpcb.com/partdetail/"&amp;$W63,$W63))</f>
        <v>583</v>
      </c>
      <c r="Y63" s="29">
        <v>1</v>
      </c>
      <c r="Z63" t="s" s="18">
        <v>316</v>
      </c>
      <c r="AA63" t="s" s="16">
        <v>584</v>
      </c>
      <c r="AB63" t="s" s="18">
        <v>585</v>
      </c>
      <c r="AC63" t="s" s="24">
        <v>539</v>
      </c>
      <c r="AD63" t="s" s="25">
        <v>540</v>
      </c>
      <c r="AE63" t="s" s="18">
        <v>586</v>
      </c>
    </row>
    <row r="64" ht="18.9" customHeight="1">
      <c r="B64" t="s" s="16">
        <f>E64&amp;"_"&amp;G64&amp;"_"&amp;J64</f>
        <v>574</v>
      </c>
      <c r="C64" t="s" s="17">
        <f>$G64&amp;IF($E64="LED"," LED","")&amp;IF($N64="",""," ")&amp;$N64&amp;IF($H64="",""," ")&amp;$H64&amp;IF($O64="",""," ")&amp;$O64&amp;IF($P64="",""," ")&amp;$P64&amp;IF($Q64="",""," ")&amp;$Q64&amp;IF($T64="",""," ")&amp;$T64&amp;IF($T64="","","mcd")</f>
        <v>587</v>
      </c>
      <c r="D64" t="s" s="17">
        <f>$G64&amp;" "&amp;E64&amp;IF($N64="",""," ")&amp;$N64&amp;IF($H64="",""," ")&amp;$H64&amp;IF($O64="",""," ")&amp;$O64&amp;IF($P64="",""," ")&amp;$P64&amp;IF($Q64="",""," ")&amp;$Q64&amp;IF($T64="",""," ")&amp;$T64&amp;IF($T64="","","mcd")</f>
        <v>587</v>
      </c>
      <c r="E64" t="s" s="18">
        <v>526</v>
      </c>
      <c r="F64" t="s" s="18">
        <v>5</v>
      </c>
      <c r="G64" t="s" s="18">
        <v>576</v>
      </c>
      <c r="H64" t="s" s="18">
        <v>528</v>
      </c>
      <c r="I64" t="s" s="19">
        <v>588</v>
      </c>
      <c r="J64" t="s" s="18">
        <v>311</v>
      </c>
      <c r="K64" s="18"/>
      <c r="L64" s="18"/>
      <c r="M64" s="18"/>
      <c r="N64" s="18"/>
      <c r="O64" t="s" s="18">
        <v>589</v>
      </c>
      <c r="P64" t="s" s="18">
        <v>531</v>
      </c>
      <c r="Q64" s="18"/>
      <c r="R64" s="18"/>
      <c r="S64" s="18"/>
      <c r="T64" t="s" s="18">
        <v>590</v>
      </c>
      <c r="U64" s="18"/>
      <c r="V64" t="s" s="19">
        <v>185</v>
      </c>
      <c r="W64" t="s" s="19">
        <v>591</v>
      </c>
      <c r="X64" t="s" s="21">
        <f>IF(ISBLANK(W64),"",HYPERLINK("https://jlcpcb.com/partdetail/"&amp;$W64,$W64))</f>
        <v>592</v>
      </c>
      <c r="Y64" s="29">
        <v>2</v>
      </c>
      <c r="Z64" t="s" s="18">
        <v>316</v>
      </c>
      <c r="AA64" t="s" s="16">
        <v>537</v>
      </c>
      <c r="AB64" t="s" s="18">
        <v>593</v>
      </c>
      <c r="AC64" t="s" s="24">
        <v>539</v>
      </c>
      <c r="AD64" t="s" s="25">
        <v>540</v>
      </c>
      <c r="AE64" t="s" s="18">
        <v>594</v>
      </c>
    </row>
    <row r="65" ht="16.4" customHeight="1">
      <c r="B65" t="s" s="16">
        <f>E65&amp;"_"&amp;G65&amp;"_"&amp;J65</f>
        <v>595</v>
      </c>
      <c r="C65" t="s" s="17">
        <f>$G65&amp;IF($E65="LED"," LED","")&amp;IF($N65="",""," ")&amp;$N65&amp;IF($H65="",""," ")&amp;$H65&amp;IF($O65="",""," ")&amp;$O65&amp;IF($P65="",""," ")&amp;$P65&amp;IF($Q65="",""," ")&amp;$Q65&amp;IF($T65="",""," ")&amp;$T65&amp;IF($T65="","","mcd")</f>
        <v>596</v>
      </c>
      <c r="D65" t="s" s="17">
        <f>$G65&amp;" "&amp;E65&amp;IF($N65="",""," ")&amp;$N65&amp;IF($H65="",""," ")&amp;$H65&amp;IF($O65="",""," ")&amp;$O65&amp;IF($P65="",""," ")&amp;$P65&amp;IF($Q65="",""," ")&amp;$Q65&amp;IF($T65="",""," ")&amp;$T65&amp;IF($T65="","","mcd")</f>
        <v>596</v>
      </c>
      <c r="E65" t="s" s="18">
        <v>526</v>
      </c>
      <c r="F65" t="s" s="18">
        <v>5</v>
      </c>
      <c r="G65" t="s" s="18">
        <v>597</v>
      </c>
      <c r="H65" t="s" s="18">
        <v>528</v>
      </c>
      <c r="I65" t="s" s="19">
        <v>588</v>
      </c>
      <c r="J65" t="s" s="18">
        <v>311</v>
      </c>
      <c r="K65" s="18"/>
      <c r="L65" s="18"/>
      <c r="M65" s="18"/>
      <c r="N65" s="18"/>
      <c r="O65" t="s" s="18">
        <v>589</v>
      </c>
      <c r="P65" t="s" s="18">
        <v>531</v>
      </c>
      <c r="Q65" s="18"/>
      <c r="R65" t="s" s="18">
        <v>532</v>
      </c>
      <c r="S65" t="s" s="18">
        <v>598</v>
      </c>
      <c r="T65" t="s" s="18">
        <v>590</v>
      </c>
      <c r="U65" s="18"/>
      <c r="V65" t="s" s="19">
        <v>185</v>
      </c>
      <c r="W65" t="s" s="19">
        <v>599</v>
      </c>
      <c r="X65" t="s" s="21">
        <f>IF(ISBLANK(W65),"",HYPERLINK("https://jlcpcb.com/partdetail/"&amp;$W65,$W65))</f>
        <v>600</v>
      </c>
      <c r="Y65" s="29">
        <v>3</v>
      </c>
      <c r="Z65" t="s" s="18">
        <v>188</v>
      </c>
      <c r="AA65" t="s" s="16">
        <v>537</v>
      </c>
      <c r="AB65" t="s" s="18">
        <v>601</v>
      </c>
      <c r="AC65" t="s" s="34">
        <v>539</v>
      </c>
      <c r="AD65" t="s" s="25">
        <v>540</v>
      </c>
      <c r="AE65" t="s" s="18">
        <v>594</v>
      </c>
    </row>
    <row r="66" ht="18.05" customHeight="1">
      <c r="B66" t="s" s="16">
        <f>E66&amp;"_"&amp;G66&amp;"_"&amp;J66</f>
        <v>602</v>
      </c>
      <c r="C66" t="s" s="17">
        <f>$G66&amp;IF($E66="LED"," LED","")&amp;IF($N66="",""," ")&amp;$N66&amp;IF($H66="",""," ")&amp;$H66&amp;IF($O66="",""," ")&amp;$O66&amp;IF($P66="",""," ")&amp;$P66&amp;IF($Q66="",""," ")&amp;$Q66&amp;IF($T66="",""," ")&amp;$T66&amp;IF($T66="","","mcd")</f>
        <v>603</v>
      </c>
      <c r="D66" t="s" s="17">
        <f>$G66&amp;" "&amp;E66&amp;IF($N66="",""," ")&amp;$N66&amp;IF($H66="",""," ")&amp;$H66&amp;IF($O66="",""," ")&amp;$O66&amp;IF($P66="",""," ")&amp;$P66&amp;IF($Q66="",""," ")&amp;$Q66&amp;IF($T66="",""," ")&amp;$T66&amp;IF($T66="","","mcd")</f>
        <v>603</v>
      </c>
      <c r="E66" t="s" s="18">
        <v>526</v>
      </c>
      <c r="F66" t="s" s="18">
        <v>5</v>
      </c>
      <c r="G66" t="s" s="18">
        <v>604</v>
      </c>
      <c r="H66" t="s" s="18">
        <v>528</v>
      </c>
      <c r="I66" t="s" s="19">
        <v>605</v>
      </c>
      <c r="J66" t="s" s="18">
        <v>311</v>
      </c>
      <c r="K66" s="18"/>
      <c r="L66" s="18"/>
      <c r="M66" s="18"/>
      <c r="N66" s="18"/>
      <c r="O66" t="s" s="18">
        <v>589</v>
      </c>
      <c r="P66" t="s" s="18">
        <v>531</v>
      </c>
      <c r="Q66" s="18"/>
      <c r="R66" t="s" s="18">
        <v>532</v>
      </c>
      <c r="S66" t="s" s="18">
        <v>606</v>
      </c>
      <c r="T66" t="s" s="18">
        <v>607</v>
      </c>
      <c r="U66" s="18"/>
      <c r="V66" t="s" s="19">
        <v>185</v>
      </c>
      <c r="W66" t="s" s="19">
        <v>608</v>
      </c>
      <c r="X66" t="s" s="21">
        <f>IF(ISBLANK(W66),"",HYPERLINK("https://jlcpcb.com/partdetail/"&amp;$W66,$W66))</f>
        <v>609</v>
      </c>
      <c r="Y66" s="29">
        <v>10</v>
      </c>
      <c r="Z66" t="s" s="18">
        <v>188</v>
      </c>
      <c r="AA66" t="s" s="16">
        <v>537</v>
      </c>
      <c r="AB66" t="s" s="18">
        <v>610</v>
      </c>
      <c r="AC66" t="s" s="34">
        <v>539</v>
      </c>
      <c r="AD66" t="s" s="25">
        <v>540</v>
      </c>
      <c r="AE66" t="s" s="18">
        <v>611</v>
      </c>
    </row>
    <row r="67" ht="18.9" customHeight="1">
      <c r="B67" t="s" s="16">
        <f>E67&amp;"_"&amp;G67&amp;"_"&amp;J67</f>
        <v>612</v>
      </c>
      <c r="C67" t="s" s="17">
        <f>$G67&amp;IF($E67="LED"," LED","")&amp;IF($N67="",""," ")&amp;$N67&amp;IF($H67="",""," ")&amp;$H67&amp;IF($O67="",""," ")&amp;$O67&amp;IF($P67="",""," ")&amp;$P67&amp;IF($Q67="",""," ")&amp;$Q67&amp;IF($T67="",""," ")&amp;$T67&amp;IF($T67="","","mcd")</f>
        <v>613</v>
      </c>
      <c r="D67" t="s" s="17">
        <f>$G67&amp;" "&amp;E67&amp;IF($N67="",""," ")&amp;$N67&amp;IF($H67="",""," ")&amp;$H67&amp;IF($O67="",""," ")&amp;$O67&amp;IF($P67="",""," ")&amp;$P67&amp;IF($Q67="",""," ")&amp;$Q67&amp;IF($T67="",""," ")&amp;$T67&amp;IF($T67="","","mcd")</f>
        <v>613</v>
      </c>
      <c r="E67" t="s" s="18">
        <v>526</v>
      </c>
      <c r="F67" t="s" s="18">
        <v>5</v>
      </c>
      <c r="G67" t="s" s="18">
        <v>614</v>
      </c>
      <c r="H67" t="s" s="18">
        <v>528</v>
      </c>
      <c r="I67" t="s" s="19">
        <v>615</v>
      </c>
      <c r="J67" t="s" s="18">
        <v>311</v>
      </c>
      <c r="K67" s="18"/>
      <c r="L67" s="18"/>
      <c r="M67" s="18"/>
      <c r="N67" s="18"/>
      <c r="O67" t="s" s="18">
        <v>578</v>
      </c>
      <c r="P67" t="s" s="18">
        <v>531</v>
      </c>
      <c r="Q67" s="18"/>
      <c r="R67" s="18"/>
      <c r="S67" s="18"/>
      <c r="T67" t="s" s="18">
        <v>616</v>
      </c>
      <c r="U67" s="18"/>
      <c r="V67" t="s" s="19">
        <v>185</v>
      </c>
      <c r="W67" t="s" s="19">
        <v>617</v>
      </c>
      <c r="X67" t="s" s="21">
        <f>IF(ISBLANK(W67),"",HYPERLINK("https://jlcpcb.com/partdetail/"&amp;$W67,$W67))</f>
        <v>618</v>
      </c>
      <c r="Y67" s="29">
        <v>2</v>
      </c>
      <c r="Z67" t="s" s="18">
        <v>316</v>
      </c>
      <c r="AA67" t="s" s="16">
        <v>619</v>
      </c>
      <c r="AB67" t="s" s="18">
        <v>620</v>
      </c>
      <c r="AC67" t="s" s="24">
        <v>539</v>
      </c>
      <c r="AD67" t="s" s="25">
        <v>540</v>
      </c>
      <c r="AE67" t="s" s="18">
        <v>621</v>
      </c>
    </row>
    <row r="68" ht="18.9" customHeight="1">
      <c r="B68" t="s" s="16">
        <f>E68&amp;"_"&amp;G68&amp;"_"&amp;J68</f>
        <v>612</v>
      </c>
      <c r="C68" t="s" s="17">
        <f>$G68&amp;IF($E68="LED"," LED","")&amp;IF($N68="",""," ")&amp;$N68&amp;IF($H68="",""," ")&amp;$H68&amp;IF($O68="",""," ")&amp;$O68&amp;IF($P68="",""," ")&amp;$P68&amp;IF($Q68="",""," ")&amp;$Q68&amp;IF($T68="",""," ")&amp;$T68&amp;IF($T68="","","mcd")</f>
        <v>622</v>
      </c>
      <c r="D68" t="s" s="17">
        <f>$G68&amp;" "&amp;E68&amp;IF($N68="",""," ")&amp;$N68&amp;IF($H68="",""," ")&amp;$H68&amp;IF($O68="",""," ")&amp;$O68&amp;IF($P68="",""," ")&amp;$P68&amp;IF($Q68="",""," ")&amp;$Q68&amp;IF($T68="",""," ")&amp;$T68&amp;IF($T68="","","mcd")</f>
        <v>622</v>
      </c>
      <c r="E68" t="s" s="18">
        <v>526</v>
      </c>
      <c r="F68" t="s" s="18">
        <v>5</v>
      </c>
      <c r="G68" t="s" s="18">
        <v>614</v>
      </c>
      <c r="H68" t="s" s="18">
        <v>528</v>
      </c>
      <c r="I68" t="s" s="19">
        <v>623</v>
      </c>
      <c r="J68" t="s" s="18">
        <v>311</v>
      </c>
      <c r="K68" s="18"/>
      <c r="L68" s="18"/>
      <c r="M68" s="18"/>
      <c r="N68" s="18"/>
      <c r="O68" t="s" s="18">
        <v>589</v>
      </c>
      <c r="P68" t="s" s="18">
        <v>531</v>
      </c>
      <c r="Q68" s="18"/>
      <c r="R68" s="18"/>
      <c r="S68" s="18"/>
      <c r="T68" t="s" s="18">
        <v>624</v>
      </c>
      <c r="U68" s="18"/>
      <c r="V68" t="s" s="19">
        <v>185</v>
      </c>
      <c r="W68" t="s" s="19">
        <v>625</v>
      </c>
      <c r="X68" t="s" s="21">
        <f>IF(ISBLANK(W68),"",HYPERLINK("https://jlcpcb.com/partdetail/"&amp;$W68,$W68))</f>
        <v>626</v>
      </c>
      <c r="Y68" s="29">
        <v>1</v>
      </c>
      <c r="Z68" t="s" s="18">
        <v>316</v>
      </c>
      <c r="AA68" t="s" s="16">
        <v>537</v>
      </c>
      <c r="AB68" t="s" s="18">
        <v>627</v>
      </c>
      <c r="AC68" t="s" s="24">
        <v>539</v>
      </c>
      <c r="AD68" t="s" s="25">
        <v>540</v>
      </c>
      <c r="AE68" t="s" s="18">
        <v>628</v>
      </c>
    </row>
    <row r="69" ht="18.05" customHeight="1">
      <c r="B69" t="s" s="16">
        <f>E69&amp;"_"&amp;G69&amp;"_"&amp;J69</f>
        <v>629</v>
      </c>
      <c r="C69" t="s" s="17">
        <f>$G69&amp;IF($E69="LED"," LED","")&amp;IF($N69="",""," ")&amp;$N69&amp;IF($H69="",""," ")&amp;$H69&amp;IF($O69="",""," ")&amp;$O69&amp;IF($P69="",""," ")&amp;$P69&amp;IF($Q69="",""," ")&amp;$Q69&amp;IF($T69="",""," ")&amp;$T69&amp;IF($T69="","","mcd")</f>
        <v>630</v>
      </c>
      <c r="D69" t="s" s="17">
        <f>$G69&amp;" "&amp;E69&amp;IF($N69="",""," ")&amp;$N69&amp;IF($H69="",""," ")&amp;$H69&amp;IF($O69="",""," ")&amp;$O69&amp;IF($P69="",""," ")&amp;$P69&amp;IF($Q69="",""," ")&amp;$Q69&amp;IF($T69="",""," ")&amp;$T69&amp;IF($T69="","","mcd")</f>
        <v>630</v>
      </c>
      <c r="E69" t="s" s="18">
        <v>526</v>
      </c>
      <c r="F69" t="s" s="18">
        <v>5</v>
      </c>
      <c r="G69" t="s" s="18">
        <v>631</v>
      </c>
      <c r="H69" t="s" s="18">
        <v>528</v>
      </c>
      <c r="I69" t="s" s="19">
        <v>632</v>
      </c>
      <c r="J69" t="s" s="18">
        <v>311</v>
      </c>
      <c r="K69" s="18"/>
      <c r="L69" s="18"/>
      <c r="M69" s="18"/>
      <c r="N69" s="18"/>
      <c r="O69" t="s" s="18">
        <v>568</v>
      </c>
      <c r="P69" t="s" s="18">
        <v>531</v>
      </c>
      <c r="Q69" s="18"/>
      <c r="R69" t="s" s="18">
        <v>532</v>
      </c>
      <c r="S69" t="s" s="18">
        <v>633</v>
      </c>
      <c r="T69" t="s" s="18">
        <v>634</v>
      </c>
      <c r="U69" s="18"/>
      <c r="V69" t="s" s="19">
        <v>185</v>
      </c>
      <c r="W69" t="s" s="19">
        <v>635</v>
      </c>
      <c r="X69" t="s" s="21">
        <f>IF(ISBLANK(W69),"",HYPERLINK("https://jlcpcb.com/partdetail/"&amp;$W69,$W69))</f>
        <v>636</v>
      </c>
      <c r="Y69" s="29">
        <v>3</v>
      </c>
      <c r="Z69" t="s" s="18">
        <v>188</v>
      </c>
      <c r="AA69" t="s" s="16">
        <v>537</v>
      </c>
      <c r="AB69" t="s" s="36">
        <v>637</v>
      </c>
      <c r="AC69" t="s" s="34">
        <v>539</v>
      </c>
      <c r="AD69" t="s" s="25">
        <v>540</v>
      </c>
      <c r="AE69" t="s" s="18">
        <v>638</v>
      </c>
    </row>
    <row r="70" ht="18.05" customHeight="1">
      <c r="B70" t="s" s="16">
        <f>E70&amp;"_"&amp;G70&amp;"_"&amp;J70</f>
        <v>639</v>
      </c>
      <c r="C70" t="s" s="17">
        <f>$G70&amp;IF($E70="LED"," LED","")&amp;IF($N70="",""," ")&amp;$N70&amp;IF($H70="",""," ")&amp;$H70&amp;IF($O70="",""," ")&amp;$O70&amp;IF($P70="",""," ")&amp;$P70&amp;IF($Q70="",""," ")&amp;$Q70&amp;IF($T70="",""," ")&amp;$T70&amp;IF($T70="","","mcd")</f>
        <v>640</v>
      </c>
      <c r="D70" t="s" s="17">
        <f>$G70&amp;" "&amp;E70&amp;IF($N70="",""," ")&amp;$N70&amp;IF($H70="",""," ")&amp;$H70&amp;IF($O70="",""," ")&amp;$O70&amp;IF($P70="",""," ")&amp;$P70&amp;IF($Q70="",""," ")&amp;$Q70&amp;IF($T70="",""," ")&amp;$T70&amp;IF($T70="","","mcd")</f>
        <v>640</v>
      </c>
      <c r="E70" t="s" s="18">
        <v>526</v>
      </c>
      <c r="F70" t="s" s="18">
        <v>5</v>
      </c>
      <c r="G70" t="s" s="18">
        <v>641</v>
      </c>
      <c r="H70" t="s" s="18">
        <v>642</v>
      </c>
      <c r="I70" t="s" s="30">
        <v>643</v>
      </c>
      <c r="J70" t="s" s="18">
        <v>644</v>
      </c>
      <c r="K70" s="18"/>
      <c r="L70" s="18"/>
      <c r="M70" s="18"/>
      <c r="N70" s="18"/>
      <c r="O70" t="s" s="18">
        <v>645</v>
      </c>
      <c r="P70" t="s" s="18">
        <v>646</v>
      </c>
      <c r="Q70" s="18"/>
      <c r="R70" s="18"/>
      <c r="S70" s="18"/>
      <c r="T70" s="18"/>
      <c r="U70" s="18"/>
      <c r="V70" t="s" s="19">
        <v>185</v>
      </c>
      <c r="W70" t="s" s="19">
        <v>647</v>
      </c>
      <c r="X70" t="s" s="21">
        <f>IF(ISBLANK(W70),"",HYPERLINK("https://jlcpcb.com/partdetail/"&amp;$W70,$W70))</f>
        <v>648</v>
      </c>
      <c r="Y70" s="29">
        <v>1</v>
      </c>
      <c r="Z70" t="s" s="18">
        <v>188</v>
      </c>
      <c r="AA70" t="s" s="16">
        <v>537</v>
      </c>
      <c r="AB70" t="s" s="31">
        <v>649</v>
      </c>
      <c r="AC70" t="s" s="24">
        <v>650</v>
      </c>
      <c r="AD70" t="s" s="25">
        <v>650</v>
      </c>
      <c r="AE70" t="s" s="18">
        <v>651</v>
      </c>
    </row>
    <row r="71" ht="19" customHeight="1">
      <c r="B71" t="s" s="16">
        <f>E71&amp;"_"&amp;G71&amp;"_"&amp;J71</f>
        <v>652</v>
      </c>
      <c r="C71" t="s" s="17">
        <f>$G71&amp;IF($E71="LED"," LED","")&amp;IF($N71="",""," ")&amp;$N71&amp;IF($H71="",""," ")&amp;$H71&amp;IF($O71="",""," ")&amp;$O71&amp;IF($P71="",""," ")&amp;$P71&amp;IF($Q71="",""," ")&amp;$Q71&amp;IF($T71="",""," ")&amp;$T71&amp;IF($T71="","","mcd")</f>
        <v>653</v>
      </c>
      <c r="D71" t="s" s="17">
        <f>$G71&amp;" "&amp;E71&amp;IF($N71="",""," ")&amp;$N71&amp;IF($H71="",""," ")&amp;$H71&amp;IF($O71="",""," ")&amp;$O71&amp;IF($P71="",""," ")&amp;$P71&amp;IF($Q71="",""," ")&amp;$Q71&amp;IF($T71="",""," ")&amp;$T71&amp;IF($T71="","","mcd")</f>
        <v>654</v>
      </c>
      <c r="E71" t="s" s="18">
        <v>655</v>
      </c>
      <c r="F71" t="s" s="18">
        <v>5</v>
      </c>
      <c r="G71" t="s" s="18">
        <v>656</v>
      </c>
      <c r="H71" t="s" s="18">
        <v>657</v>
      </c>
      <c r="I71" t="s" s="30">
        <v>658</v>
      </c>
      <c r="J71" t="s" s="19">
        <v>659</v>
      </c>
      <c r="K71" s="18"/>
      <c r="L71" s="18"/>
      <c r="M71" s="19"/>
      <c r="N71" s="18"/>
      <c r="O71" t="s" s="18">
        <v>660</v>
      </c>
      <c r="P71" t="s" s="31">
        <v>661</v>
      </c>
      <c r="Q71" s="31"/>
      <c r="R71" s="31"/>
      <c r="S71" s="31"/>
      <c r="T71" s="18"/>
      <c r="U71" s="18"/>
      <c r="V71" t="s" s="19">
        <v>185</v>
      </c>
      <c r="W71" t="s" s="19">
        <v>662</v>
      </c>
      <c r="X71" t="s" s="21">
        <f>IF(ISBLANK(W71),"",HYPERLINK("https://jlcpcb.com/partdetail/"&amp;$W71,$W71))</f>
        <v>663</v>
      </c>
      <c r="Y71" s="29">
        <v>10</v>
      </c>
      <c r="Z71" t="s" s="18">
        <v>188</v>
      </c>
      <c r="AA71" t="s" s="28">
        <v>664</v>
      </c>
      <c r="AB71" t="s" s="19">
        <v>656</v>
      </c>
      <c r="AC71" t="s" s="16">
        <v>665</v>
      </c>
      <c r="AD71" t="s" s="25">
        <v>666</v>
      </c>
      <c r="AE71" t="s" s="18">
        <v>667</v>
      </c>
    </row>
    <row r="72" ht="19" customHeight="1">
      <c r="B72" t="s" s="16">
        <f>E72&amp;"_"&amp;G72&amp;"_"&amp;J72</f>
        <v>668</v>
      </c>
      <c r="C72" t="s" s="17">
        <f>$G72&amp;IF($E72="LED"," LED","")&amp;IF($N72="",""," ")&amp;$N72&amp;IF($H72="",""," ")&amp;$H72&amp;IF($O72="",""," ")&amp;$O72&amp;IF($P72="",""," ")&amp;$P72&amp;IF($Q72="",""," ")&amp;$Q72&amp;IF($T72="",""," ")&amp;$T72&amp;IF($T72="","","mcd")</f>
        <v>669</v>
      </c>
      <c r="D72" t="s" s="17">
        <f>$G72&amp;" "&amp;E72&amp;IF($N72="",""," ")&amp;$N72&amp;IF($H72="",""," ")&amp;$H72&amp;IF($O72="",""," ")&amp;$O72&amp;IF($P72="",""," ")&amp;$P72&amp;IF($Q72="",""," ")&amp;$Q72&amp;IF($T72="",""," ")&amp;$T72&amp;IF($T72="","","mcd")</f>
        <v>670</v>
      </c>
      <c r="E72" t="s" s="18">
        <v>655</v>
      </c>
      <c r="F72" t="s" s="18">
        <v>5</v>
      </c>
      <c r="G72" t="s" s="18">
        <v>671</v>
      </c>
      <c r="H72" t="s" s="18">
        <v>672</v>
      </c>
      <c r="I72" t="s" s="30">
        <v>673</v>
      </c>
      <c r="J72" t="s" s="19">
        <v>659</v>
      </c>
      <c r="K72" s="18"/>
      <c r="L72" s="18"/>
      <c r="M72" s="19"/>
      <c r="N72" s="18"/>
      <c r="O72" t="s" s="18">
        <v>672</v>
      </c>
      <c r="P72" t="s" s="31">
        <v>661</v>
      </c>
      <c r="Q72" s="31"/>
      <c r="R72" s="31"/>
      <c r="S72" s="31"/>
      <c r="T72" s="18"/>
      <c r="U72" s="18"/>
      <c r="V72" t="s" s="19">
        <v>185</v>
      </c>
      <c r="W72" t="s" s="19">
        <v>674</v>
      </c>
      <c r="X72" t="s" s="21">
        <f>IF(ISBLANK(W72),"",HYPERLINK("https://jlcpcb.com/partdetail/"&amp;$W72,$W72))</f>
        <v>675</v>
      </c>
      <c r="Y72" s="29">
        <v>10</v>
      </c>
      <c r="Z72" t="s" s="18">
        <v>188</v>
      </c>
      <c r="AA72" t="s" s="28">
        <v>664</v>
      </c>
      <c r="AB72" t="s" s="19">
        <v>671</v>
      </c>
      <c r="AC72" t="s" s="16">
        <v>665</v>
      </c>
      <c r="AD72" t="s" s="25">
        <v>666</v>
      </c>
      <c r="AE72" t="s" s="18">
        <v>676</v>
      </c>
    </row>
    <row r="73" ht="19" customHeight="1">
      <c r="B73" t="s" s="16">
        <f>E73&amp;"_"&amp;G73&amp;"_"&amp;J73</f>
        <v>677</v>
      </c>
      <c r="C73" t="s" s="17">
        <f>$G73&amp;IF($E73="LED"," LED","")&amp;IF($N73="",""," ")&amp;$N73&amp;IF($H73="",""," ")&amp;$H73&amp;IF($O73="",""," ")&amp;$O73&amp;IF($P73="",""," ")&amp;$P73&amp;IF($Q73="",""," ")&amp;$Q73&amp;IF($T73="",""," ")&amp;$T73&amp;IF($T73="","","mcd")</f>
        <v>678</v>
      </c>
      <c r="D73" t="s" s="17">
        <f>$G73&amp;" "&amp;E73&amp;IF($N73="",""," ")&amp;$N73&amp;IF($H73="",""," ")&amp;$H73&amp;IF($O73="",""," ")&amp;$O73&amp;IF($P73="",""," ")&amp;$P73&amp;IF($Q73="",""," ")&amp;$Q73&amp;IF($T73="",""," ")&amp;$T73&amp;IF($T73="","","mcd")</f>
        <v>679</v>
      </c>
      <c r="E73" t="s" s="18">
        <v>655</v>
      </c>
      <c r="F73" t="s" s="18">
        <v>5</v>
      </c>
      <c r="G73" t="s" s="18">
        <v>680</v>
      </c>
      <c r="H73" t="s" s="18">
        <v>645</v>
      </c>
      <c r="I73" t="s" s="30">
        <v>681</v>
      </c>
      <c r="J73" t="s" s="19">
        <v>659</v>
      </c>
      <c r="K73" s="18"/>
      <c r="L73" s="18"/>
      <c r="M73" s="19"/>
      <c r="N73" s="18"/>
      <c r="O73" t="s" s="18">
        <v>682</v>
      </c>
      <c r="P73" t="s" s="31">
        <v>661</v>
      </c>
      <c r="Q73" s="31"/>
      <c r="R73" s="31"/>
      <c r="S73" s="31"/>
      <c r="T73" s="18"/>
      <c r="U73" s="18"/>
      <c r="V73" t="s" s="19">
        <v>185</v>
      </c>
      <c r="W73" t="s" s="19">
        <v>683</v>
      </c>
      <c r="X73" t="s" s="21">
        <f>IF(ISBLANK(W73),"",HYPERLINK("https://jlcpcb.com/partdetail/"&amp;$W73,$W73))</f>
        <v>684</v>
      </c>
      <c r="Y73" s="29">
        <v>1</v>
      </c>
      <c r="Z73" t="s" s="18">
        <v>188</v>
      </c>
      <c r="AA73" t="s" s="28">
        <v>664</v>
      </c>
      <c r="AB73" t="s" s="19">
        <v>680</v>
      </c>
      <c r="AC73" t="s" s="16">
        <v>665</v>
      </c>
      <c r="AD73" t="s" s="25">
        <v>666</v>
      </c>
      <c r="AE73" t="s" s="18">
        <v>685</v>
      </c>
    </row>
    <row r="74" ht="19" customHeight="1">
      <c r="B74" t="s" s="16">
        <f>E74&amp;"_"&amp;G74&amp;"_"&amp;J74</f>
        <v>686</v>
      </c>
      <c r="C74" t="s" s="17">
        <f>$G74&amp;IF($E74="LED"," LED","")&amp;IF($N74="",""," ")&amp;$N74&amp;IF($H74="",""," ")&amp;$H74&amp;IF($O74="",""," ")&amp;$O74&amp;IF($P74="",""," ")&amp;$P74&amp;IF($Q74="",""," ")&amp;$Q74&amp;IF($T74="",""," ")&amp;$T74&amp;IF($T74="","","mcd")</f>
        <v>687</v>
      </c>
      <c r="D74" t="s" s="17">
        <f>$G74&amp;" "&amp;E74&amp;IF($N74="",""," ")&amp;$N74&amp;IF($H74="",""," ")&amp;$H74&amp;IF($O74="",""," ")&amp;$O74&amp;IF($P74="",""," ")&amp;$P74&amp;IF($Q74="",""," ")&amp;$Q74&amp;IF($T74="",""," ")&amp;$T74&amp;IF($T74="","","mcd")</f>
        <v>688</v>
      </c>
      <c r="E74" t="s" s="18">
        <v>655</v>
      </c>
      <c r="F74" t="s" s="18">
        <v>178</v>
      </c>
      <c r="G74" t="s" s="31">
        <v>689</v>
      </c>
      <c r="H74" t="s" s="18">
        <v>645</v>
      </c>
      <c r="I74" t="s" s="30">
        <v>690</v>
      </c>
      <c r="J74" t="s" s="19">
        <v>691</v>
      </c>
      <c r="K74" s="18"/>
      <c r="L74" s="18"/>
      <c r="M74" s="19"/>
      <c r="N74" s="18"/>
      <c r="O74" s="18"/>
      <c r="P74" s="31"/>
      <c r="Q74" s="31"/>
      <c r="R74" s="31"/>
      <c r="S74" s="31"/>
      <c r="T74" s="18"/>
      <c r="U74" s="18"/>
      <c r="V74" s="26"/>
      <c r="W74" s="26"/>
      <c r="X74" t="s" s="21">
        <f>IF(ISBLANK(W74),"",HYPERLINK("https://jlcpcb.com/partdetail/"&amp;$W74,$W74))</f>
      </c>
      <c r="Y74" s="29">
        <v>10</v>
      </c>
      <c r="Z74" t="s" s="18">
        <v>188</v>
      </c>
      <c r="AA74" s="27"/>
      <c r="AB74" s="26"/>
      <c r="AC74" s="23"/>
      <c r="AD74" s="37"/>
      <c r="AE74" s="20"/>
    </row>
    <row r="75" ht="19" customHeight="1">
      <c r="B75" t="s" s="16">
        <f>E75&amp;"_"&amp;G75&amp;"_"&amp;J75</f>
        <v>692</v>
      </c>
      <c r="C75" t="s" s="17">
        <f>$G75&amp;IF($E75="LED"," LED","")&amp;IF($N75="",""," ")&amp;$N75&amp;IF($H75="",""," ")&amp;$H75&amp;IF($O75="",""," ")&amp;$O75&amp;IF($P75="",""," ")&amp;$P75&amp;IF($Q75="",""," ")&amp;$Q75&amp;IF($T75="",""," ")&amp;$T75&amp;IF($T75="","","mcd")</f>
        <v>693</v>
      </c>
      <c r="D75" t="s" s="17">
        <f>$G75&amp;" "&amp;E75&amp;IF($N75="",""," ")&amp;$N75&amp;IF($H75="",""," ")&amp;$H75&amp;IF($O75="",""," ")&amp;$O75&amp;IF($P75="",""," ")&amp;$P75&amp;IF($Q75="",""," ")&amp;$Q75&amp;IF($T75="",""," ")&amp;$T75&amp;IF($T75="","","mcd")</f>
        <v>694</v>
      </c>
      <c r="E75" t="s" s="18">
        <v>695</v>
      </c>
      <c r="F75" t="s" s="18">
        <v>178</v>
      </c>
      <c r="G75" t="s" s="18">
        <v>696</v>
      </c>
      <c r="H75" t="s" s="18">
        <v>697</v>
      </c>
      <c r="I75" t="s" s="30">
        <v>698</v>
      </c>
      <c r="J75" t="s" s="19">
        <v>699</v>
      </c>
      <c r="K75" s="18"/>
      <c r="L75" s="18"/>
      <c r="M75" s="19"/>
      <c r="N75" s="18"/>
      <c r="O75" t="s" s="18">
        <v>700</v>
      </c>
      <c r="P75" t="s" s="31">
        <v>701</v>
      </c>
      <c r="Q75" s="31"/>
      <c r="R75" s="31"/>
      <c r="S75" s="31"/>
      <c r="T75" s="18"/>
      <c r="U75" s="18"/>
      <c r="V75" s="26"/>
      <c r="W75" s="26"/>
      <c r="X75" t="s" s="21">
        <f>IF(ISBLANK(W75),"",HYPERLINK("https://jlcpcb.com/partdetail/"&amp;$W75,$W75))</f>
      </c>
      <c r="Y75" s="29">
        <v>10</v>
      </c>
      <c r="Z75" t="s" s="18">
        <v>188</v>
      </c>
      <c r="AA75" t="s" s="28">
        <v>702</v>
      </c>
      <c r="AB75" t="s" s="19">
        <v>703</v>
      </c>
      <c r="AC75" t="s" s="16">
        <v>704</v>
      </c>
      <c r="AD75" t="s" s="25">
        <v>705</v>
      </c>
      <c r="AE75" t="s" s="18">
        <v>706</v>
      </c>
    </row>
    <row r="76" ht="19" customHeight="1">
      <c r="B76" t="s" s="16">
        <f>E76&amp;"_"&amp;H76&amp;"_"&amp;P76&amp;"_"&amp;J77&amp;"_"&amp;G76</f>
        <v>707</v>
      </c>
      <c r="C76" t="s" s="17">
        <f>$G76&amp;IF($E76="LED"," LED","")&amp;IF($N76="",""," ")&amp;$N76&amp;IF($H76="",""," ")&amp;$H76&amp;IF($O76="",""," ")&amp;$O76&amp;IF($P76="",""," ")&amp;$P76&amp;IF($Q76="",""," ")&amp;$Q76&amp;IF($T76="",""," ")&amp;$T76&amp;IF($T76="","","mcd")</f>
        <v>708</v>
      </c>
      <c r="D76" t="s" s="17">
        <f>$G76&amp;" "&amp;E76&amp;IF($N76="",""," ")&amp;$N76&amp;IF($H76="",""," ")&amp;$H76&amp;IF($O76="",""," ")&amp;$O76&amp;IF($P76="",""," ")&amp;$P76&amp;IF($Q76="",""," ")&amp;$Q76&amp;IF($T76="",""," ")&amp;$T76&amp;IF($T76="","","mcd")</f>
        <v>709</v>
      </c>
      <c r="E76" t="s" s="18">
        <v>710</v>
      </c>
      <c r="F76" t="s" s="18">
        <v>5</v>
      </c>
      <c r="G76" t="s" s="31">
        <v>711</v>
      </c>
      <c r="H76" t="s" s="18">
        <v>712</v>
      </c>
      <c r="I76" t="s" s="30">
        <v>713</v>
      </c>
      <c r="J76" t="s" s="18">
        <v>425</v>
      </c>
      <c r="K76" s="18"/>
      <c r="L76" s="18"/>
      <c r="M76" s="18"/>
      <c r="N76" s="18"/>
      <c r="O76" t="s" s="18">
        <v>426</v>
      </c>
      <c r="P76" t="s" s="31">
        <v>714</v>
      </c>
      <c r="Q76" t="s" s="31">
        <v>715</v>
      </c>
      <c r="R76" s="31"/>
      <c r="S76" s="31"/>
      <c r="T76" s="18"/>
      <c r="U76" s="18"/>
      <c r="V76" s="38"/>
      <c r="W76" s="26"/>
      <c r="X76" t="s" s="21">
        <f>IF(ISBLANK(W76),"",HYPERLINK("https://jlcpcb.com/partdetail/"&amp;$W76,$W76))</f>
      </c>
      <c r="Y76" s="29">
        <v>10</v>
      </c>
      <c r="Z76" t="s" s="18">
        <v>188</v>
      </c>
      <c r="AA76" t="s" s="16">
        <v>716</v>
      </c>
      <c r="AB76" t="s" s="31">
        <v>711</v>
      </c>
      <c r="AC76" t="s" s="16">
        <v>717</v>
      </c>
      <c r="AD76" t="s" s="25">
        <v>431</v>
      </c>
      <c r="AE76" s="20"/>
    </row>
    <row r="77" ht="19" customHeight="1">
      <c r="B77" t="s" s="16">
        <f>E77&amp;"_"&amp;H77&amp;"_"&amp;P77&amp;"_"&amp;J78&amp;"_"&amp;G77</f>
        <v>718</v>
      </c>
      <c r="C77" t="s" s="17">
        <f>$G77&amp;IF($E77="LED"," LED","")&amp;IF($N77="",""," ")&amp;$N77&amp;IF($H77="",""," ")&amp;$H77&amp;IF($O77="",""," ")&amp;$O77&amp;IF($P77="",""," ")&amp;$P77&amp;IF($Q77="",""," ")&amp;$Q77&amp;IF($T77="",""," ")&amp;$T77&amp;IF($T77="","","mcd")</f>
        <v>719</v>
      </c>
      <c r="D77" t="s" s="17">
        <f>$G77&amp;" "&amp;E77&amp;IF($N77="",""," ")&amp;$N77&amp;IF($H77="",""," ")&amp;$H77&amp;IF($O77="",""," ")&amp;$O77&amp;IF($P77="",""," ")&amp;$P77&amp;IF($Q77="",""," ")&amp;$Q77&amp;IF($T77="",""," ")&amp;$T77&amp;IF($T77="","","mcd")</f>
        <v>720</v>
      </c>
      <c r="E77" t="s" s="18">
        <v>710</v>
      </c>
      <c r="F77" t="s" s="18">
        <v>5</v>
      </c>
      <c r="G77" t="s" s="31">
        <v>721</v>
      </c>
      <c r="H77" t="s" s="18">
        <v>712</v>
      </c>
      <c r="I77" t="s" s="30">
        <v>722</v>
      </c>
      <c r="J77" t="s" s="18">
        <v>425</v>
      </c>
      <c r="K77" s="18"/>
      <c r="L77" s="18"/>
      <c r="M77" s="18"/>
      <c r="N77" s="18"/>
      <c r="O77" t="s" s="18">
        <v>723</v>
      </c>
      <c r="P77" t="s" s="31">
        <v>724</v>
      </c>
      <c r="Q77" t="s" s="31">
        <v>411</v>
      </c>
      <c r="R77" s="31"/>
      <c r="S77" s="31"/>
      <c r="T77" s="18"/>
      <c r="U77" s="18"/>
      <c r="V77" t="s" s="19">
        <v>185</v>
      </c>
      <c r="W77" t="s" s="19">
        <v>725</v>
      </c>
      <c r="X77" t="s" s="21">
        <f>IF(ISBLANK(W77),"",HYPERLINK("https://jlcpcb.com/partdetail/"&amp;$W77,$W77))</f>
        <v>726</v>
      </c>
      <c r="Y77" s="29">
        <v>1</v>
      </c>
      <c r="Z77" t="s" s="18">
        <v>188</v>
      </c>
      <c r="AA77" t="s" s="16">
        <v>429</v>
      </c>
      <c r="AB77" t="s" s="31">
        <v>721</v>
      </c>
      <c r="AC77" t="s" s="16">
        <v>717</v>
      </c>
      <c r="AD77" t="s" s="25">
        <v>431</v>
      </c>
      <c r="AE77" t="s" s="18">
        <v>727</v>
      </c>
    </row>
    <row r="78" ht="19" customHeight="1">
      <c r="B78" t="s" s="16">
        <f>E78&amp;"_"&amp;H78&amp;"_"&amp;P78&amp;"_"&amp;J79&amp;"_"&amp;G78</f>
        <v>728</v>
      </c>
      <c r="C78" t="s" s="17">
        <f>$G78&amp;IF($E78="LED"," LED","")&amp;IF($N78="",""," ")&amp;$N78&amp;IF($H78="",""," ")&amp;$H78&amp;IF($O78="",""," ")&amp;$O78&amp;IF($P78="",""," ")&amp;$P78&amp;IF($Q78="",""," ")&amp;$Q78&amp;IF($T78="",""," ")&amp;$T78&amp;IF($T78="","","mcd")</f>
        <v>729</v>
      </c>
      <c r="D78" t="s" s="17">
        <f>$G78&amp;" "&amp;E78&amp;IF($N78="",""," ")&amp;$N78&amp;IF($H78="",""," ")&amp;$H78&amp;IF($O78="",""," ")&amp;$O78&amp;IF($P78="",""," ")&amp;$P78&amp;IF($Q78="",""," ")&amp;$Q78&amp;IF($T78="",""," ")&amp;$T78&amp;IF($T78="","","mcd")</f>
        <v>730</v>
      </c>
      <c r="E78" t="s" s="18">
        <v>710</v>
      </c>
      <c r="F78" t="s" s="18">
        <v>5</v>
      </c>
      <c r="G78" t="s" s="31">
        <v>731</v>
      </c>
      <c r="H78" t="s" s="18">
        <v>732</v>
      </c>
      <c r="I78" t="s" s="30">
        <v>733</v>
      </c>
      <c r="J78" t="s" s="31">
        <v>425</v>
      </c>
      <c r="K78" s="18"/>
      <c r="L78" s="18"/>
      <c r="M78" s="18"/>
      <c r="N78" s="18"/>
      <c r="O78" t="s" s="18">
        <v>734</v>
      </c>
      <c r="P78" t="s" s="18">
        <v>735</v>
      </c>
      <c r="Q78" t="s" s="18">
        <v>715</v>
      </c>
      <c r="R78" s="18"/>
      <c r="S78" s="18"/>
      <c r="T78" s="18"/>
      <c r="U78" s="18"/>
      <c r="V78" t="s" s="19">
        <v>185</v>
      </c>
      <c r="W78" t="s" s="19">
        <v>736</v>
      </c>
      <c r="X78" t="s" s="21">
        <f>IF(ISBLANK(W78),"",HYPERLINK("https://jlcpcb.com/partdetail/"&amp;$W78,$W78))</f>
        <v>737</v>
      </c>
      <c r="Y78" s="29">
        <v>1</v>
      </c>
      <c r="Z78" t="s" s="18">
        <v>188</v>
      </c>
      <c r="AA78" t="s" s="16">
        <v>429</v>
      </c>
      <c r="AB78" t="s" s="31">
        <v>738</v>
      </c>
      <c r="AC78" t="s" s="16">
        <v>739</v>
      </c>
      <c r="AD78" t="s" s="25">
        <v>431</v>
      </c>
      <c r="AE78" t="s" s="18">
        <v>740</v>
      </c>
    </row>
    <row r="79" ht="19" customHeight="1">
      <c r="B79" t="s" s="16">
        <f>E79&amp;"_"&amp;H79&amp;"_"&amp;P79&amp;"_"&amp;J80&amp;"_"&amp;G79</f>
        <v>741</v>
      </c>
      <c r="C79" t="s" s="17">
        <f>$G79&amp;IF($E79="LED"," LED","")&amp;IF($N79="",""," ")&amp;$N79&amp;IF($H79="",""," ")&amp;$H79&amp;IF($O79="",""," ")&amp;$O79&amp;IF($P79="",""," ")&amp;$P79&amp;IF($Q79="",""," ")&amp;$Q79&amp;IF($T79="",""," ")&amp;$T79&amp;IF($T79="","","mcd")</f>
        <v>742</v>
      </c>
      <c r="D79" t="s" s="17">
        <f>$G79&amp;" "&amp;E79&amp;IF($N79="",""," ")&amp;$N79&amp;IF($H79="",""," ")&amp;$H79&amp;IF($O79="",""," ")&amp;$O79&amp;IF($P79="",""," ")&amp;$P79&amp;IF($Q79="",""," ")&amp;$Q79&amp;IF($T79="",""," ")&amp;$T79&amp;IF($T79="","","mcd")</f>
        <v>743</v>
      </c>
      <c r="E79" t="s" s="18">
        <v>710</v>
      </c>
      <c r="F79" t="s" s="18">
        <v>5</v>
      </c>
      <c r="G79" t="s" s="18">
        <v>744</v>
      </c>
      <c r="H79" t="s" s="18">
        <v>745</v>
      </c>
      <c r="I79" t="s" s="19">
        <v>746</v>
      </c>
      <c r="J79" t="s" s="18">
        <v>425</v>
      </c>
      <c r="K79" s="18"/>
      <c r="L79" s="18"/>
      <c r="M79" s="18"/>
      <c r="N79" s="18"/>
      <c r="O79" t="s" s="18">
        <v>747</v>
      </c>
      <c r="P79" t="s" s="18">
        <v>748</v>
      </c>
      <c r="Q79" s="18"/>
      <c r="R79" s="18"/>
      <c r="S79" s="18"/>
      <c r="T79" s="18"/>
      <c r="U79" s="18"/>
      <c r="V79" t="s" s="19">
        <v>185</v>
      </c>
      <c r="W79" t="s" s="19">
        <v>749</v>
      </c>
      <c r="X79" t="s" s="21">
        <f>IF(ISBLANK(W79),"",HYPERLINK("https://jlcpcb.com/partdetail/"&amp;$W79,$W79))</f>
        <v>750</v>
      </c>
      <c r="Y79" s="29">
        <v>1</v>
      </c>
      <c r="Z79" t="s" s="18">
        <v>188</v>
      </c>
      <c r="AA79" t="s" s="16">
        <v>751</v>
      </c>
      <c r="AB79" t="s" s="18">
        <v>744</v>
      </c>
      <c r="AC79" t="s" s="24">
        <v>752</v>
      </c>
      <c r="AD79" t="s" s="25">
        <v>431</v>
      </c>
      <c r="AE79" t="s" s="18">
        <v>753</v>
      </c>
    </row>
    <row r="80" ht="19" customHeight="1">
      <c r="B80" t="s" s="16">
        <f>E80&amp;"_"&amp;H80&amp;"_"&amp;P80&amp;"_"&amp;J81&amp;"_"&amp;G80</f>
        <v>754</v>
      </c>
      <c r="C80" t="s" s="17">
        <f>$G80&amp;IF($E80="LED"," LED","")&amp;IF($N80="",""," ")&amp;$N80&amp;IF($H80="",""," ")&amp;$H80&amp;IF($O80="",""," ")&amp;$O80&amp;IF($P80="",""," ")&amp;$P80&amp;IF($Q80="",""," ")&amp;$Q80&amp;IF($T80="",""," ")&amp;$T80&amp;IF($T80="","","mcd")</f>
        <v>755</v>
      </c>
      <c r="D80" t="s" s="17">
        <f>$G80&amp;" "&amp;E80&amp;IF($N80="",""," ")&amp;$N80&amp;IF($H80="",""," ")&amp;$H80&amp;IF($O80="",""," ")&amp;$O80&amp;IF($P80="",""," ")&amp;$P80&amp;IF($Q80="",""," ")&amp;$Q80&amp;IF($T80="",""," ")&amp;$T80&amp;IF($T80="","","mcd")</f>
        <v>756</v>
      </c>
      <c r="E80" t="s" s="18">
        <v>710</v>
      </c>
      <c r="F80" t="s" s="18">
        <v>5</v>
      </c>
      <c r="G80" t="s" s="18">
        <v>757</v>
      </c>
      <c r="H80" t="s" s="18">
        <v>745</v>
      </c>
      <c r="I80" t="s" s="19">
        <v>758</v>
      </c>
      <c r="J80" t="s" s="18">
        <v>759</v>
      </c>
      <c r="K80" s="18"/>
      <c r="L80" s="18"/>
      <c r="M80" s="18"/>
      <c r="N80" s="18"/>
      <c r="O80" t="s" s="18">
        <v>760</v>
      </c>
      <c r="P80" t="s" s="18">
        <v>761</v>
      </c>
      <c r="Q80" s="18"/>
      <c r="R80" s="18"/>
      <c r="S80" s="18"/>
      <c r="T80" s="18"/>
      <c r="U80" s="18"/>
      <c r="V80" t="s" s="19">
        <v>185</v>
      </c>
      <c r="W80" t="s" s="19">
        <v>762</v>
      </c>
      <c r="X80" t="s" s="21">
        <f>IF(ISBLANK(W80),"",HYPERLINK("https://jlcpcb.com/partdetail/"&amp;$W80,$W80))</f>
        <v>763</v>
      </c>
      <c r="Y80" s="29">
        <v>1</v>
      </c>
      <c r="Z80" t="s" s="18">
        <v>188</v>
      </c>
      <c r="AA80" t="s" s="16">
        <v>764</v>
      </c>
      <c r="AB80" t="s" s="18">
        <v>765</v>
      </c>
      <c r="AC80" t="s" s="24">
        <v>766</v>
      </c>
      <c r="AD80" t="s" s="25">
        <v>767</v>
      </c>
      <c r="AE80" t="s" s="18">
        <v>768</v>
      </c>
    </row>
    <row r="81" ht="19" customHeight="1">
      <c r="B81" t="s" s="16">
        <f>E81&amp;"_"&amp;H81&amp;"_"&amp;P81&amp;"_"&amp;J82&amp;"_"&amp;G81</f>
        <v>769</v>
      </c>
      <c r="C81" t="s" s="17">
        <f>$G81&amp;IF($E81="LED"," LED","")&amp;IF($N81="",""," ")&amp;$N81&amp;IF($H81="",""," ")&amp;$H81&amp;IF($O81="",""," ")&amp;$O81&amp;IF($P81="",""," ")&amp;$P81&amp;IF($Q81="",""," ")&amp;$Q81&amp;IF($T81="",""," ")&amp;$T81&amp;IF($T81="","","mcd")</f>
        <v>770</v>
      </c>
      <c r="D81" t="s" s="17">
        <f>$G81&amp;" "&amp;E81&amp;IF($N81="",""," ")&amp;$N81&amp;IF($H81="",""," ")&amp;$H81&amp;IF($O81="",""," ")&amp;$O81&amp;IF($P81="",""," ")&amp;$P81&amp;IF($Q81="",""," ")&amp;$Q81&amp;IF($T81="",""," ")&amp;$T81&amp;IF($T81="","","mcd")</f>
        <v>771</v>
      </c>
      <c r="E81" t="s" s="18">
        <v>710</v>
      </c>
      <c r="F81" t="s" s="18">
        <v>5</v>
      </c>
      <c r="G81" t="s" s="31">
        <v>772</v>
      </c>
      <c r="H81" t="s" s="18">
        <v>773</v>
      </c>
      <c r="I81" t="s" s="30">
        <v>774</v>
      </c>
      <c r="J81" t="s" s="18">
        <v>425</v>
      </c>
      <c r="K81" s="18"/>
      <c r="L81" s="18"/>
      <c r="M81" s="18"/>
      <c r="N81" s="18"/>
      <c r="O81" t="s" s="18">
        <v>775</v>
      </c>
      <c r="P81" t="s" s="18">
        <v>776</v>
      </c>
      <c r="Q81" s="18"/>
      <c r="R81" s="18"/>
      <c r="S81" s="18"/>
      <c r="T81" s="18"/>
      <c r="U81" s="18"/>
      <c r="V81" t="s" s="19">
        <v>185</v>
      </c>
      <c r="W81" t="s" s="19">
        <v>777</v>
      </c>
      <c r="X81" t="s" s="21">
        <f>IF(ISBLANK(W81),"",HYPERLINK("https://jlcpcb.com/partdetail/"&amp;$W81,$W81))</f>
        <v>778</v>
      </c>
      <c r="Y81" s="29">
        <v>1</v>
      </c>
      <c r="Z81" t="s" s="18">
        <v>188</v>
      </c>
      <c r="AA81" t="s" s="32">
        <v>779</v>
      </c>
      <c r="AB81" t="s" s="31">
        <v>772</v>
      </c>
      <c r="AC81" t="s" s="16">
        <v>780</v>
      </c>
      <c r="AD81" t="s" s="25">
        <v>431</v>
      </c>
      <c r="AE81" t="s" s="18">
        <v>781</v>
      </c>
    </row>
    <row r="82" ht="18.9" customHeight="1">
      <c r="B82" t="s" s="16">
        <f>E82&amp;"_"&amp;N82&amp;"_"&amp;Q82&amp;"_"&amp;J82&amp;"_"&amp;G82</f>
        <v>782</v>
      </c>
      <c r="C82" t="s" s="17">
        <f>$G82&amp;IF($E82="LED"," LED","")&amp;IF($N82="",""," ")&amp;$N82&amp;IF($H82="",""," ")&amp;$H82&amp;IF($O82="",""," ")&amp;$O82&amp;IF($P82="",""," ")&amp;$P82&amp;IF($Q82="",""," ")&amp;$Q82&amp;IF($T82="",""," ")&amp;$T82&amp;IF($T82="","","mcd")</f>
        <v>783</v>
      </c>
      <c r="D82" t="s" s="17">
        <f>$G82&amp;" "&amp;E82&amp;IF($N82="",""," ")&amp;$N82&amp;IF($H82="",""," ")&amp;$H82&amp;IF($O82="",""," ")&amp;$O82&amp;IF($P82="",""," ")&amp;$P82&amp;IF($Q82="",""," ")&amp;$Q82&amp;IF($T82="",""," ")&amp;$T82&amp;IF($T82="","","mcd")</f>
        <v>784</v>
      </c>
      <c r="E82" t="s" s="18">
        <v>785</v>
      </c>
      <c r="F82" t="s" s="18">
        <v>5</v>
      </c>
      <c r="G82" t="s" s="18">
        <v>786</v>
      </c>
      <c r="H82" t="s" s="18">
        <v>787</v>
      </c>
      <c r="I82" t="s" s="19">
        <v>788</v>
      </c>
      <c r="J82" t="s" s="18">
        <v>311</v>
      </c>
      <c r="K82" s="18"/>
      <c r="L82" s="18"/>
      <c r="M82" s="18"/>
      <c r="N82" t="s" s="18">
        <v>789</v>
      </c>
      <c r="O82" t="s" s="18">
        <v>790</v>
      </c>
      <c r="P82" s="18"/>
      <c r="Q82" t="s" s="18">
        <v>791</v>
      </c>
      <c r="R82" s="18"/>
      <c r="S82" s="18"/>
      <c r="T82" s="18"/>
      <c r="U82" s="18"/>
      <c r="V82" t="s" s="19">
        <v>185</v>
      </c>
      <c r="W82" t="s" s="19">
        <v>792</v>
      </c>
      <c r="X82" t="s" s="21">
        <f>IF(ISBLANK(W82),"",HYPERLINK("https://jlcpcb.com/partdetail/"&amp;$W82,$W82))</f>
        <v>793</v>
      </c>
      <c r="Y82" s="29">
        <v>1</v>
      </c>
      <c r="Z82" t="s" s="18">
        <v>316</v>
      </c>
      <c r="AA82" t="s" s="16">
        <v>794</v>
      </c>
      <c r="AB82" t="s" s="18">
        <v>795</v>
      </c>
      <c r="AC82" t="s" s="24">
        <v>796</v>
      </c>
      <c r="AD82" t="s" s="25">
        <v>797</v>
      </c>
      <c r="AE82" t="s" s="18">
        <v>798</v>
      </c>
    </row>
    <row r="83" ht="18.9" customHeight="1">
      <c r="B83" t="s" s="39">
        <f>E83&amp;"_"&amp;N83&amp;"_"&amp;Q83&amp;"_"&amp;J83&amp;"_"&amp;G83</f>
        <v>799</v>
      </c>
      <c r="C83" t="s" s="17">
        <f>$G83&amp;IF($E83="LED"," LED","")&amp;IF($N83="",""," ")&amp;$N83&amp;IF($H83="",""," ")&amp;$H83&amp;IF($O83="",""," ")&amp;$O83&amp;IF($P83="",""," ")&amp;$P83&amp;IF($Q83="",""," ")&amp;$Q83&amp;IF($T83="",""," ")&amp;$T83&amp;IF($T83="","","mcd")</f>
        <v>800</v>
      </c>
      <c r="D83" t="s" s="17">
        <f>$G83&amp;" "&amp;E83&amp;IF($N83="",""," ")&amp;$N83&amp;IF($H83="",""," ")&amp;$H83&amp;IF($O83="",""," ")&amp;$O83&amp;IF($P83="",""," ")&amp;$P83&amp;IF($Q83="",""," ")&amp;$Q83&amp;IF($T83="",""," ")&amp;$T83&amp;IF($T83="","","mcd")</f>
        <v>801</v>
      </c>
      <c r="E83" t="s" s="18">
        <v>785</v>
      </c>
      <c r="F83" t="s" s="18">
        <v>5</v>
      </c>
      <c r="G83" t="s" s="18">
        <v>802</v>
      </c>
      <c r="H83" t="s" s="18">
        <v>787</v>
      </c>
      <c r="I83" t="s" s="19">
        <v>803</v>
      </c>
      <c r="J83" t="s" s="18">
        <v>311</v>
      </c>
      <c r="K83" s="18"/>
      <c r="L83" s="18"/>
      <c r="M83" s="18"/>
      <c r="N83" t="s" s="18">
        <v>804</v>
      </c>
      <c r="O83" t="s" s="18">
        <v>805</v>
      </c>
      <c r="P83" s="18"/>
      <c r="Q83" t="s" s="18">
        <v>791</v>
      </c>
      <c r="R83" s="18"/>
      <c r="S83" s="18"/>
      <c r="T83" s="18"/>
      <c r="U83" s="18"/>
      <c r="V83" t="s" s="19">
        <v>185</v>
      </c>
      <c r="W83" t="s" s="19">
        <v>806</v>
      </c>
      <c r="X83" t="s" s="21">
        <f>IF(ISBLANK(W83),"",HYPERLINK("https://jlcpcb.com/partdetail/"&amp;$W83,$W83))</f>
        <v>807</v>
      </c>
      <c r="Y83" s="29">
        <v>2</v>
      </c>
      <c r="Z83" t="s" s="18">
        <v>316</v>
      </c>
      <c r="AA83" t="s" s="16">
        <v>317</v>
      </c>
      <c r="AB83" t="s" s="18">
        <v>808</v>
      </c>
      <c r="AC83" t="s" s="24">
        <v>796</v>
      </c>
      <c r="AD83" t="s" s="25">
        <v>797</v>
      </c>
      <c r="AE83" t="s" s="18">
        <v>809</v>
      </c>
    </row>
    <row r="84" ht="18.9" customHeight="1">
      <c r="B84" t="s" s="39">
        <f>E84&amp;"_"&amp;N84&amp;"_"&amp;Q84&amp;"_"&amp;J84&amp;"_"&amp;G84</f>
        <v>810</v>
      </c>
      <c r="C84" t="s" s="17">
        <f>$G84&amp;IF($E84="LED"," LED","")&amp;IF($N84="",""," ")&amp;$N84&amp;IF($H84="",""," ")&amp;$H84&amp;IF($O84="",""," ")&amp;$O84&amp;IF($P84="",""," ")&amp;$P84&amp;IF($Q84="",""," ")&amp;$Q84&amp;IF($T84="",""," ")&amp;$T84&amp;IF($T84="","","mcd")</f>
        <v>811</v>
      </c>
      <c r="D84" t="s" s="17">
        <f>$G84&amp;" "&amp;E84&amp;IF($N84="",""," ")&amp;$N84&amp;IF($H84="",""," ")&amp;$H84&amp;IF($O84="",""," ")&amp;$O84&amp;IF($P84="",""," ")&amp;$P84&amp;IF($Q84="",""," ")&amp;$Q84&amp;IF($T84="",""," ")&amp;$T84&amp;IF($T84="","","mcd")</f>
        <v>812</v>
      </c>
      <c r="E84" t="s" s="18">
        <v>785</v>
      </c>
      <c r="F84" t="s" s="18">
        <v>5</v>
      </c>
      <c r="G84" t="s" s="18">
        <v>802</v>
      </c>
      <c r="H84" t="s" s="18">
        <v>787</v>
      </c>
      <c r="I84" t="s" s="19">
        <v>813</v>
      </c>
      <c r="J84" t="s" s="18">
        <v>311</v>
      </c>
      <c r="K84" s="18"/>
      <c r="L84" s="18"/>
      <c r="M84" s="18"/>
      <c r="N84" t="s" s="18">
        <v>789</v>
      </c>
      <c r="O84" t="s" s="18">
        <v>790</v>
      </c>
      <c r="P84" s="18"/>
      <c r="Q84" t="s" s="18">
        <v>791</v>
      </c>
      <c r="R84" s="18"/>
      <c r="S84" s="18"/>
      <c r="T84" s="18"/>
      <c r="U84" s="18"/>
      <c r="V84" t="s" s="19">
        <v>185</v>
      </c>
      <c r="W84" t="s" s="19">
        <v>814</v>
      </c>
      <c r="X84" t="s" s="21">
        <f>IF(ISBLANK(W84),"",HYPERLINK("https://jlcpcb.com/partdetail/"&amp;$W84,$W84))</f>
        <v>815</v>
      </c>
      <c r="Y84" s="29">
        <v>3</v>
      </c>
      <c r="Z84" t="s" s="18">
        <v>188</v>
      </c>
      <c r="AA84" t="s" s="16">
        <v>816</v>
      </c>
      <c r="AB84" t="s" s="18">
        <v>817</v>
      </c>
      <c r="AC84" t="s" s="34">
        <v>796</v>
      </c>
      <c r="AD84" t="s" s="25">
        <v>797</v>
      </c>
      <c r="AE84" t="s" s="18">
        <v>818</v>
      </c>
    </row>
    <row r="85" ht="18.9" customHeight="1">
      <c r="B85" t="s" s="39">
        <f>E85&amp;"_"&amp;N85&amp;"_"&amp;Q85&amp;"_"&amp;J85&amp;"_"&amp;G85</f>
        <v>819</v>
      </c>
      <c r="C85" t="s" s="17">
        <f>$G85&amp;IF($E85="LED"," LED","")&amp;IF($N85="",""," ")&amp;$N85&amp;IF($H85="",""," ")&amp;$H85&amp;IF($O85="",""," ")&amp;$O85&amp;IF($P85="",""," ")&amp;$P85&amp;IF($Q85="",""," ")&amp;$Q85&amp;IF($T85="",""," ")&amp;$T85&amp;IF($T85="","","mcd")</f>
        <v>820</v>
      </c>
      <c r="D85" t="s" s="17">
        <f>$G85&amp;" "&amp;E85&amp;IF($N85="",""," ")&amp;$N85&amp;IF($H85="",""," ")&amp;$H85&amp;IF($O85="",""," ")&amp;$O85&amp;IF($P85="",""," ")&amp;$P85&amp;IF($Q85="",""," ")&amp;$Q85&amp;IF($T85="",""," ")&amp;$T85&amp;IF($T85="","","mcd")</f>
        <v>821</v>
      </c>
      <c r="E85" t="s" s="18">
        <v>785</v>
      </c>
      <c r="F85" t="s" s="18">
        <v>5</v>
      </c>
      <c r="G85" t="s" s="18">
        <v>624</v>
      </c>
      <c r="H85" t="s" s="18">
        <v>787</v>
      </c>
      <c r="I85" t="s" s="19">
        <v>822</v>
      </c>
      <c r="J85" t="s" s="18">
        <v>311</v>
      </c>
      <c r="K85" s="18"/>
      <c r="L85" s="18"/>
      <c r="M85" s="18"/>
      <c r="N85" t="s" s="18">
        <v>789</v>
      </c>
      <c r="O85" t="s" s="18">
        <v>790</v>
      </c>
      <c r="P85" s="18"/>
      <c r="Q85" t="s" s="18">
        <v>791</v>
      </c>
      <c r="R85" s="18"/>
      <c r="S85" s="18"/>
      <c r="T85" s="18"/>
      <c r="U85" s="18"/>
      <c r="V85" t="s" s="19">
        <v>185</v>
      </c>
      <c r="W85" t="s" s="19">
        <v>823</v>
      </c>
      <c r="X85" t="s" s="21">
        <f>IF(ISBLANK(W85),"",HYPERLINK("https://jlcpcb.com/partdetail/"&amp;$W85,$W85))</f>
        <v>824</v>
      </c>
      <c r="Y85" s="29">
        <v>1</v>
      </c>
      <c r="Z85" t="s" s="18">
        <v>188</v>
      </c>
      <c r="AA85" t="s" s="16">
        <v>816</v>
      </c>
      <c r="AB85" t="s" s="18">
        <v>825</v>
      </c>
      <c r="AC85" t="s" s="34">
        <v>796</v>
      </c>
      <c r="AD85" t="s" s="25">
        <v>797</v>
      </c>
      <c r="AE85" t="s" s="18">
        <v>826</v>
      </c>
    </row>
    <row r="86" ht="18.9" customHeight="1">
      <c r="B86" t="s" s="39">
        <f>E86&amp;"_"&amp;N86&amp;"_"&amp;Q86&amp;"_"&amp;J86&amp;"_"&amp;G86</f>
        <v>827</v>
      </c>
      <c r="C86" t="s" s="17">
        <f>$G86&amp;IF($E86="LED"," LED","")&amp;IF($N86="",""," ")&amp;$N86&amp;IF($H86="",""," ")&amp;$H86&amp;IF($O86="",""," ")&amp;$O86&amp;IF($P86="",""," ")&amp;$P86&amp;IF($Q86="",""," ")&amp;$Q86&amp;IF($T86="",""," ")&amp;$T86&amp;IF($T86="","","mcd")</f>
        <v>828</v>
      </c>
      <c r="D86" t="s" s="17">
        <f>$G86&amp;" "&amp;E86&amp;IF($N86="",""," ")&amp;$N86&amp;IF($H86="",""," ")&amp;$H86&amp;IF($O86="",""," ")&amp;$O86&amp;IF($P86="",""," ")&amp;$P86&amp;IF($Q86="",""," ")&amp;$Q86&amp;IF($T86="",""," ")&amp;$T86&amp;IF($T86="","","mcd")</f>
        <v>829</v>
      </c>
      <c r="E86" t="s" s="18">
        <v>785</v>
      </c>
      <c r="F86" t="s" s="18">
        <v>5</v>
      </c>
      <c r="G86" t="s" s="18">
        <v>830</v>
      </c>
      <c r="H86" t="s" s="18">
        <v>787</v>
      </c>
      <c r="I86" t="s" s="19">
        <v>831</v>
      </c>
      <c r="J86" t="s" s="18">
        <v>311</v>
      </c>
      <c r="K86" s="18"/>
      <c r="L86" s="18"/>
      <c r="M86" s="18"/>
      <c r="N86" t="s" s="18">
        <v>789</v>
      </c>
      <c r="O86" t="s" s="18">
        <v>790</v>
      </c>
      <c r="P86" s="18"/>
      <c r="Q86" t="s" s="18">
        <v>791</v>
      </c>
      <c r="R86" s="18"/>
      <c r="S86" s="18"/>
      <c r="T86" s="18"/>
      <c r="U86" s="18"/>
      <c r="V86" t="s" s="19">
        <v>185</v>
      </c>
      <c r="W86" t="s" s="19">
        <v>832</v>
      </c>
      <c r="X86" t="s" s="21">
        <f>IF(ISBLANK(W86),"",HYPERLINK("https://jlcpcb.com/partdetail/"&amp;$W86,$W86))</f>
        <v>833</v>
      </c>
      <c r="Y86" s="29">
        <v>1</v>
      </c>
      <c r="Z86" t="s" s="18">
        <v>188</v>
      </c>
      <c r="AA86" t="s" s="16">
        <v>816</v>
      </c>
      <c r="AB86" t="s" s="18">
        <v>834</v>
      </c>
      <c r="AC86" t="s" s="34">
        <v>796</v>
      </c>
      <c r="AD86" t="s" s="25">
        <v>797</v>
      </c>
      <c r="AE86" t="s" s="18">
        <v>835</v>
      </c>
    </row>
    <row r="87" ht="18.4" customHeight="1">
      <c r="B87" t="s" s="39">
        <f>E87&amp;"_"&amp;N87&amp;"_"&amp;Q87&amp;"_"&amp;J87&amp;"_"&amp;G87</f>
        <v>836</v>
      </c>
      <c r="C87" t="s" s="17">
        <f>$G87&amp;IF($E87="LED"," LED","")&amp;IF($N87="",""," ")&amp;$N87&amp;IF($H87="",""," ")&amp;$H87&amp;IF($O87="",""," ")&amp;$O87&amp;IF($P87="",""," ")&amp;$P87&amp;IF($Q87="",""," ")&amp;$Q87&amp;IF($T87="",""," ")&amp;$T87&amp;IF($T87="","","mcd")</f>
        <v>837</v>
      </c>
      <c r="D87" t="s" s="17">
        <f>$G87&amp;" "&amp;E87&amp;IF($N87="",""," ")&amp;$N87&amp;IF($H87="",""," ")&amp;$H87&amp;IF($O87="",""," ")&amp;$O87&amp;IF($P87="",""," ")&amp;$P87&amp;IF($Q87="",""," ")&amp;$Q87&amp;IF($T87="",""," ")&amp;$T87&amp;IF($T87="","","mcd")</f>
        <v>838</v>
      </c>
      <c r="E87" t="s" s="18">
        <v>785</v>
      </c>
      <c r="F87" t="s" s="18">
        <v>5</v>
      </c>
      <c r="G87" t="s" s="18">
        <v>839</v>
      </c>
      <c r="H87" t="s" s="18">
        <v>787</v>
      </c>
      <c r="I87" t="s" s="19">
        <v>840</v>
      </c>
      <c r="J87" t="s" s="18">
        <v>311</v>
      </c>
      <c r="K87" s="18"/>
      <c r="L87" s="18"/>
      <c r="M87" s="18"/>
      <c r="N87" t="s" s="18">
        <v>789</v>
      </c>
      <c r="O87" t="s" s="18">
        <v>790</v>
      </c>
      <c r="P87" s="18"/>
      <c r="Q87" t="s" s="18">
        <v>791</v>
      </c>
      <c r="R87" s="18"/>
      <c r="S87" s="18"/>
      <c r="T87" s="18"/>
      <c r="U87" s="18"/>
      <c r="V87" t="s" s="19">
        <v>185</v>
      </c>
      <c r="W87" t="s" s="19">
        <v>841</v>
      </c>
      <c r="X87" t="s" s="21">
        <f>IF(ISBLANK(W87),"",HYPERLINK("https://jlcpcb.com/partdetail/"&amp;$W87,$W87))</f>
        <v>842</v>
      </c>
      <c r="Y87" s="29">
        <v>1</v>
      </c>
      <c r="Z87" t="s" s="18">
        <v>188</v>
      </c>
      <c r="AA87" t="s" s="16">
        <v>816</v>
      </c>
      <c r="AB87" t="s" s="18">
        <v>843</v>
      </c>
      <c r="AC87" t="s" s="24">
        <v>796</v>
      </c>
      <c r="AD87" t="s" s="25">
        <v>797</v>
      </c>
      <c r="AE87" t="s" s="18">
        <v>844</v>
      </c>
    </row>
    <row r="88" ht="19.3" customHeight="1">
      <c r="B88" t="s" s="39">
        <f>E88&amp;"_"&amp;N88&amp;"_"&amp;Q88&amp;"_"&amp;J88&amp;"_"&amp;G88</f>
        <v>845</v>
      </c>
      <c r="C88" t="s" s="17">
        <f>$G88&amp;IF($E88="LED"," LED","")&amp;IF($N88="",""," ")&amp;$N88&amp;IF($H88="",""," ")&amp;$H88&amp;IF($O88="",""," ")&amp;$O88&amp;IF($P88="",""," ")&amp;$P88&amp;IF($Q88="",""," ")&amp;$Q88&amp;IF($T88="",""," ")&amp;$T88&amp;IF($T88="","","mcd")</f>
        <v>846</v>
      </c>
      <c r="D88" t="s" s="17">
        <f>$G88&amp;" "&amp;E88&amp;IF($N88="",""," ")&amp;$N88&amp;IF($H88="",""," ")&amp;$H88&amp;IF($O88="",""," ")&amp;$O88&amp;IF($P88="",""," ")&amp;$P88&amp;IF($Q88="",""," ")&amp;$Q88&amp;IF($T88="",""," ")&amp;$T88&amp;IF($T88="","","mcd")</f>
        <v>847</v>
      </c>
      <c r="E88" t="s" s="18">
        <v>785</v>
      </c>
      <c r="F88" t="s" s="18">
        <v>5</v>
      </c>
      <c r="G88" t="s" s="18">
        <v>848</v>
      </c>
      <c r="H88" t="s" s="18">
        <v>787</v>
      </c>
      <c r="I88" t="s" s="19">
        <v>849</v>
      </c>
      <c r="J88" t="s" s="18">
        <v>311</v>
      </c>
      <c r="K88" s="18"/>
      <c r="L88" s="18"/>
      <c r="M88" s="18"/>
      <c r="N88" t="s" s="18">
        <v>789</v>
      </c>
      <c r="O88" t="s" s="18">
        <v>790</v>
      </c>
      <c r="P88" s="18"/>
      <c r="Q88" t="s" s="18">
        <v>791</v>
      </c>
      <c r="R88" s="18"/>
      <c r="S88" s="18"/>
      <c r="T88" s="18"/>
      <c r="U88" s="18"/>
      <c r="V88" t="s" s="19">
        <v>185</v>
      </c>
      <c r="W88" t="s" s="19">
        <v>850</v>
      </c>
      <c r="X88" t="s" s="21">
        <f>IF(ISBLANK(W88),"",HYPERLINK("https://jlcpcb.com/partdetail/"&amp;$W88,$W88))</f>
        <v>851</v>
      </c>
      <c r="Y88" s="29">
        <v>1</v>
      </c>
      <c r="Z88" t="s" s="18">
        <v>188</v>
      </c>
      <c r="AA88" t="s" s="16">
        <v>816</v>
      </c>
      <c r="AB88" t="s" s="16">
        <v>852</v>
      </c>
      <c r="AC88" t="s" s="34">
        <v>796</v>
      </c>
      <c r="AD88" t="s" s="25">
        <v>797</v>
      </c>
      <c r="AE88" t="s" s="18">
        <v>853</v>
      </c>
    </row>
    <row r="89" ht="18.9" customHeight="1">
      <c r="B89" t="s" s="39">
        <f>E89&amp;"_"&amp;N89&amp;"_"&amp;Q89&amp;"_"&amp;J89&amp;"_"&amp;G89</f>
        <v>854</v>
      </c>
      <c r="C89" t="s" s="17">
        <f>$G89&amp;IF($E89="LED"," LED","")&amp;IF($N89="",""," ")&amp;$N89&amp;IF($H89="",""," ")&amp;$H89&amp;IF($O89="",""," ")&amp;$O89&amp;IF($P89="",""," ")&amp;$P89&amp;IF($Q89="",""," ")&amp;$Q89&amp;IF($T89="",""," ")&amp;$T89&amp;IF($T89="","","mcd")</f>
        <v>855</v>
      </c>
      <c r="D89" t="s" s="17">
        <f>$G89&amp;" "&amp;E89&amp;IF($N89="",""," ")&amp;$N89&amp;IF($H89="",""," ")&amp;$H89&amp;IF($O89="",""," ")&amp;$O89&amp;IF($P89="",""," ")&amp;$P89&amp;IF($Q89="",""," ")&amp;$Q89&amp;IF($T89="",""," ")&amp;$T89&amp;IF($T89="","","mcd")</f>
        <v>856</v>
      </c>
      <c r="E89" t="s" s="18">
        <v>785</v>
      </c>
      <c r="F89" t="s" s="18">
        <v>5</v>
      </c>
      <c r="G89" t="s" s="18">
        <v>857</v>
      </c>
      <c r="H89" t="s" s="18">
        <v>787</v>
      </c>
      <c r="I89" t="s" s="19">
        <v>858</v>
      </c>
      <c r="J89" t="s" s="18">
        <v>311</v>
      </c>
      <c r="K89" s="18"/>
      <c r="L89" s="18"/>
      <c r="M89" s="18"/>
      <c r="N89" t="s" s="18">
        <v>804</v>
      </c>
      <c r="O89" t="s" s="18">
        <v>790</v>
      </c>
      <c r="P89" s="18"/>
      <c r="Q89" t="s" s="18">
        <v>791</v>
      </c>
      <c r="R89" s="18"/>
      <c r="S89" s="18"/>
      <c r="T89" s="18"/>
      <c r="U89" s="18"/>
      <c r="V89" t="s" s="19">
        <v>185</v>
      </c>
      <c r="W89" t="s" s="19">
        <v>859</v>
      </c>
      <c r="X89" t="s" s="21">
        <f>IF(ISBLANK(W89),"",HYPERLINK("https://jlcpcb.com/partdetail/"&amp;$W89,$W89))</f>
        <v>860</v>
      </c>
      <c r="Y89" s="29">
        <v>1</v>
      </c>
      <c r="Z89" t="s" s="18">
        <v>316</v>
      </c>
      <c r="AA89" t="s" s="16">
        <v>794</v>
      </c>
      <c r="AB89" t="s" s="18">
        <v>861</v>
      </c>
      <c r="AC89" t="s" s="24">
        <v>796</v>
      </c>
      <c r="AD89" t="s" s="25">
        <v>797</v>
      </c>
      <c r="AE89" t="s" s="18">
        <v>862</v>
      </c>
    </row>
    <row r="90" ht="19.3" customHeight="1">
      <c r="B90" t="s" s="39">
        <f>E90&amp;"_"&amp;N90&amp;"_"&amp;Q90&amp;"_"&amp;J90&amp;"_"&amp;G90</f>
        <v>863</v>
      </c>
      <c r="C90" t="s" s="17">
        <f>$G90&amp;IF($E90="LED"," LED","")&amp;IF($N90="",""," ")&amp;$N90&amp;IF($H90="",""," ")&amp;$H90&amp;IF($O90="",""," ")&amp;$O90&amp;IF($P90="",""," ")&amp;$P90&amp;IF($Q90="",""," ")&amp;$Q90&amp;IF($T90="",""," ")&amp;$T90&amp;IF($T90="","","mcd")</f>
        <v>864</v>
      </c>
      <c r="D90" t="s" s="17">
        <f>$G90&amp;" "&amp;E90&amp;IF($N90="",""," ")&amp;$N90&amp;IF($H90="",""," ")&amp;$H90&amp;IF($O90="",""," ")&amp;$O90&amp;IF($P90="",""," ")&amp;$P90&amp;IF($Q90="",""," ")&amp;$Q90&amp;IF($T90="",""," ")&amp;$T90&amp;IF($T90="","","mcd")</f>
        <v>865</v>
      </c>
      <c r="E90" t="s" s="18">
        <v>785</v>
      </c>
      <c r="F90" t="s" s="18">
        <v>5</v>
      </c>
      <c r="G90" t="s" s="18">
        <v>857</v>
      </c>
      <c r="H90" t="s" s="18">
        <v>787</v>
      </c>
      <c r="I90" t="s" s="19">
        <v>866</v>
      </c>
      <c r="J90" t="s" s="18">
        <v>311</v>
      </c>
      <c r="K90" s="18"/>
      <c r="L90" s="18"/>
      <c r="M90" s="18"/>
      <c r="N90" t="s" s="18">
        <v>789</v>
      </c>
      <c r="O90" t="s" s="18">
        <v>790</v>
      </c>
      <c r="P90" s="18"/>
      <c r="Q90" t="s" s="18">
        <v>791</v>
      </c>
      <c r="R90" s="18"/>
      <c r="S90" s="18"/>
      <c r="T90" s="18"/>
      <c r="U90" s="18"/>
      <c r="V90" t="s" s="19">
        <v>185</v>
      </c>
      <c r="W90" t="s" s="19">
        <v>867</v>
      </c>
      <c r="X90" t="s" s="21">
        <f>IF(ISBLANK(W90),"",HYPERLINK("https://jlcpcb.com/partdetail/"&amp;$W90,$W90))</f>
        <v>868</v>
      </c>
      <c r="Y90" s="29">
        <v>2</v>
      </c>
      <c r="Z90" t="s" s="18">
        <v>188</v>
      </c>
      <c r="AA90" t="s" s="16">
        <v>816</v>
      </c>
      <c r="AB90" t="s" s="16">
        <v>869</v>
      </c>
      <c r="AC90" t="s" s="34">
        <v>796</v>
      </c>
      <c r="AD90" t="s" s="25">
        <v>797</v>
      </c>
      <c r="AE90" t="s" s="18">
        <v>870</v>
      </c>
    </row>
    <row r="91" ht="19.3" customHeight="1">
      <c r="B91" t="s" s="39">
        <f>E91&amp;"_"&amp;N91&amp;"_"&amp;Q91&amp;"_"&amp;J91&amp;"_"&amp;G91</f>
        <v>871</v>
      </c>
      <c r="C91" t="s" s="17">
        <f>$G91&amp;IF($E91="LED"," LED","")&amp;IF($N91="",""," ")&amp;$N91&amp;IF($H91="",""," ")&amp;$H91&amp;IF($O91="",""," ")&amp;$O91&amp;IF($P91="",""," ")&amp;$P91&amp;IF($Q91="",""," ")&amp;$Q91&amp;IF($T91="",""," ")&amp;$T91&amp;IF($T91="","","mcd")</f>
        <v>872</v>
      </c>
      <c r="D91" t="s" s="17">
        <f>$G91&amp;" "&amp;E91&amp;IF($N91="",""," ")&amp;$N91&amp;IF($H91="",""," ")&amp;$H91&amp;IF($O91="",""," ")&amp;$O91&amp;IF($P91="",""," ")&amp;$P91&amp;IF($Q91="",""," ")&amp;$Q91&amp;IF($T91="",""," ")&amp;$T91&amp;IF($T91="","","mcd")</f>
        <v>873</v>
      </c>
      <c r="E91" t="s" s="18">
        <v>785</v>
      </c>
      <c r="F91" t="s" s="18">
        <v>5</v>
      </c>
      <c r="G91" t="s" s="18">
        <v>874</v>
      </c>
      <c r="H91" t="s" s="18">
        <v>787</v>
      </c>
      <c r="I91" t="s" s="19">
        <v>875</v>
      </c>
      <c r="J91" t="s" s="18">
        <v>311</v>
      </c>
      <c r="K91" s="18"/>
      <c r="L91" s="18"/>
      <c r="M91" s="18"/>
      <c r="N91" t="s" s="18">
        <v>789</v>
      </c>
      <c r="O91" t="s" s="18">
        <v>790</v>
      </c>
      <c r="P91" s="18"/>
      <c r="Q91" t="s" s="18">
        <v>791</v>
      </c>
      <c r="R91" s="18"/>
      <c r="S91" s="18"/>
      <c r="T91" s="18"/>
      <c r="U91" s="18"/>
      <c r="V91" t="s" s="19">
        <v>185</v>
      </c>
      <c r="W91" t="s" s="19">
        <v>876</v>
      </c>
      <c r="X91" t="s" s="21">
        <f>IF(ISBLANK(W91),"",HYPERLINK("https://jlcpcb.com/partdetail/"&amp;$W91,$W91))</f>
        <v>877</v>
      </c>
      <c r="Y91" s="29">
        <v>1</v>
      </c>
      <c r="Z91" t="s" s="18">
        <v>188</v>
      </c>
      <c r="AA91" t="s" s="16">
        <v>816</v>
      </c>
      <c r="AB91" t="s" s="16">
        <v>878</v>
      </c>
      <c r="AC91" t="s" s="34">
        <v>796</v>
      </c>
      <c r="AD91" t="s" s="25">
        <v>797</v>
      </c>
      <c r="AE91" t="s" s="18">
        <v>879</v>
      </c>
    </row>
    <row r="92" ht="19.3" customHeight="1">
      <c r="B92" t="s" s="39">
        <f>E92&amp;"_"&amp;N92&amp;"_"&amp;Q92&amp;"_"&amp;J92&amp;"_"&amp;G92</f>
        <v>880</v>
      </c>
      <c r="C92" t="s" s="17">
        <f>$G92&amp;IF($E92="LED"," LED","")&amp;IF($N92="",""," ")&amp;$N92&amp;IF($H92="",""," ")&amp;$H92&amp;IF($O92="",""," ")&amp;$O92&amp;IF($P92="",""," ")&amp;$P92&amp;IF($Q92="",""," ")&amp;$Q92&amp;IF($T92="",""," ")&amp;$T92&amp;IF($T92="","","mcd")</f>
        <v>881</v>
      </c>
      <c r="D92" t="s" s="17">
        <f>$G92&amp;" "&amp;E92&amp;IF($N92="",""," ")&amp;$N92&amp;IF($H92="",""," ")&amp;$H92&amp;IF($O92="",""," ")&amp;$O92&amp;IF($P92="",""," ")&amp;$P92&amp;IF($Q92="",""," ")&amp;$Q92&amp;IF($T92="",""," ")&amp;$T92&amp;IF($T92="","","mcd")</f>
        <v>882</v>
      </c>
      <c r="E92" t="s" s="18">
        <v>785</v>
      </c>
      <c r="F92" t="s" s="18">
        <v>5</v>
      </c>
      <c r="G92" t="s" s="18">
        <v>883</v>
      </c>
      <c r="H92" t="s" s="18">
        <v>787</v>
      </c>
      <c r="I92" t="s" s="19">
        <v>884</v>
      </c>
      <c r="J92" t="s" s="18">
        <v>311</v>
      </c>
      <c r="K92" s="18"/>
      <c r="L92" s="18"/>
      <c r="M92" s="18"/>
      <c r="N92" t="s" s="18">
        <v>789</v>
      </c>
      <c r="O92" t="s" s="18">
        <v>790</v>
      </c>
      <c r="P92" s="18"/>
      <c r="Q92" t="s" s="18">
        <v>791</v>
      </c>
      <c r="R92" s="18"/>
      <c r="S92" s="18"/>
      <c r="T92" s="18"/>
      <c r="U92" s="18"/>
      <c r="V92" t="s" s="19">
        <v>185</v>
      </c>
      <c r="W92" t="s" s="19">
        <v>885</v>
      </c>
      <c r="X92" t="s" s="21">
        <f>IF(ISBLANK(W92),"",HYPERLINK("https://jlcpcb.com/partdetail/"&amp;$W92,$W92))</f>
        <v>886</v>
      </c>
      <c r="Y92" s="29">
        <v>1</v>
      </c>
      <c r="Z92" t="s" s="18">
        <v>188</v>
      </c>
      <c r="AA92" t="s" s="16">
        <v>816</v>
      </c>
      <c r="AB92" t="s" s="16">
        <v>887</v>
      </c>
      <c r="AC92" t="s" s="34">
        <v>796</v>
      </c>
      <c r="AD92" t="s" s="25">
        <v>797</v>
      </c>
      <c r="AE92" t="s" s="18">
        <v>888</v>
      </c>
    </row>
    <row r="93" ht="18.9" customHeight="1">
      <c r="B93" t="s" s="39">
        <f>E93&amp;"_"&amp;N93&amp;"_"&amp;Q93&amp;"_"&amp;J93&amp;"_"&amp;G93</f>
        <v>889</v>
      </c>
      <c r="C93" t="s" s="17">
        <f>$G93&amp;IF($E93="LED"," LED","")&amp;IF($N93="",""," ")&amp;$N93&amp;IF($H93="",""," ")&amp;$H93&amp;IF($O93="",""," ")&amp;$O93&amp;IF($P93="",""," ")&amp;$P93&amp;IF($Q93="",""," ")&amp;$Q93&amp;IF($T93="",""," ")&amp;$T93&amp;IF($T93="","","mcd")</f>
        <v>890</v>
      </c>
      <c r="D93" t="s" s="17">
        <f>$G93&amp;" "&amp;E93&amp;IF($N93="",""," ")&amp;$N93&amp;IF($H93="",""," ")&amp;$H93&amp;IF($O93="",""," ")&amp;$O93&amp;IF($P93="",""," ")&amp;$P93&amp;IF($Q93="",""," ")&amp;$Q93&amp;IF($T93="",""," ")&amp;$T93&amp;IF($T93="","","mcd")</f>
        <v>891</v>
      </c>
      <c r="E93" t="s" s="18">
        <v>785</v>
      </c>
      <c r="F93" t="s" s="18">
        <v>5</v>
      </c>
      <c r="G93" t="s" s="18">
        <v>892</v>
      </c>
      <c r="H93" t="s" s="18">
        <v>787</v>
      </c>
      <c r="I93" t="s" s="19">
        <v>893</v>
      </c>
      <c r="J93" t="s" s="18">
        <v>311</v>
      </c>
      <c r="K93" s="18"/>
      <c r="L93" s="18"/>
      <c r="M93" s="18"/>
      <c r="N93" t="s" s="18">
        <v>789</v>
      </c>
      <c r="O93" t="s" s="18">
        <v>805</v>
      </c>
      <c r="P93" s="18"/>
      <c r="Q93" t="s" s="18">
        <v>791</v>
      </c>
      <c r="R93" s="18"/>
      <c r="S93" s="18"/>
      <c r="T93" s="18"/>
      <c r="U93" s="18"/>
      <c r="V93" t="s" s="19">
        <v>185</v>
      </c>
      <c r="W93" t="s" s="19">
        <v>894</v>
      </c>
      <c r="X93" t="s" s="21">
        <f>IF(ISBLANK(W93),"",HYPERLINK("https://jlcpcb.com/partdetail/"&amp;$W93,$W93))</f>
        <v>895</v>
      </c>
      <c r="Y93" s="29">
        <v>1</v>
      </c>
      <c r="Z93" t="s" s="18">
        <v>316</v>
      </c>
      <c r="AA93" t="s" s="16">
        <v>317</v>
      </c>
      <c r="AB93" t="s" s="18">
        <v>896</v>
      </c>
      <c r="AC93" t="s" s="24">
        <v>796</v>
      </c>
      <c r="AD93" t="s" s="25">
        <v>797</v>
      </c>
      <c r="AE93" t="s" s="18">
        <v>897</v>
      </c>
    </row>
    <row r="94" ht="18.9" customHeight="1">
      <c r="B94" t="s" s="39">
        <f>E94&amp;"_"&amp;N94&amp;"_"&amp;Q94&amp;"_"&amp;J94&amp;"_"&amp;G94</f>
        <v>889</v>
      </c>
      <c r="C94" t="s" s="17">
        <f>$G94&amp;IF($E94="LED"," LED","")&amp;IF($N94="",""," ")&amp;$N94&amp;IF($H94="",""," ")&amp;$H94&amp;IF($O94="",""," ")&amp;$O94&amp;IF($P94="",""," ")&amp;$P94&amp;IF($Q94="",""," ")&amp;$Q94&amp;IF($T94="",""," ")&amp;$T94&amp;IF($T94="","","mcd")</f>
        <v>898</v>
      </c>
      <c r="D94" t="s" s="17">
        <f>$G94&amp;" "&amp;E94&amp;IF($N94="",""," ")&amp;$N94&amp;IF($H94="",""," ")&amp;$H94&amp;IF($O94="",""," ")&amp;$O94&amp;IF($P94="",""," ")&amp;$P94&amp;IF($Q94="",""," ")&amp;$Q94&amp;IF($T94="",""," ")&amp;$T94&amp;IF($T94="","","mcd")</f>
        <v>899</v>
      </c>
      <c r="E94" t="s" s="18">
        <v>785</v>
      </c>
      <c r="F94" t="s" s="18">
        <v>5</v>
      </c>
      <c r="G94" t="s" s="18">
        <v>892</v>
      </c>
      <c r="H94" t="s" s="18">
        <v>787</v>
      </c>
      <c r="I94" t="s" s="19">
        <v>900</v>
      </c>
      <c r="J94" t="s" s="18">
        <v>311</v>
      </c>
      <c r="K94" s="18"/>
      <c r="L94" s="18"/>
      <c r="M94" s="18"/>
      <c r="N94" t="s" s="18">
        <v>789</v>
      </c>
      <c r="O94" t="s" s="18">
        <v>790</v>
      </c>
      <c r="P94" s="18"/>
      <c r="Q94" t="s" s="18">
        <v>791</v>
      </c>
      <c r="R94" s="18"/>
      <c r="S94" s="18"/>
      <c r="T94" s="18"/>
      <c r="U94" s="18"/>
      <c r="V94" t="s" s="19">
        <v>185</v>
      </c>
      <c r="W94" t="s" s="19">
        <v>901</v>
      </c>
      <c r="X94" t="s" s="21">
        <f>IF(ISBLANK(W94),"",HYPERLINK("https://jlcpcb.com/partdetail/"&amp;$W94,$W94))</f>
        <v>902</v>
      </c>
      <c r="Y94" s="29">
        <v>2</v>
      </c>
      <c r="Z94" t="s" s="18">
        <v>316</v>
      </c>
      <c r="AA94" t="s" s="16">
        <v>794</v>
      </c>
      <c r="AB94" t="s" s="18">
        <v>903</v>
      </c>
      <c r="AC94" t="s" s="24">
        <v>796</v>
      </c>
      <c r="AD94" t="s" s="25">
        <v>797</v>
      </c>
      <c r="AE94" t="s" s="18">
        <v>904</v>
      </c>
    </row>
    <row r="95" ht="18.9" customHeight="1">
      <c r="B95" t="s" s="39">
        <f>E95&amp;"_"&amp;N95&amp;"_"&amp;Q95&amp;"_"&amp;J95&amp;"_"&amp;G95</f>
        <v>889</v>
      </c>
      <c r="C95" t="s" s="17">
        <f>$G95&amp;IF($E95="LED"," LED","")&amp;IF($N95="",""," ")&amp;$N95&amp;IF($H95="",""," ")&amp;$H95&amp;IF($O95="",""," ")&amp;$O95&amp;IF($P95="",""," ")&amp;$P95&amp;IF($Q95="",""," ")&amp;$Q95&amp;IF($T95="",""," ")&amp;$T95&amp;IF($T95="","","mcd")</f>
        <v>898</v>
      </c>
      <c r="D95" t="s" s="17">
        <f>$G95&amp;" "&amp;E95&amp;IF($N95="",""," ")&amp;$N95&amp;IF($H95="",""," ")&amp;$H95&amp;IF($O95="",""," ")&amp;$O95&amp;IF($P95="",""," ")&amp;$P95&amp;IF($Q95="",""," ")&amp;$Q95&amp;IF($T95="",""," ")&amp;$T95&amp;IF($T95="","","mcd")</f>
        <v>899</v>
      </c>
      <c r="E95" t="s" s="18">
        <v>785</v>
      </c>
      <c r="F95" t="s" s="18">
        <v>5</v>
      </c>
      <c r="G95" t="s" s="18">
        <v>892</v>
      </c>
      <c r="H95" t="s" s="18">
        <v>787</v>
      </c>
      <c r="I95" t="s" s="19">
        <v>905</v>
      </c>
      <c r="J95" t="s" s="18">
        <v>311</v>
      </c>
      <c r="K95" s="18"/>
      <c r="L95" s="18"/>
      <c r="M95" s="18"/>
      <c r="N95" t="s" s="18">
        <v>789</v>
      </c>
      <c r="O95" t="s" s="18">
        <v>790</v>
      </c>
      <c r="P95" s="18"/>
      <c r="Q95" t="s" s="18">
        <v>791</v>
      </c>
      <c r="R95" s="18"/>
      <c r="S95" s="18"/>
      <c r="T95" s="18"/>
      <c r="U95" s="18"/>
      <c r="V95" t="s" s="19">
        <v>185</v>
      </c>
      <c r="W95" t="s" s="19">
        <v>906</v>
      </c>
      <c r="X95" t="s" s="21">
        <f>IF(ISBLANK(W95),"",HYPERLINK("https://jlcpcb.com/partdetail/"&amp;$W95,$W95))</f>
        <v>907</v>
      </c>
      <c r="Y95" s="29">
        <v>3</v>
      </c>
      <c r="Z95" t="s" s="18">
        <v>188</v>
      </c>
      <c r="AA95" t="s" s="16">
        <v>816</v>
      </c>
      <c r="AB95" t="s" s="18">
        <v>908</v>
      </c>
      <c r="AC95" t="s" s="34">
        <v>796</v>
      </c>
      <c r="AD95" t="s" s="25">
        <v>797</v>
      </c>
      <c r="AE95" t="s" s="18">
        <v>904</v>
      </c>
    </row>
    <row r="96" ht="18.9" customHeight="1">
      <c r="B96" t="s" s="39">
        <f>E96&amp;"_"&amp;N96&amp;"_"&amp;Q96&amp;"_"&amp;J96&amp;"_"&amp;G96</f>
        <v>909</v>
      </c>
      <c r="C96" t="s" s="17">
        <f>$G96&amp;IF($E96="LED"," LED","")&amp;IF($N96="",""," ")&amp;$N96&amp;IF($H96="",""," ")&amp;$H96&amp;IF($O96="",""," ")&amp;$O96&amp;IF($P96="",""," ")&amp;$P96&amp;IF($Q96="",""," ")&amp;$Q96&amp;IF($T96="",""," ")&amp;$T96&amp;IF($T96="","","mcd")</f>
        <v>910</v>
      </c>
      <c r="D96" t="s" s="17">
        <f>$G96&amp;" "&amp;E96&amp;IF($N96="",""," ")&amp;$N96&amp;IF($H96="",""," ")&amp;$H96&amp;IF($O96="",""," ")&amp;$O96&amp;IF($P96="",""," ")&amp;$P96&amp;IF($Q96="",""," ")&amp;$Q96&amp;IF($T96="",""," ")&amp;$T96&amp;IF($T96="","","mcd")</f>
        <v>911</v>
      </c>
      <c r="E96" t="s" s="18">
        <v>785</v>
      </c>
      <c r="F96" t="s" s="18">
        <v>5</v>
      </c>
      <c r="G96" t="s" s="18">
        <v>912</v>
      </c>
      <c r="H96" t="s" s="18">
        <v>787</v>
      </c>
      <c r="I96" t="s" s="19">
        <v>913</v>
      </c>
      <c r="J96" t="s" s="18">
        <v>311</v>
      </c>
      <c r="K96" s="18"/>
      <c r="L96" s="18"/>
      <c r="M96" s="18"/>
      <c r="N96" t="s" s="18">
        <v>789</v>
      </c>
      <c r="O96" t="s" s="18">
        <v>790</v>
      </c>
      <c r="P96" s="18"/>
      <c r="Q96" t="s" s="18">
        <v>791</v>
      </c>
      <c r="R96" s="18"/>
      <c r="S96" s="18"/>
      <c r="T96" s="18"/>
      <c r="U96" s="18"/>
      <c r="V96" t="s" s="19">
        <v>185</v>
      </c>
      <c r="W96" t="s" s="19">
        <v>914</v>
      </c>
      <c r="X96" t="s" s="21">
        <f>IF(ISBLANK(W96),"",HYPERLINK("https://jlcpcb.com/partdetail/"&amp;$W96,$W96))</f>
        <v>915</v>
      </c>
      <c r="Y96" s="29">
        <v>1</v>
      </c>
      <c r="Z96" t="s" s="18">
        <v>188</v>
      </c>
      <c r="AA96" t="s" s="16">
        <v>816</v>
      </c>
      <c r="AB96" t="s" s="18">
        <v>916</v>
      </c>
      <c r="AC96" t="s" s="34">
        <v>796</v>
      </c>
      <c r="AD96" t="s" s="25">
        <v>797</v>
      </c>
      <c r="AE96" t="s" s="18">
        <v>917</v>
      </c>
    </row>
    <row r="97" ht="18.9" customHeight="1">
      <c r="B97" t="s" s="39">
        <f>E97&amp;"_"&amp;N97&amp;"_"&amp;Q97&amp;"_"&amp;J97&amp;"_"&amp;G97</f>
        <v>918</v>
      </c>
      <c r="C97" t="s" s="17">
        <f>$G97&amp;IF($E97="LED"," LED","")&amp;IF($N97="",""," ")&amp;$N97&amp;IF($H97="",""," ")&amp;$H97&amp;IF($O97="",""," ")&amp;$O97&amp;IF($P97="",""," ")&amp;$P97&amp;IF($Q97="",""," ")&amp;$Q97&amp;IF($T97="",""," ")&amp;$T97&amp;IF($T97="","","mcd")</f>
        <v>919</v>
      </c>
      <c r="D97" t="s" s="17">
        <f>$G97&amp;" "&amp;E97&amp;IF($N97="",""," ")&amp;$N97&amp;IF($H97="",""," ")&amp;$H97&amp;IF($O97="",""," ")&amp;$O97&amp;IF($P97="",""," ")&amp;$P97&amp;IF($Q97="",""," ")&amp;$Q97&amp;IF($T97="",""," ")&amp;$T97&amp;IF($T97="","","mcd")</f>
        <v>920</v>
      </c>
      <c r="E97" t="s" s="18">
        <v>785</v>
      </c>
      <c r="F97" t="s" s="18">
        <v>5</v>
      </c>
      <c r="G97" t="s" s="18">
        <v>921</v>
      </c>
      <c r="H97" t="s" s="18">
        <v>787</v>
      </c>
      <c r="I97" t="s" s="19">
        <v>922</v>
      </c>
      <c r="J97" t="s" s="18">
        <v>311</v>
      </c>
      <c r="K97" s="18"/>
      <c r="L97" s="18"/>
      <c r="M97" s="18"/>
      <c r="N97" t="s" s="18">
        <v>789</v>
      </c>
      <c r="O97" t="s" s="18">
        <v>790</v>
      </c>
      <c r="P97" s="18"/>
      <c r="Q97" t="s" s="18">
        <v>791</v>
      </c>
      <c r="R97" s="18"/>
      <c r="S97" s="18"/>
      <c r="T97" s="18"/>
      <c r="U97" s="18"/>
      <c r="V97" t="s" s="19">
        <v>185</v>
      </c>
      <c r="W97" t="s" s="19">
        <v>923</v>
      </c>
      <c r="X97" t="s" s="21">
        <f>IF(ISBLANK(W97),"",HYPERLINK("https://jlcpcb.com/partdetail/"&amp;$W97,$W97))</f>
        <v>924</v>
      </c>
      <c r="Y97" s="29">
        <v>1</v>
      </c>
      <c r="Z97" t="s" s="18">
        <v>188</v>
      </c>
      <c r="AA97" t="s" s="16">
        <v>816</v>
      </c>
      <c r="AB97" t="s" s="18">
        <v>925</v>
      </c>
      <c r="AC97" t="s" s="34">
        <v>796</v>
      </c>
      <c r="AD97" t="s" s="25">
        <v>797</v>
      </c>
      <c r="AE97" t="s" s="18">
        <v>926</v>
      </c>
    </row>
    <row r="98" ht="18.9" customHeight="1">
      <c r="B98" t="s" s="39">
        <f>E98&amp;"_"&amp;N98&amp;"_"&amp;Q98&amp;"_"&amp;J98&amp;"_"&amp;G98</f>
        <v>927</v>
      </c>
      <c r="C98" t="s" s="17">
        <f>$G98&amp;IF($E98="LED"," LED","")&amp;IF($N98="",""," ")&amp;$N98&amp;IF($H98="",""," ")&amp;$H98&amp;IF($O98="",""," ")&amp;$O98&amp;IF($P98="",""," ")&amp;$P98&amp;IF($Q98="",""," ")&amp;$Q98&amp;IF($T98="",""," ")&amp;$T98&amp;IF($T98="","","mcd")</f>
        <v>928</v>
      </c>
      <c r="D98" t="s" s="17">
        <f>$G98&amp;" "&amp;E98&amp;IF($N98="",""," ")&amp;$N98&amp;IF($H98="",""," ")&amp;$H98&amp;IF($O98="",""," ")&amp;$O98&amp;IF($P98="",""," ")&amp;$P98&amp;IF($Q98="",""," ")&amp;$Q98&amp;IF($T98="",""," ")&amp;$T98&amp;IF($T98="","","mcd")</f>
        <v>929</v>
      </c>
      <c r="E98" t="s" s="18">
        <v>785</v>
      </c>
      <c r="F98" t="s" s="18">
        <v>5</v>
      </c>
      <c r="G98" t="s" s="18">
        <v>930</v>
      </c>
      <c r="H98" t="s" s="18">
        <v>787</v>
      </c>
      <c r="I98" t="s" s="19">
        <v>931</v>
      </c>
      <c r="J98" t="s" s="18">
        <v>311</v>
      </c>
      <c r="K98" s="18"/>
      <c r="L98" s="18"/>
      <c r="M98" s="18"/>
      <c r="N98" t="s" s="18">
        <v>804</v>
      </c>
      <c r="O98" t="s" s="18">
        <v>790</v>
      </c>
      <c r="P98" s="18"/>
      <c r="Q98" t="s" s="18">
        <v>791</v>
      </c>
      <c r="R98" s="18"/>
      <c r="S98" s="18"/>
      <c r="T98" s="18"/>
      <c r="U98" s="18"/>
      <c r="V98" t="s" s="19">
        <v>185</v>
      </c>
      <c r="W98" t="s" s="19">
        <v>932</v>
      </c>
      <c r="X98" t="s" s="21">
        <f>IF(ISBLANK(W98),"",HYPERLINK("https://jlcpcb.com/partdetail/"&amp;$W98,$W98))</f>
        <v>933</v>
      </c>
      <c r="Y98" s="29">
        <v>1</v>
      </c>
      <c r="Z98" t="s" s="18">
        <v>316</v>
      </c>
      <c r="AA98" t="s" s="16">
        <v>816</v>
      </c>
      <c r="AB98" t="s" s="18">
        <v>934</v>
      </c>
      <c r="AC98" t="s" s="24">
        <v>796</v>
      </c>
      <c r="AD98" t="s" s="25">
        <v>797</v>
      </c>
      <c r="AE98" t="s" s="18">
        <v>935</v>
      </c>
    </row>
    <row r="99" ht="17.7" customHeight="1">
      <c r="B99" t="s" s="39">
        <f>E99&amp;"_"&amp;N99&amp;"_"&amp;Q99&amp;"_"&amp;J99&amp;"_"&amp;G99</f>
        <v>936</v>
      </c>
      <c r="C99" t="s" s="17">
        <f>$G99&amp;IF($E99="LED"," LED","")&amp;IF($N99="",""," ")&amp;$N99&amp;IF($H99="",""," ")&amp;$H99&amp;IF($O99="",""," ")&amp;$O99&amp;IF($P99="",""," ")&amp;$P99&amp;IF($Q99="",""," ")&amp;$Q99&amp;IF($T99="",""," ")&amp;$T99&amp;IF($T99="","","mcd")</f>
        <v>937</v>
      </c>
      <c r="D99" t="s" s="17">
        <f>$G99&amp;" "&amp;E99&amp;IF($N99="",""," ")&amp;$N99&amp;IF($H99="",""," ")&amp;$H99&amp;IF($O99="",""," ")&amp;$O99&amp;IF($P99="",""," ")&amp;$P99&amp;IF($Q99="",""," ")&amp;$Q99&amp;IF($T99="",""," ")&amp;$T99&amp;IF($T99="","","mcd")</f>
        <v>938</v>
      </c>
      <c r="E99" t="s" s="18">
        <v>785</v>
      </c>
      <c r="F99" t="s" s="18">
        <v>5</v>
      </c>
      <c r="G99" t="s" s="18">
        <v>930</v>
      </c>
      <c r="H99" t="s" s="18">
        <v>787</v>
      </c>
      <c r="I99" t="s" s="19">
        <v>939</v>
      </c>
      <c r="J99" t="s" s="18">
        <v>311</v>
      </c>
      <c r="K99" s="18"/>
      <c r="L99" s="18"/>
      <c r="M99" s="18"/>
      <c r="N99" t="s" s="18">
        <v>789</v>
      </c>
      <c r="O99" t="s" s="18">
        <v>790</v>
      </c>
      <c r="P99" s="18"/>
      <c r="Q99" t="s" s="18">
        <v>791</v>
      </c>
      <c r="R99" s="18"/>
      <c r="S99" s="18"/>
      <c r="T99" s="18"/>
      <c r="U99" s="18"/>
      <c r="V99" t="s" s="19">
        <v>185</v>
      </c>
      <c r="W99" t="s" s="19">
        <v>940</v>
      </c>
      <c r="X99" t="s" s="21">
        <f>IF(ISBLANK(W99),"",HYPERLINK("https://jlcpcb.com/partdetail/"&amp;$W99,$W99))</f>
        <v>941</v>
      </c>
      <c r="Y99" s="29">
        <v>2</v>
      </c>
      <c r="Z99" t="s" s="18">
        <v>188</v>
      </c>
      <c r="AA99" t="s" s="16">
        <v>816</v>
      </c>
      <c r="AB99" t="s" s="31">
        <v>942</v>
      </c>
      <c r="AC99" t="s" s="34">
        <v>796</v>
      </c>
      <c r="AD99" t="s" s="25">
        <v>797</v>
      </c>
      <c r="AE99" t="s" s="18">
        <v>943</v>
      </c>
    </row>
    <row r="100" ht="18.9" customHeight="1">
      <c r="B100" t="s" s="39">
        <f>E100&amp;"_"&amp;N100&amp;"_"&amp;Q100&amp;"_"&amp;J100&amp;"_"&amp;G100</f>
        <v>944</v>
      </c>
      <c r="C100" t="s" s="17">
        <f>$G100&amp;IF($E100="LED"," LED","")&amp;IF($N100="",""," ")&amp;$N100&amp;IF($H100="",""," ")&amp;$H100&amp;IF($O100="",""," ")&amp;$O100&amp;IF($P100="",""," ")&amp;$P100&amp;IF($Q100="",""," ")&amp;$Q100&amp;IF($T100="",""," ")&amp;$T100&amp;IF($T100="","","mcd")</f>
        <v>945</v>
      </c>
      <c r="D100" t="s" s="17">
        <f>$G100&amp;" "&amp;E100&amp;IF($N100="",""," ")&amp;$N100&amp;IF($H100="",""," ")&amp;$H100&amp;IF($O100="",""," ")&amp;$O100&amp;IF($P100="",""," ")&amp;$P100&amp;IF($Q100="",""," ")&amp;$Q100&amp;IF($T100="",""," ")&amp;$T100&amp;IF($T100="","","mcd")</f>
        <v>946</v>
      </c>
      <c r="E100" t="s" s="18">
        <v>785</v>
      </c>
      <c r="F100" t="s" s="18">
        <v>5</v>
      </c>
      <c r="G100" t="s" s="18">
        <v>947</v>
      </c>
      <c r="H100" t="s" s="18">
        <v>787</v>
      </c>
      <c r="I100" t="s" s="19">
        <v>948</v>
      </c>
      <c r="J100" t="s" s="18">
        <v>311</v>
      </c>
      <c r="K100" s="18"/>
      <c r="L100" s="18"/>
      <c r="M100" s="18"/>
      <c r="N100" t="s" s="18">
        <v>789</v>
      </c>
      <c r="O100" t="s" s="18">
        <v>790</v>
      </c>
      <c r="P100" s="18"/>
      <c r="Q100" t="s" s="18">
        <v>791</v>
      </c>
      <c r="R100" s="18"/>
      <c r="S100" s="18"/>
      <c r="T100" s="18"/>
      <c r="U100" s="18"/>
      <c r="V100" t="s" s="19">
        <v>185</v>
      </c>
      <c r="W100" t="s" s="19">
        <v>949</v>
      </c>
      <c r="X100" t="s" s="21">
        <f>IF(ISBLANK(W100),"",HYPERLINK("https://jlcpcb.com/partdetail/"&amp;$W100,$W100))</f>
        <v>950</v>
      </c>
      <c r="Y100" s="29">
        <v>3</v>
      </c>
      <c r="Z100" t="s" s="18">
        <v>188</v>
      </c>
      <c r="AA100" t="s" s="16">
        <v>816</v>
      </c>
      <c r="AB100" t="s" s="18">
        <v>951</v>
      </c>
      <c r="AC100" t="s" s="24">
        <v>796</v>
      </c>
      <c r="AD100" t="s" s="25">
        <v>797</v>
      </c>
      <c r="AE100" t="s" s="18">
        <v>952</v>
      </c>
    </row>
    <row r="101" ht="18.9" customHeight="1">
      <c r="B101" t="s" s="39">
        <f>E101&amp;"_"&amp;N101&amp;"_"&amp;Q101&amp;"_"&amp;J101&amp;"_"&amp;G101</f>
        <v>944</v>
      </c>
      <c r="C101" t="s" s="17">
        <f>$G101&amp;IF($E101="LED"," LED","")&amp;IF($N101="",""," ")&amp;$N101&amp;IF($H101="",""," ")&amp;$H101&amp;IF($O101="",""," ")&amp;$O101&amp;IF($P101="",""," ")&amp;$P101&amp;IF($Q101="",""," ")&amp;$Q101&amp;IF($T101="",""," ")&amp;$T101&amp;IF($T101="","","mcd")</f>
        <v>953</v>
      </c>
      <c r="D101" t="s" s="17">
        <f>$G101&amp;" "&amp;E101&amp;IF($N101="",""," ")&amp;$N101&amp;IF($H101="",""," ")&amp;$H101&amp;IF($O101="",""," ")&amp;$O101&amp;IF($P101="",""," ")&amp;$P101&amp;IF($Q101="",""," ")&amp;$Q101&amp;IF($T101="",""," ")&amp;$T101&amp;IF($T101="","","mcd")</f>
        <v>954</v>
      </c>
      <c r="E101" t="s" s="18">
        <v>785</v>
      </c>
      <c r="F101" t="s" s="18">
        <v>5</v>
      </c>
      <c r="G101" t="s" s="18">
        <v>947</v>
      </c>
      <c r="H101" t="s" s="18">
        <v>787</v>
      </c>
      <c r="I101" t="s" s="19">
        <v>955</v>
      </c>
      <c r="J101" t="s" s="18">
        <v>311</v>
      </c>
      <c r="K101" s="18"/>
      <c r="L101" s="18"/>
      <c r="M101" s="18"/>
      <c r="N101" t="s" s="18">
        <v>789</v>
      </c>
      <c r="O101" t="s" s="18">
        <v>327</v>
      </c>
      <c r="P101" s="18"/>
      <c r="Q101" t="s" s="18">
        <v>791</v>
      </c>
      <c r="R101" s="18"/>
      <c r="S101" s="18"/>
      <c r="T101" s="18"/>
      <c r="U101" s="18"/>
      <c r="V101" t="s" s="19">
        <v>185</v>
      </c>
      <c r="W101" t="s" s="19">
        <v>956</v>
      </c>
      <c r="X101" t="s" s="21">
        <f>IF(ISBLANK(W101),"",HYPERLINK("https://jlcpcb.com/partdetail/"&amp;$W101,$W101))</f>
        <v>957</v>
      </c>
      <c r="Y101" s="29">
        <v>1</v>
      </c>
      <c r="Z101" t="s" s="18">
        <v>316</v>
      </c>
      <c r="AA101" t="s" s="16">
        <v>958</v>
      </c>
      <c r="AB101" t="s" s="18">
        <v>959</v>
      </c>
      <c r="AC101" t="s" s="34">
        <v>796</v>
      </c>
      <c r="AD101" t="s" s="25">
        <v>797</v>
      </c>
      <c r="AE101" t="s" s="18">
        <v>960</v>
      </c>
    </row>
    <row r="102" ht="18.9" customHeight="1">
      <c r="B102" t="s" s="40">
        <f>E102&amp;"_"&amp;N102&amp;"_"&amp;Q102&amp;"_"&amp;J102&amp;"_"&amp;G102</f>
        <v>944</v>
      </c>
      <c r="C102" t="s" s="41">
        <f>$G102&amp;IF($E102="LED"," LED","")&amp;IF($N102="",""," ")&amp;$N102&amp;IF($H102="",""," ")&amp;$H102&amp;IF($O102="",""," ")&amp;$O102&amp;IF($P102="",""," ")&amp;$P102&amp;IF($Q102="",""," ")&amp;$Q102&amp;IF($T102="",""," ")&amp;$T102&amp;IF($T102="","","mcd")</f>
        <v>945</v>
      </c>
      <c r="D102" t="s" s="41">
        <f>$G102&amp;" "&amp;E102&amp;IF($N102="",""," ")&amp;$N102&amp;IF($H102="",""," ")&amp;$H102&amp;IF($O102="",""," ")&amp;$O102&amp;IF($P102="",""," ")&amp;$P102&amp;IF($Q102="",""," ")&amp;$Q102&amp;IF($T102="",""," ")&amp;$T102&amp;IF($T102="","","mcd")</f>
        <v>946</v>
      </c>
      <c r="E102" t="s" s="42">
        <v>785</v>
      </c>
      <c r="F102" t="s" s="42">
        <v>5</v>
      </c>
      <c r="G102" t="s" s="42">
        <v>947</v>
      </c>
      <c r="H102" t="s" s="42">
        <v>787</v>
      </c>
      <c r="I102" t="s" s="43">
        <v>948</v>
      </c>
      <c r="J102" t="s" s="42">
        <v>311</v>
      </c>
      <c r="K102" s="42"/>
      <c r="L102" s="42"/>
      <c r="M102" s="42"/>
      <c r="N102" t="s" s="42">
        <v>789</v>
      </c>
      <c r="O102" t="s" s="42">
        <v>790</v>
      </c>
      <c r="P102" s="42"/>
      <c r="Q102" t="s" s="42">
        <v>791</v>
      </c>
      <c r="R102" s="42"/>
      <c r="S102" s="42"/>
      <c r="T102" s="42"/>
      <c r="U102" s="42"/>
      <c r="V102" t="s" s="43">
        <v>185</v>
      </c>
      <c r="W102" t="s" s="43">
        <v>949</v>
      </c>
      <c r="X102" t="s" s="44">
        <f>IF(ISBLANK(W102),"",HYPERLINK("https://jlcpcb.com/partdetail/"&amp;$W102,$W102))</f>
        <v>950</v>
      </c>
      <c r="Y102" s="45">
        <v>2</v>
      </c>
      <c r="Z102" t="s" s="42">
        <v>316</v>
      </c>
      <c r="AA102" t="s" s="46">
        <v>816</v>
      </c>
      <c r="AB102" t="s" s="42">
        <v>951</v>
      </c>
      <c r="AC102" t="s" s="47">
        <v>796</v>
      </c>
      <c r="AD102" t="s" s="48">
        <v>797</v>
      </c>
      <c r="AE102" t="s" s="42">
        <v>952</v>
      </c>
    </row>
    <row r="103" ht="31" customHeight="1">
      <c r="B103" s="49"/>
      <c r="C103" s="50"/>
      <c r="D103" s="50"/>
      <c r="E103" s="50"/>
      <c r="F103" s="50"/>
      <c r="G103" s="50"/>
      <c r="H103" s="49"/>
      <c r="I103" s="51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</row>
  </sheetData>
  <mergeCells count="1">
    <mergeCell ref="B2:AE2"/>
  </mergeCells>
  <dataValidations count="3">
    <dataValidation type="list" allowBlank="1" showInputMessage="1" showErrorMessage="1" sqref="E3 E103">
      <formula1>",Category,SLK,CON,CAP,DIO,IC,LED,Q,RES"</formula1>
    </dataValidation>
    <dataValidation type="list" allowBlank="1" showInputMessage="1" showErrorMessage="1" sqref="E4:E54 E56:E102">
      <formula1>",Category,SLK,CON,CAP,DIO,IC,LED,Q,RES,ANA,IND,MCU,REG,OSC,RLY,SWI"</formula1>
    </dataValidation>
    <dataValidation type="list" allowBlank="1" showInputMessage="1" showErrorMessage="1" sqref="V4:V24">
      <formula1>",GFL,GFL &amp; JLC,Available,Location,JLC,SPCoast,MRCS"</formula1>
    </dataValidation>
  </dataValidations>
  <hyperlinks>
    <hyperlink ref="X25" r:id="rId1" location="" tooltip="" display="C840579"/>
    <hyperlink ref="AE25" r:id="rId2" location="" tooltip="" display="https://wmsc.lcsc.com/wmsc/upload/file/pdf/v2/lcsc/2311231642_ECE-EDG104S33_C840579.pdf"/>
    <hyperlink ref="X26" r:id="rId3" location="" tooltip="" display="EDG-104"/>
    <hyperlink ref="AE26" r:id="rId4" location="" tooltip="" display="https://wmsc.lcsc.com/wmsc/upload/file/pdf/v2/lcsc/2311231642_ECE-EDG104S33_C840579.pdf"/>
    <hyperlink ref="AE27" r:id="rId5" location="" tooltip="" display="https://wmsc.lcsc.com/wmsc/upload/file/pdf/v2/lcsc/2212291730_hanxia-HX-TS666CJ-250gf-009_C5340138.pdf"/>
    <hyperlink ref="AE28" r:id="rId6" location="" tooltip="" display="https://wmsc.lcsc.com/wmsc/upload/file/pdf/v2/lcsc/2212271430_hanxia-HX-TS666TP-250gf-009_C5340123.pdf"/>
    <hyperlink ref="X29" r:id="rId7" location="" tooltip="" display="C5340138"/>
    <hyperlink ref="AE29" r:id="rId8" location="" tooltip="" display="https://wmsc.lcsc.com/wmsc/upload/file/pdf/v2/lcsc/2212291730_hanxia-HX-TS666CJ-250gf-009_C5340138.pdf"/>
    <hyperlink ref="X30" r:id="rId9" location="" tooltip="" display="C5340123"/>
    <hyperlink ref="AE30" r:id="rId10" location="" tooltip="" display="https://wmsc.lcsc.com/wmsc/upload/file/pdf/v2/lcsc/2212271430_hanxia-HX-TS666TP-250gf-009_C5340123.pdf"/>
    <hyperlink ref="AE39" r:id="rId11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E40" r:id="rId12" location="" tooltip="" display="https://mischianti.org/wp-content/uploads/2020/11/ESP32-DOIT-DEV-KIT-v1-pinout-mischianti.png"/>
    <hyperlink ref="X41" r:id="rId13" location="" tooltip="" display="C1852832"/>
    <hyperlink ref="AE41" r:id="rId14" location="" tooltip="" display="https://wmsc.lcsc.com/wmsc/upload/file/pdf/v2/lcsc/2201271000_YAGEO-CC0603KPX7R8BB103_C1852832.pdf"/>
    <hyperlink ref="X42" r:id="rId15" location="" tooltip="" display="C3910010"/>
    <hyperlink ref="X43" r:id="rId16" location="" tooltip="" display="C100042"/>
    <hyperlink ref="AE43" r:id="rId17" location="" tooltip="" display="https://www.lcsc.com/datasheet/lcsc_datasheet_2304140030_YAGEO-CC0603KRX7R9BB103_C100042.pdf"/>
    <hyperlink ref="X44" r:id="rId18" location="" tooltip="" display="C3853265"/>
    <hyperlink ref="X45" r:id="rId19" location="" tooltip="" display="C14663"/>
    <hyperlink ref="AE45" r:id="rId20" location="" tooltip="" display="https://www.lcsc.com/datasheet/lcsc_datasheet_2211101700_YAGEO-CC0603KRX7R9BB104_C14663.pdf"/>
    <hyperlink ref="X46" r:id="rId21" location="" tooltip="" display="C2169859"/>
    <hyperlink ref="AE46" r:id="rId22" location="" tooltip="" display="https://wmsc.lcsc.com/wmsc/upload/file/pdf/v2/lcsc/2309051403_Taiyo-Yuden-GMK107BJ105KAHT_C2169859.pdf"/>
    <hyperlink ref="X47" r:id="rId23" location="" tooltip="" display="C15849"/>
    <hyperlink ref="AE47" r:id="rId24" location="" tooltip="" display="https://www.lcsc.com/datasheet/lcsc_datasheet_2304140030_Samsung-Electro-Mechanics-CL10A105KB8NNNC_C15849.pdf"/>
    <hyperlink ref="X48" r:id="rId25" location="" tooltip="" display="C13585"/>
    <hyperlink ref="AE48" r:id="rId26" location="" tooltip="" display="https://www.lcsc.com/datasheet/lcsc_datasheet_2304140030_Samsung-Electro-Mechanics-CL31A106KBHNNNE_C13585.pdf"/>
    <hyperlink ref="X49" r:id="rId27" location="" tooltip="" display="C136294"/>
    <hyperlink ref="AE49" r:id="rId28" location="" tooltip="" display="https://www.lcsc.com/datasheet/lcsc_datasheet_1808312007_Nichicon-UCD1V221MNL1GS_C136294.pdf"/>
    <hyperlink ref="X50" r:id="rId29" location="" tooltip="" display="C353517"/>
    <hyperlink ref="AE50" r:id="rId30" location="" tooltip="" display="https://www.lcsc.com/datasheet/lcsc_datasheet_2304140030_Shandong-Jingdao-Microelectronics-BZT52C4V7S_C353517.pdf"/>
    <hyperlink ref="X51" r:id="rId31" location="" tooltip="" display="C5261070"/>
    <hyperlink ref="AE51" r:id="rId32" location="" tooltip="" display="https://wmsc.lcsc.com/wmsc/upload/file/pdf/v2/lcsc/2406051353_HXY-MOSFET-BAT54_C5261070.pdf"/>
    <hyperlink ref="X52" r:id="rId33" location="" tooltip="" display="C2926172"/>
    <hyperlink ref="AE52" r:id="rId34" location="" tooltip="" display="https://wmsc.lcsc.com/wmsc/upload/file/pdf/v2/lcsc/2112031830_FOSAN-BAT54A_C2926172.pdf"/>
    <hyperlink ref="X53" r:id="rId35" location="" tooltip="" display="C2926174"/>
    <hyperlink ref="AE53" r:id="rId36" location="" tooltip="" display="https://wmsc.lcsc.com/wmsc/upload/file/pdf/v2/lcsc/2112031830_FOSAN-BAT54S_C2926174.pdf"/>
    <hyperlink ref="X54" r:id="rId37" location="" tooltip="" display="C408388"/>
    <hyperlink ref="AE54" r:id="rId38" location="" tooltip="" display="https://www.lcsc.com/datasheet/lcsc_datasheet_2407101108_MDD-Microdiode-Semiconductor-BAT54C_C408388.pdf"/>
    <hyperlink ref="X55" r:id="rId39" location="" tooltip="" display="C2683482"/>
    <hyperlink ref="AE55" r:id="rId40" location="" tooltip="" display="https://www.lcsc.com/datasheet/lcsc_datasheet_2403081523_IDCHIP-LM358D_C2683482.pdf"/>
    <hyperlink ref="X56" r:id="rId41" location="" tooltip="" display="C5145392"/>
    <hyperlink ref="AE56" r:id="rId42" location="" tooltip="" display="https://wmsc.lcsc.com/wmsc/upload/file/pdf/v2/lcsc/2209290930_HANSCHIP-semiconductor-NE556DRG_C5145392.pdf"/>
    <hyperlink ref="X57" r:id="rId43" location="" tooltip="" display="C629440"/>
    <hyperlink ref="AE57" r:id="rId44" location="" tooltip="" display="https://wmsc.lcsc.com/wmsc/upload/file/pdf/v2/lcsc/2203221230_Microchip-Tech-MCP23017T-E-SO_C629440.pdf"/>
    <hyperlink ref="X58" r:id="rId45" location="" tooltip="" display="C2678753"/>
    <hyperlink ref="AE58" r:id="rId46" location="" tooltip="" display="https://www.lcsc.com/datasheet/lcsc_datasheet_2405281434_NXP-Semicon-PCA9685PW-118_C2678753.pdf"/>
    <hyperlink ref="X59" r:id="rId47" location="" tooltip="" display="C965807"/>
    <hyperlink ref="AE59" r:id="rId48" location="" tooltip="" display="https://wmsc.lcsc.com/wmsc/upload/file/pdf/v2/lcsc/2402181505_XINGLIGHT-XL-1608UBC-04_C965807.pdf"/>
    <hyperlink ref="X60" r:id="rId49" location="" tooltip="" display="C965808"/>
    <hyperlink ref="AE60" r:id="rId50" location="" tooltip="" display="https://wmsc.lcsc.com/wmsc/upload/file/pdf/v2/lcsc/2402181505_XINGLIGHT-XL-1608UWC-04_C965808.pdf"/>
    <hyperlink ref="X61" r:id="rId51" location="" tooltip="" display="C965804"/>
    <hyperlink ref="AE61" r:id="rId52" location="" tooltip="" display="https://wmsc.lcsc.com/wmsc/upload/file/pdf/v2/lcsc/2402181505_XINGLIGHT-XL-1608UGC-04_C965804.pdf"/>
    <hyperlink ref="X62" r:id="rId53" location="" tooltip="" display="C965806"/>
    <hyperlink ref="AE62" r:id="rId54" location="" tooltip="" display="https://wmsc.lcsc.com/wmsc/upload/file/pdf/v2/lcsc/2402181505_XINGLIGHT-XL-1608SYGC-04_C965806.pdf"/>
    <hyperlink ref="X63" r:id="rId55" location="" tooltip="" display="C22371303"/>
    <hyperlink ref="AE63" r:id="rId56" location="" tooltip="" display="https://wmsc.lcsc.com/wmsc/upload/file/pdf/v2/lcsc/2403281522_HONGLITRONIC-Hongli-Zhihui--HONGLITRONIC-HL-PSC-1608S25OC-G4_C22371303.pdf"/>
    <hyperlink ref="X64" r:id="rId57" location="" tooltip="" display="C965800"/>
    <hyperlink ref="AE64" r:id="rId58" location="" tooltip="" display="https://wmsc.lcsc.com/wmsc/upload/file/pdf/v2/lcsc/2402181505_XINGLIGHT-XL-1608UOC-06_C965800.pdf"/>
    <hyperlink ref="X65" r:id="rId59" location="" tooltip="" display="C965801"/>
    <hyperlink ref="AE65" r:id="rId60" location="" tooltip="" display="https://wmsc.lcsc.com/wmsc/upload/file/pdf/v2/lcsc/2402181505_XINGLIGHT-XL-1608UOC-06_C965800.pdf"/>
    <hyperlink ref="X66" r:id="rId61" location="" tooltip="" display="C965803"/>
    <hyperlink ref="AE66" r:id="rId62" location="" tooltip="" display="https://wmsc.lcsc.com/wmsc/upload/file/pdf/v2/lcsc/2402181505_XINGLIGHT-XL-1608UOC-04_C965801.pdf"/>
    <hyperlink ref="X67" r:id="rId63" location="" tooltip="" display="C7288939"/>
    <hyperlink ref="AE67" r:id="rId64" location="" tooltip="" display="https://wmsc.lcsc.com/wmsc/upload/file/pdf/v2/lcsc/2404241146_Inolux-IN-S63ASR_C7288939.pdf"/>
    <hyperlink ref="X68" r:id="rId65" location="" tooltip="" display="C965799"/>
    <hyperlink ref="AE68" r:id="rId66" location="" tooltip="" display="https://wmsc.lcsc.com/wmsc/upload/file/pdf/v2/lcsc/2402181505_XINGLIGHT-XL-1608SURC-06_C965799.pdf"/>
    <hyperlink ref="X69" r:id="rId67" location="" tooltip="" display="C965798"/>
    <hyperlink ref="AE69" r:id="rId68" location="" tooltip="" display="https://wmsc.lcsc.com/wmsc/upload/file/pdf/v2/lcsc/2402181505_XINGLIGHT-XL-1608SURC-04_C965798.pdf"/>
    <hyperlink ref="X70" r:id="rId69" location="" tooltip="" display="C2843785"/>
    <hyperlink ref="AE70" r:id="rId70" location="" tooltip="" display="https://www.lcsc.com/datasheet/lcsc_datasheet_2404120946_XINGLIGHT-XL-5050RGBC-WS2812B_C2843785.pdf"/>
    <hyperlink ref="X71" r:id="rId71" location="" tooltip="" display="C5345985"/>
    <hyperlink ref="AE71" r:id="rId72" location="" tooltip="" display="https://wmsc.lcsc.com/wmsc/upload/file/pdf/v2/lcsc/2301120930_HXY-MOSFET-AMS1117-ADJ_C5345985.pdf"/>
    <hyperlink ref="X72" r:id="rId73" location="" tooltip="" display="C5345982"/>
    <hyperlink ref="AE72" r:id="rId74" location="" tooltip="" display="https://wmsc.lcsc.com/wmsc/upload/file/pdf/v2/lcsc/2301120930_HXY-MOSFET-AMS1117-3-3_C5345982.pdf"/>
    <hyperlink ref="X73" r:id="rId75" location="" tooltip="" display="C5345984"/>
    <hyperlink ref="AE73" r:id="rId76" location="" tooltip="" display="https://wmsc.lcsc.com/wmsc/upload/file/pdf/v2/lcsc/2301120930_HXY-MOSFET-AMS1117-5-0_C5345984.pdf"/>
    <hyperlink ref="AE75" r:id="rId77" location="" tooltip="" display="https://omronfs.omron.com/en_US/ecb/products/pdf/en-g2rl.pdf"/>
    <hyperlink ref="X77" r:id="rId78" location="" tooltip="" display="C5184404"/>
    <hyperlink ref="AE77" r:id="rId79" location="" tooltip="" display="https://wmsc.lcsc.com/wmsc/upload/file/pdf/v2/lcsc/2407151447_HXY-MOSFET-MMBT3904_C5184404.pdf"/>
    <hyperlink ref="X78" r:id="rId80" location="" tooltip="" display="C5184433"/>
    <hyperlink ref="AE78" r:id="rId81" location="" tooltip="" display="https://wmsc.lcsc.com/wmsc/upload/file/pdf/v2/lcsc/2303091430_HXY-MOSFET-BC807-40_C5184433.pdf"/>
    <hyperlink ref="X79" r:id="rId82" location="" tooltip="" display="C5224215"/>
    <hyperlink ref="AE79" r:id="rId83" location="" tooltip="" display="https://wmsc.lcsc.com/wmsc/upload/file/pdf/v2/lcsc/2210271630_ElecSuper-2N7002_C5224215.pdf"/>
    <hyperlink ref="X80" r:id="rId84" location="" tooltip="" display="C878901"/>
    <hyperlink ref="AE80" r:id="rId85" location="" tooltip="" display="https://www.diodes.com/assets/Datasheets/ds31773.pdf"/>
    <hyperlink ref="X81" r:id="rId86" location="" tooltip="" display="C7499856"/>
    <hyperlink ref="AE81" r:id="rId87" location="" tooltip="" display="https://wmsc.lcsc.com/wmsc/upload/file/pdf/v2/lcsc/2310251707_HL-2301V_C7499856.pdf"/>
    <hyperlink ref="X82" r:id="rId88" location="" tooltip="" display="C2907123"/>
    <hyperlink ref="AE82" r:id="rId89" location="" tooltip="" display="https://wmsc.lcsc.com/wmsc/upload/file/pdf/v2/lcsc/2308241947_FOJAN-FRC0603J201-TS_C2907123.pdf"/>
    <hyperlink ref="X83" r:id="rId90" location="" tooltip="" display="C5842375"/>
    <hyperlink ref="AE83" r:id="rId91" location="" tooltip="" display="https://wmsc.lcsc.com/wmsc/upload/file/pdf/v2/lcsc/2312030915_YAGEO-RC0603FR-13220RL_C5842375.pdf"/>
    <hyperlink ref="X84" r:id="rId92" location="" tooltip="" display="C1226"/>
    <hyperlink ref="AE84" r:id="rId93" location="" tooltip="" display="https://www.lcsc.com/datasheet/lcsc_datasheet_2206010230_UNI-ROYAL-Uniroyal-Elec-0603WAJ0221T5E_C1226.pdf"/>
    <hyperlink ref="X85" r:id="rId94" location="" tooltip="" display="C25231"/>
    <hyperlink ref="AE85" r:id="rId95" location="" tooltip="" display="https://www.lcsc.com/datasheet/lcsc_datasheet_2205311845_UNI-ROYAL-Uniroyal-Elec-0603WAJ0331T5E_C25231.pdf"/>
    <hyperlink ref="X86" r:id="rId96" location="" tooltip="" display="C25241"/>
    <hyperlink ref="AE86" r:id="rId97" location="" tooltip="" display="https://www.lcsc.com/datasheet/lcsc_datasheet_2205311845_UNI-ROYAL-Uniroyal-Elec-0603WAJ0471T5E_C25241.pdf"/>
    <hyperlink ref="X87" r:id="rId98" location="" tooltip="" display="C25585"/>
    <hyperlink ref="AE87" r:id="rId99" location="" tooltip="" display="https://www.lcsc.com/datasheet/lcsc_datasheet_2206010100_UNI-ROYAL-Uniroyal-Elec-0603WAJ0102T5E_C25585.pdf"/>
    <hyperlink ref="X88" r:id="rId100" location="" tooltip="" display="C25992"/>
    <hyperlink ref="AE88" r:id="rId101" location="" tooltip="" display="https://www.lcsc.com/datasheet/lcsc_datasheet_2206010045_UNI-ROYAL-Uniroyal-Elec-0603WAJ0222T5E_C25992.pdf"/>
    <hyperlink ref="X89" r:id="rId102" location="" tooltip="" display="C2907023"/>
    <hyperlink ref="AE89" r:id="rId103" location="" tooltip="" display="https://wmsc.lcsc.com/wmsc/upload/file/pdf/v2/lcsc/2308241947_FOJAN-FRC0603F3301TS_C2907023.pdf"/>
    <hyperlink ref="X90" r:id="rId104" location="" tooltip="" display="C25995"/>
    <hyperlink ref="AE90" r:id="rId105" location="" tooltip="" display="https://www.lcsc.com/datasheet/lcsc_datasheet_2206010045_UNI-ROYAL-Uniroyal-Elec-0603WAJ0332T5E_C25995.pdf"/>
    <hyperlink ref="X91" r:id="rId106" location="" tooltip="" display="C25999"/>
    <hyperlink ref="AE91" r:id="rId107" location="" tooltip="" display="https://www.lcsc.com/datasheet/lcsc_datasheet_2206010045_UNI-ROYAL-Uniroyal-Elec-0603WAJ0472T5E_C25999.pdf"/>
    <hyperlink ref="X92" r:id="rId108" location="" tooltip="" display="C26001"/>
    <hyperlink ref="AE92" r:id="rId109" location="" tooltip="" display="https://www.lcsc.com/datasheet/lcsc_datasheet_2206010045_UNI-ROYAL-Uniroyal-Elec-0603WAJ0562T5E_C26001.pdf"/>
    <hyperlink ref="X93" r:id="rId110" location="" tooltip="" display="C4118381"/>
    <hyperlink ref="AE93" r:id="rId111" location="" tooltip="" display="https://wmsc.lcsc.com/wmsc/upload/file/pdf/v2/lcsc/2404101024_YAGEO-RC0603JR-1310KL_C4118381.pdf"/>
    <hyperlink ref="X94" r:id="rId112" location="" tooltip="" display="C2930027"/>
    <hyperlink ref="AE94" r:id="rId113" location="" tooltip="" display="https://wmsc.lcsc.com/wmsc/upload/file/pdf/v2/lcsc/2308241009_FOJAN-FRC0603J103TS_C2930027.pdf"/>
    <hyperlink ref="X95" r:id="rId114" location="" tooltip="" display="C15401"/>
    <hyperlink ref="AE95" r:id="rId115" location="" tooltip="" display="https://wmsc.lcsc.com/wmsc/upload/file/pdf/v2/lcsc/2308241009_FOJAN-FRC0603J103TS_C2930027.pdf"/>
    <hyperlink ref="X96" r:id="rId116" location="" tooltip="" display="C23344"/>
    <hyperlink ref="AE96" r:id="rId117" location="" tooltip="" display="https://www.lcsc.com/datasheet/lcsc_datasheet_2206010100_UNI-ROYAL-Uniroyal-Elec-0603WAJ0223T5E_C23344.pdf"/>
    <hyperlink ref="X97" r:id="rId118" location="" tooltip="" display="C15458"/>
    <hyperlink ref="AE97" r:id="rId119" location="" tooltip="" display="https://www.lcsc.com/datasheet/lcsc_datasheet_2206010216_UNI-ROYAL-Uniroyal-Elec-0603WAJ0104T5E_C15458.pdf"/>
    <hyperlink ref="X98" r:id="rId120" location="" tooltip="" display="C22935"/>
    <hyperlink ref="AE98" r:id="rId121" location="" tooltip="" display="https://www.lcsc.com/datasheet/lcsc_datasheet_2206010130_UNI-ROYAL-Uniroyal-Elec-0603WAF1004T5E_C22935.pdf"/>
    <hyperlink ref="X99" r:id="rId122" location="" tooltip="" display="C26098"/>
    <hyperlink ref="AE99" r:id="rId123" location="" tooltip="" display="https://www.lcsc.com/datasheet/lcsc_datasheet_2206010030_UNI-ROYAL-Uniroyal-Elec-0603WAJ0105T5E_C26098.pdf"/>
    <hyperlink ref="X100" r:id="rId124" location="" tooltip="" display="C18679"/>
    <hyperlink ref="AE100" r:id="rId125" location="" tooltip="" display="https://www.lcsc.com/datasheet/lcsc_datasheet_2206010145_UNI-ROYAL-Uniroyal-Elec-0603WAJ0225T5E_C18679.pdf"/>
    <hyperlink ref="X101" r:id="rId126" location="" tooltip="" display="C403986"/>
    <hyperlink ref="AE101" r:id="rId127" location="" tooltip="" display="https://wmsc.lcsc.com/wmsc/upload/file/pdf/v2/lcsc/2304140030_FH--Guangdong-Fenghua-Advanced-Tech-RS-03L225JJT_C403986.pdf"/>
    <hyperlink ref="X102" r:id="rId128" location="" tooltip="" display="C18679"/>
    <hyperlink ref="AE102" r:id="rId129" location="" tooltip="" display="https://www.lcsc.com/datasheet/lcsc_datasheet_2206010145_UNI-ROYAL-Uniroyal-Elec-0603WAJ0225T5E_C18679.pdf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