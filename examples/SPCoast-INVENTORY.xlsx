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<sst xmlns="http://schemas.openxmlformats.org/spreadsheetml/2006/main" uniqueCount="1087">
  <si>
    <t>SPCoast Part Inventory</t>
  </si>
  <si>
    <t>IPN</t>
  </si>
  <si>
    <t>ComponentName</t>
  </si>
  <si>
    <t>Keywords</t>
  </si>
  <si>
    <t>Category</t>
  </si>
  <si>
    <t>SMD</t>
  </si>
  <si>
    <t>Value</t>
  </si>
  <si>
    <t>Type</t>
  </si>
  <si>
    <t>Description</t>
  </si>
  <si>
    <t>Name</t>
  </si>
  <si>
    <t>Resistance</t>
  </si>
  <si>
    <t>Capacitance</t>
  </si>
  <si>
    <t>Inductance</t>
  </si>
  <si>
    <t>Package</t>
  </si>
  <si>
    <t>Form</t>
  </si>
  <si>
    <t>Pins</t>
  </si>
  <si>
    <t>Pitch</t>
  </si>
  <si>
    <t>Tolerance</t>
  </si>
  <si>
    <t>V</t>
  </si>
  <si>
    <t>A</t>
  </si>
  <si>
    <t>W</t>
  </si>
  <si>
    <t>Angle</t>
  </si>
  <si>
    <t>Wavelength</t>
  </si>
  <si>
    <t>mcd</t>
  </si>
  <si>
    <t>Frequency</t>
  </si>
  <si>
    <t>Mouser</t>
  </si>
  <si>
    <t>Mouser Link</t>
  </si>
  <si>
    <t>LCSC</t>
  </si>
  <si>
    <t>LCSC Link</t>
  </si>
  <si>
    <t>Priority</t>
  </si>
  <si>
    <t>Status</t>
  </si>
  <si>
    <t>Manufacturer</t>
  </si>
  <si>
    <t>MPN</t>
  </si>
  <si>
    <t>Symbol</t>
  </si>
  <si>
    <t>Footprint</t>
  </si>
  <si>
    <t>Datasheet</t>
  </si>
  <si>
    <r>
      <rPr>
        <sz val="10"/>
        <color indexed="8"/>
        <rFont val="Arial"/>
      </rPr>
      <t>SLK_BRD_80x100</t>
    </r>
  </si>
  <si>
    <r>
      <rPr>
        <sz val="10"/>
        <color indexed="8"/>
        <rFont val="Arial"/>
      </rPr>
      <t>BRD_80x100 Board Outline &amp; Milling</t>
    </r>
  </si>
  <si>
    <r>
      <rPr>
        <sz val="10"/>
        <color indexed="8"/>
        <rFont val="Arial"/>
      </rPr>
      <t>SLK_BRD_80x100 BRD_80x100 SLK Board Outline &amp; Milling</t>
    </r>
  </si>
  <si>
    <t>SLK</t>
  </si>
  <si>
    <t>Other</t>
  </si>
  <si>
    <r>
      <rPr>
        <sz val="10"/>
        <color indexed="8"/>
        <rFont val="Arial"/>
      </rPr>
      <t>BRD_80x100</t>
    </r>
  </si>
  <si>
    <t>Board Outline &amp; Milling</t>
  </si>
  <si>
    <t>PCB Board outline with mounting holes - fits Tyco 3 mounting rail</t>
  </si>
  <si>
    <t>BRD_80x100</t>
  </si>
  <si>
    <t>Passive</t>
  </si>
  <si>
    <t>SPCoast:Board</t>
  </si>
  <si>
    <t>SPCoast:Board_080x100</t>
  </si>
  <si>
    <r>
      <rPr>
        <sz val="10"/>
        <color indexed="8"/>
        <rFont val="Arial"/>
      </rPr>
      <t>SLK_BRD_100x50</t>
    </r>
  </si>
  <si>
    <r>
      <rPr>
        <sz val="10"/>
        <color indexed="8"/>
        <rFont val="Arial"/>
      </rPr>
      <t>BRD_100x50 Board Outline &amp; Milling</t>
    </r>
  </si>
  <si>
    <r>
      <rPr>
        <sz val="10"/>
        <color indexed="8"/>
        <rFont val="Arial"/>
      </rPr>
      <t>BRD_100x50 SLK Board Outline &amp; Milling</t>
    </r>
  </si>
  <si>
    <r>
      <rPr>
        <sz val="10"/>
        <color indexed="8"/>
        <rFont val="Arial"/>
      </rPr>
      <t>BRD_100x50</t>
    </r>
  </si>
  <si>
    <t>PCB Board outline with mounting holes</t>
  </si>
  <si>
    <t>BRD_100x50</t>
  </si>
  <si>
    <t>SPCoast:Board_100x050</t>
  </si>
  <si>
    <r>
      <rPr>
        <sz val="10"/>
        <color indexed="8"/>
        <rFont val="Arial"/>
      </rPr>
      <t>SLK_BRD_100x25x2</t>
    </r>
  </si>
  <si>
    <r>
      <rPr>
        <sz val="10"/>
        <color indexed="8"/>
        <rFont val="Arial"/>
      </rPr>
      <t>BRD_100x25x2 Board Outline &amp; Milling</t>
    </r>
  </si>
  <si>
    <r>
      <rPr>
        <sz val="10"/>
        <color indexed="8"/>
        <rFont val="Arial"/>
      </rPr>
      <t>BRD_100x25x2 SLK Board Outline &amp; Milling</t>
    </r>
  </si>
  <si>
    <r>
      <rPr>
        <sz val="10"/>
        <color indexed="8"/>
        <rFont val="Arial"/>
      </rPr>
      <t>BRD_100x25x2</t>
    </r>
  </si>
  <si>
    <t>BRD_100x25x2</t>
  </si>
  <si>
    <t>SPCoast:Board_100x050_2</t>
  </si>
  <si>
    <r>
      <rPr>
        <sz val="10"/>
        <color indexed="8"/>
        <rFont val="Arial"/>
      </rPr>
      <t>SLK_BRD_100x75</t>
    </r>
  </si>
  <si>
    <r>
      <rPr>
        <sz val="10"/>
        <color indexed="8"/>
        <rFont val="Arial"/>
      </rPr>
      <t>BRD_100x75 Board Outline &amp; Milling</t>
    </r>
  </si>
  <si>
    <r>
      <rPr>
        <sz val="10"/>
        <color indexed="8"/>
        <rFont val="Arial"/>
      </rPr>
      <t>BRD_100x75 SLK Board Outline &amp; Milling</t>
    </r>
  </si>
  <si>
    <r>
      <rPr>
        <sz val="10"/>
        <color indexed="8"/>
        <rFont val="Arial"/>
      </rPr>
      <t>BRD_100x75</t>
    </r>
  </si>
  <si>
    <t>BRD_100x75</t>
  </si>
  <si>
    <t>SPCoast:Board_100x075</t>
  </si>
  <si>
    <t>PCB Board outline with mounting holes  large radius corners</t>
  </si>
  <si>
    <t>SPCoast:Board_100x075_Rounded</t>
  </si>
  <si>
    <r>
      <rPr>
        <sz val="10"/>
        <color indexed="8"/>
        <rFont val="Arial"/>
      </rPr>
      <t>SLK_BRD_100x100</t>
    </r>
  </si>
  <si>
    <r>
      <rPr>
        <sz val="10"/>
        <color indexed="8"/>
        <rFont val="Arial"/>
      </rPr>
      <t>BRD_100x100 Board Outline &amp; Milling</t>
    </r>
  </si>
  <si>
    <r>
      <rPr>
        <sz val="10"/>
        <color indexed="8"/>
        <rFont val="Arial"/>
      </rPr>
      <t>BRD_100x100 SLK Board Outline &amp; Milling</t>
    </r>
  </si>
  <si>
    <r>
      <rPr>
        <sz val="10"/>
        <color indexed="8"/>
        <rFont val="Arial"/>
      </rPr>
      <t>BRD_100x100</t>
    </r>
  </si>
  <si>
    <t>BRD_100x100</t>
  </si>
  <si>
    <t>SPCoast:Board_100x100</t>
  </si>
  <si>
    <r>
      <rPr>
        <sz val="10"/>
        <color indexed="8"/>
        <rFont val="Arial"/>
      </rPr>
      <t>SLK_BRD_100x150</t>
    </r>
  </si>
  <si>
    <r>
      <rPr>
        <sz val="10"/>
        <color indexed="8"/>
        <rFont val="Arial"/>
      </rPr>
      <t>BRD_100x150 Board Outline &amp; Milling</t>
    </r>
  </si>
  <si>
    <r>
      <rPr>
        <sz val="10"/>
        <color indexed="8"/>
        <rFont val="Arial"/>
      </rPr>
      <t>BRD_100x150 SLK Board Outline &amp; Milling</t>
    </r>
  </si>
  <si>
    <r>
      <rPr>
        <sz val="10"/>
        <color indexed="8"/>
        <rFont val="Arial"/>
      </rPr>
      <t>BRD_100x150</t>
    </r>
  </si>
  <si>
    <t>BRD_100x150</t>
  </si>
  <si>
    <t>SPCoast:Board_100x150</t>
  </si>
  <si>
    <r>
      <rPr>
        <sz val="10"/>
        <color indexed="8"/>
        <rFont val="Arial"/>
      </rPr>
      <t>SLK_BRD_100x200</t>
    </r>
  </si>
  <si>
    <r>
      <rPr>
        <sz val="10"/>
        <color indexed="8"/>
        <rFont val="Arial"/>
      </rPr>
      <t>BRD_100x200 Board Outline &amp; Milling</t>
    </r>
  </si>
  <si>
    <r>
      <rPr>
        <sz val="10"/>
        <color indexed="8"/>
        <rFont val="Arial"/>
      </rPr>
      <t>BRD_100x200 SLK Board Outline &amp; Milling</t>
    </r>
  </si>
  <si>
    <r>
      <rPr>
        <sz val="10"/>
        <color indexed="8"/>
        <rFont val="Arial"/>
      </rPr>
      <t>BRD_100x200</t>
    </r>
  </si>
  <si>
    <t>BRD_100x200</t>
  </si>
  <si>
    <t>SPCoast:Board_100x200</t>
  </si>
  <si>
    <r>
      <rPr>
        <sz val="10"/>
        <color indexed="8"/>
        <rFont val="Arial"/>
      </rPr>
      <t>SLK_DCPower+</t>
    </r>
  </si>
  <si>
    <r>
      <rPr>
        <sz val="10"/>
        <color indexed="8"/>
        <rFont val="Arial"/>
      </rPr>
      <t>DCPower+ SilkScreen</t>
    </r>
  </si>
  <si>
    <r>
      <rPr>
        <sz val="10"/>
        <color indexed="8"/>
        <rFont val="Arial"/>
      </rPr>
      <t>DCPower+ SLK SilkScreen</t>
    </r>
  </si>
  <si>
    <r>
      <rPr>
        <sz val="10"/>
        <color indexed="8"/>
        <rFont val="Arial"/>
      </rPr>
      <t>DCPower+</t>
    </r>
  </si>
  <si>
    <t>SilkScreen</t>
  </si>
  <si>
    <t>DC Power Jack Label</t>
  </si>
  <si>
    <t>DCPower+</t>
  </si>
  <si>
    <t>SPCoast:DOC_Label-Power_CP</t>
  </si>
  <si>
    <t>SPCoast:SILK_Label-Power_CP</t>
  </si>
  <si>
    <r>
      <rPr>
        <sz val="10"/>
        <color indexed="8"/>
        <rFont val="Arial"/>
      </rPr>
      <t>SLK_DCPower-</t>
    </r>
  </si>
  <si>
    <r>
      <rPr>
        <sz val="10"/>
        <color indexed="8"/>
        <rFont val="Arial"/>
      </rPr>
      <t>DCPower- SilkScreen</t>
    </r>
  </si>
  <si>
    <r>
      <rPr>
        <sz val="10"/>
        <color indexed="8"/>
        <rFont val="Arial"/>
      </rPr>
      <t>DCPower- SLK SilkScreen</t>
    </r>
  </si>
  <si>
    <r>
      <rPr>
        <sz val="10"/>
        <color indexed="8"/>
        <rFont val="Arial"/>
      </rPr>
      <t>DCPower-</t>
    </r>
  </si>
  <si>
    <t>DCPower-</t>
  </si>
  <si>
    <t>SPCoast:DOC_Label-Power_CN</t>
  </si>
  <si>
    <t>SPCoast:SILK_Label-Power_CN</t>
  </si>
  <si>
    <r>
      <rPr>
        <sz val="10"/>
        <color indexed="8"/>
        <rFont val="Arial"/>
      </rPr>
      <t>SLK_CA65</t>
    </r>
  </si>
  <si>
    <r>
      <rPr>
        <sz val="10"/>
        <color indexed="8"/>
        <rFont val="Arial"/>
      </rPr>
      <t>CA65 SilkScreen</t>
    </r>
  </si>
  <si>
    <r>
      <rPr>
        <sz val="10"/>
        <color indexed="8"/>
        <rFont val="Arial"/>
      </rPr>
      <t>CA65 SLK SilkScreen</t>
    </r>
  </si>
  <si>
    <r>
      <rPr>
        <sz val="10"/>
        <color indexed="8"/>
        <rFont val="Arial"/>
      </rPr>
      <t>CA65</t>
    </r>
  </si>
  <si>
    <t>California Prop 65 warning</t>
  </si>
  <si>
    <t>CA65</t>
  </si>
  <si>
    <t>SPCoast:DOC_Label-CA65</t>
  </si>
  <si>
    <t>SPCoast:SILK_Label-CA65</t>
  </si>
  <si>
    <r>
      <rPr>
        <sz val="10"/>
        <color indexed="8"/>
        <rFont val="Arial"/>
      </rPr>
      <t>SLK_CC-by-sa</t>
    </r>
  </si>
  <si>
    <r>
      <rPr>
        <sz val="10"/>
        <color indexed="8"/>
        <rFont val="Arial"/>
      </rPr>
      <t>CC-by-sa SilkScreen</t>
    </r>
  </si>
  <si>
    <r>
      <rPr>
        <sz val="10"/>
        <color indexed="8"/>
        <rFont val="Arial"/>
      </rPr>
      <t>CC-by-sa SLK SilkScreen</t>
    </r>
  </si>
  <si>
    <r>
      <rPr>
        <sz val="10"/>
        <color indexed="8"/>
        <rFont val="Arial"/>
      </rPr>
      <t>CC-by-sa</t>
    </r>
  </si>
  <si>
    <t>Creative Commons License 3.0</t>
  </si>
  <si>
    <t>CC-by-sa</t>
  </si>
  <si>
    <t>SPCoast:DOC_License-CC-BY-SA</t>
  </si>
  <si>
    <t>SPCoast:SILK_License-CC-by-sa</t>
  </si>
  <si>
    <r>
      <rPr>
        <sz val="10"/>
        <color indexed="8"/>
        <rFont val="Arial"/>
      </rPr>
      <t>SLK_Logo_MRCS</t>
    </r>
  </si>
  <si>
    <r>
      <rPr>
        <sz val="10"/>
        <color indexed="8"/>
        <rFont val="Arial"/>
      </rPr>
      <t>Logo_MRCS SilkScreen</t>
    </r>
  </si>
  <si>
    <r>
      <rPr>
        <sz val="10"/>
        <color indexed="8"/>
        <rFont val="Arial"/>
      </rPr>
      <t>Logo_MRCS SLK SilkScreen</t>
    </r>
  </si>
  <si>
    <r>
      <rPr>
        <sz val="10"/>
        <color indexed="8"/>
        <rFont val="Arial"/>
      </rPr>
      <t>Logo_MRCS</t>
    </r>
  </si>
  <si>
    <t>MRCS PCB Logo</t>
  </si>
  <si>
    <t>Logo_MRCS</t>
  </si>
  <si>
    <t>SPCoast:DOC_Logo-MRCS</t>
  </si>
  <si>
    <t>SPCoast:SILK_Logo-MRCS</t>
  </si>
  <si>
    <r>
      <rPr>
        <sz val="10"/>
        <color indexed="8"/>
        <rFont val="Arial"/>
      </rPr>
      <t>SLK_Logo_SPCoast</t>
    </r>
  </si>
  <si>
    <r>
      <rPr>
        <sz val="10"/>
        <color indexed="8"/>
        <rFont val="Arial"/>
      </rPr>
      <t>Logo_SPCoast SilkScreen</t>
    </r>
  </si>
  <si>
    <r>
      <rPr>
        <sz val="10"/>
        <color indexed="8"/>
        <rFont val="Arial"/>
      </rPr>
      <t>Logo_SPCoast SLK SilkScreen</t>
    </r>
  </si>
  <si>
    <r>
      <rPr>
        <sz val="10"/>
        <color indexed="8"/>
        <rFont val="Arial"/>
      </rPr>
      <t>Logo_SPCoast</t>
    </r>
  </si>
  <si>
    <t>SPCoast PCB Logo</t>
  </si>
  <si>
    <t>Logo_SPCoast</t>
  </si>
  <si>
    <t>SPCoast:DOC_Logo-SPCoast</t>
  </si>
  <si>
    <t>SPCoast:SILK_Logo-SPCoast</t>
  </si>
  <si>
    <r>
      <rPr>
        <sz val="10"/>
        <color indexed="8"/>
        <rFont val="Arial"/>
      </rPr>
      <t>SLK_Power_Draw</t>
    </r>
  </si>
  <si>
    <r>
      <rPr>
        <sz val="10"/>
        <color indexed="8"/>
        <rFont val="Arial"/>
      </rPr>
      <t>Power_Draw SilkScreen</t>
    </r>
  </si>
  <si>
    <r>
      <rPr>
        <sz val="10"/>
        <color indexed="8"/>
        <rFont val="Arial"/>
      </rPr>
      <t>Power_Draw SLK SilkScreen</t>
    </r>
  </si>
  <si>
    <r>
      <rPr>
        <sz val="10"/>
        <color indexed="8"/>
        <rFont val="Arial"/>
      </rPr>
      <t>Power_Draw</t>
    </r>
  </si>
  <si>
    <t>SPCoast Power Consumption Label</t>
  </si>
  <si>
    <t>Power_Draw</t>
  </si>
  <si>
    <t>SPCoast:DOC_Label-Current-Sink</t>
  </si>
  <si>
    <t>SPCoast:SILK_Label-Current-Sink</t>
  </si>
  <si>
    <r>
      <rPr>
        <sz val="10"/>
        <color indexed="8"/>
        <rFont val="Arial"/>
      </rPr>
      <t>SLK_Power_Provide</t>
    </r>
  </si>
  <si>
    <r>
      <rPr>
        <sz val="10"/>
        <color indexed="8"/>
        <rFont val="Arial"/>
      </rPr>
      <t>Power_Provide SilkScreen</t>
    </r>
  </si>
  <si>
    <r>
      <rPr>
        <sz val="10"/>
        <color indexed="8"/>
        <rFont val="Arial"/>
      </rPr>
      <t>Power_Provide SLK SilkScreen</t>
    </r>
  </si>
  <si>
    <r>
      <rPr>
        <sz val="10"/>
        <color indexed="8"/>
        <rFont val="Arial"/>
      </rPr>
      <t>Power_Provide</t>
    </r>
  </si>
  <si>
    <t>SPCoast Power Provision Label</t>
  </si>
  <si>
    <t>Power_Provide</t>
  </si>
  <si>
    <t>SPCoast:DOC_Label-Current-Source</t>
  </si>
  <si>
    <t>SPCoast:SILK_Label-Current-Source</t>
  </si>
  <si>
    <r>
      <rPr>
        <sz val="10"/>
        <color indexed="8"/>
        <rFont val="Arial"/>
      </rPr>
      <t>CON_TC2030-NL</t>
    </r>
  </si>
  <si>
    <r>
      <rPr>
        <sz val="10"/>
        <color indexed="8"/>
        <rFont val="Arial"/>
      </rPr>
      <t>TC2030-NL SilkScreen &amp; Pads</t>
    </r>
  </si>
  <si>
    <r>
      <rPr>
        <sz val="10"/>
        <color indexed="8"/>
        <rFont val="Arial"/>
      </rPr>
      <t>TC2030-NL CON SilkScreen &amp; Pads</t>
    </r>
  </si>
  <si>
    <t>CON</t>
  </si>
  <si>
    <r>
      <rPr>
        <sz val="10"/>
        <color indexed="8"/>
        <rFont val="Arial"/>
      </rPr>
      <t>TC2030-NL</t>
    </r>
  </si>
  <si>
    <t>SilkScreen &amp; Pads</t>
  </si>
  <si>
    <t>Tag Connect “No Legs” 6-pin Plug-of-Nails™ programming cable with a 6-pin 0.1″ pitch ribbon connector.</t>
  </si>
  <si>
    <t>NL</t>
  </si>
  <si>
    <t>2x3</t>
  </si>
  <si>
    <t>0.1"</t>
  </si>
  <si>
    <t>Tag Connect</t>
  </si>
  <si>
    <t>TC2030-NL</t>
  </si>
  <si>
    <t>SPCoast:TC2030-IDC</t>
  </si>
  <si>
    <t>SPCoast:Tag-Connect_TC2030-IDC-NL_2x03_P1.27mm_Vertical</t>
  </si>
  <si>
    <r>
      <rPr>
        <sz val="10"/>
        <color indexed="8"/>
        <rFont val="Arial"/>
      </rPr>
      <t>CON_TC2030-FP</t>
    </r>
  </si>
  <si>
    <r>
      <rPr>
        <sz val="10"/>
        <color indexed="8"/>
        <rFont val="Arial"/>
      </rPr>
      <t>TC2030-FP SilkScreen &amp; Pads</t>
    </r>
  </si>
  <si>
    <r>
      <rPr>
        <sz val="10"/>
        <color indexed="8"/>
        <rFont val="Arial"/>
      </rPr>
      <t>TC2030-FP CON SilkScreen &amp; Pads</t>
    </r>
  </si>
  <si>
    <r>
      <rPr>
        <sz val="10"/>
        <color indexed="8"/>
        <rFont val="Arial"/>
      </rPr>
      <t>TC2030-FP</t>
    </r>
  </si>
  <si>
    <t>Tag Connect “With Legs” 6-pin Plug-of-Nails™ programming cable with a 6-pin 0.1″ pitch ribbon connector.</t>
  </si>
  <si>
    <t>Legs</t>
  </si>
  <si>
    <t>TC2030-FP</t>
  </si>
  <si>
    <t>SPCoast:Tag-Connect_TC2030-IDC-FP_2x03_P1.27mm_Vertical</t>
  </si>
  <si>
    <r>
      <rPr>
        <sz val="10"/>
        <color indexed="8"/>
        <rFont val="Arial"/>
      </rPr>
      <t>CON_TC2050-NL</t>
    </r>
  </si>
  <si>
    <r>
      <rPr>
        <sz val="10"/>
        <color indexed="8"/>
        <rFont val="Arial"/>
      </rPr>
      <t>TC2050-NL SilkScreen &amp; Pads</t>
    </r>
  </si>
  <si>
    <r>
      <rPr>
        <sz val="10"/>
        <color indexed="8"/>
        <rFont val="Arial"/>
      </rPr>
      <t>TC2050-NL CON SilkScreen &amp; Pads</t>
    </r>
  </si>
  <si>
    <r>
      <rPr>
        <sz val="10"/>
        <color indexed="8"/>
        <rFont val="Arial"/>
      </rPr>
      <t>TC2050-NL</t>
    </r>
  </si>
  <si>
    <t>Tag Connect “No Legs”10-pin Plug-of-Nails™ programming cable with a 10-pin 0.1″ pitch ribbon connector.</t>
  </si>
  <si>
    <t>2x5</t>
  </si>
  <si>
    <t>TC2050-NL</t>
  </si>
  <si>
    <t>SPCoast:TC2050-IDC</t>
  </si>
  <si>
    <t>SPCoast:Tag-Connect_TC2050-IDC-NL_2x05_P1.27mm_Vertical</t>
  </si>
  <si>
    <r>
      <rPr>
        <sz val="10"/>
        <color indexed="8"/>
        <rFont val="Arial"/>
      </rPr>
      <t>CON_TC2050-FP</t>
    </r>
  </si>
  <si>
    <r>
      <rPr>
        <sz val="10"/>
        <color indexed="8"/>
        <rFont val="Arial"/>
      </rPr>
      <t>TC2050-FP SilkScreen &amp; Pads</t>
    </r>
  </si>
  <si>
    <r>
      <rPr>
        <sz val="10"/>
        <color indexed="8"/>
        <rFont val="Arial"/>
      </rPr>
      <t>TC2050-FP CON SilkScreen &amp; Pads</t>
    </r>
  </si>
  <si>
    <r>
      <rPr>
        <sz val="10"/>
        <color indexed="8"/>
        <rFont val="Arial"/>
      </rPr>
      <t>TC2050-FP</t>
    </r>
  </si>
  <si>
    <t>Tag Connect “With Legs” 10-pin Plug-of-Nails™ programming cable with a10-pin 0.1″ pitch ribbon connector.</t>
  </si>
  <si>
    <t>TC2050-FP</t>
  </si>
  <si>
    <t>SPCoast:Tag-Connect_TC2050-IDC-FP_2x05_P1.27mm_Vertical</t>
  </si>
  <si>
    <r>
      <rPr>
        <sz val="10"/>
        <color indexed="8"/>
        <rFont val="Arial"/>
      </rPr>
      <t>CON_TC2070-FP</t>
    </r>
  </si>
  <si>
    <r>
      <rPr>
        <sz val="10"/>
        <color indexed="8"/>
        <rFont val="Arial"/>
      </rPr>
      <t>TC2070-FP SilkScreen &amp; Pads</t>
    </r>
  </si>
  <si>
    <r>
      <rPr>
        <sz val="10"/>
        <color indexed="8"/>
        <rFont val="Arial"/>
      </rPr>
      <t>TC2070-FP CON SilkScreen &amp; Pads</t>
    </r>
  </si>
  <si>
    <r>
      <rPr>
        <sz val="10"/>
        <color indexed="8"/>
        <rFont val="Arial"/>
      </rPr>
      <t>TC2070-FP</t>
    </r>
  </si>
  <si>
    <t>Tag Connect “With Legs” 14-pin Plug-of-Nails™ programming cable with a 14-pin 0.1″ pitch ribbon connector.</t>
  </si>
  <si>
    <t>2x7</t>
  </si>
  <si>
    <t>TC2070-FP</t>
  </si>
  <si>
    <t>SPCoast:TC2070-IDC</t>
  </si>
  <si>
    <t>SPCoast:Tag-Connect_TC2070-IDC-FP_2x07_P1.27mm_Vertical</t>
  </si>
  <si>
    <r>
      <rPr>
        <sz val="10"/>
        <color indexed="8"/>
        <rFont val="Arial"/>
      </rPr>
      <t>SWI_EDG104S</t>
    </r>
  </si>
  <si>
    <r>
      <rPr>
        <sz val="10"/>
        <color indexed="8"/>
        <rFont val="Arial"/>
      </rPr>
      <t>EDG104S SPSTx4 DIP</t>
    </r>
  </si>
  <si>
    <r>
      <rPr>
        <sz val="10"/>
        <color indexed="8"/>
        <rFont val="Arial"/>
      </rPr>
      <t>EDG104S SWI SPSTx4 DIP</t>
    </r>
  </si>
  <si>
    <t>SWI</t>
  </si>
  <si>
    <t>PTH</t>
  </si>
  <si>
    <r>
      <rPr>
        <sz val="10"/>
        <color indexed="8"/>
        <rFont val="Arial"/>
      </rPr>
      <t>EDG104S</t>
    </r>
  </si>
  <si>
    <t>SPSTx4 DIP</t>
  </si>
  <si>
    <t>SPST x4 DIP Switch</t>
  </si>
  <si>
    <t>DIP-8</t>
  </si>
  <si>
    <t>0.3"</t>
  </si>
  <si>
    <t>2x4</t>
  </si>
  <si>
    <t>C840579</t>
  </si>
  <si>
    <r>
      <rPr>
        <u val="single"/>
        <sz val="10"/>
        <color indexed="8"/>
        <rFont val="Arial"/>
      </rPr>
      <t>C840579</t>
    </r>
  </si>
  <si>
    <t>Available</t>
  </si>
  <si>
    <t>ECE</t>
  </si>
  <si>
    <t>EDG104S</t>
  </si>
  <si>
    <t>SPCoast:SW-EDG-04</t>
  </si>
  <si>
    <r>
      <rPr>
        <u val="single"/>
        <sz val="10"/>
        <color indexed="8"/>
        <rFont val="Arial"/>
      </rPr>
      <t>https://wmsc.lcsc.com/wmsc/upload/file/pdf/v2/lcsc/2311231642_ECE-EDG104S33_C840579.pdf</t>
    </r>
  </si>
  <si>
    <r>
      <rPr>
        <sz val="10"/>
        <color indexed="8"/>
        <rFont val="Arial"/>
      </rPr>
      <t>SWI_6x6x6mm_PTH</t>
    </r>
  </si>
  <si>
    <r>
      <rPr>
        <sz val="10"/>
        <color indexed="8"/>
        <rFont val="Arial"/>
      </rPr>
      <t>6x6x6mm_PTH SPSTx1 6mm Momentary</t>
    </r>
  </si>
  <si>
    <r>
      <rPr>
        <sz val="10"/>
        <color indexed="8"/>
        <rFont val="Arial"/>
      </rPr>
      <t>6x6x6mm_PTH SWI SPSTx1 6mm Momentary</t>
    </r>
  </si>
  <si>
    <t>6x6x6mm_PTH</t>
  </si>
  <si>
    <t>SPSTx1 6mm Momentary</t>
  </si>
  <si>
    <t>Round Button Direct Insert SPST 6mm 5.5mm 50mA 100M 100 000 Times 12V 250gf Plugin Tactile Switch</t>
  </si>
  <si>
    <t>6mm button</t>
  </si>
  <si>
    <t>2x2</t>
  </si>
  <si>
    <t>C5340138</t>
  </si>
  <si>
    <r>
      <rPr>
        <u val="single"/>
        <sz val="10"/>
        <color indexed="8"/>
        <rFont val="Arial"/>
      </rPr>
      <t>C5340138</t>
    </r>
  </si>
  <si>
    <t>hanxia</t>
  </si>
  <si>
    <t>HX TS666CJ 250gf 009</t>
  </si>
  <si>
    <t>SPCoast:SW_Push</t>
  </si>
  <si>
    <t>SPCoast:SW_Push_SPST_6mmx6mm_PTH</t>
  </si>
  <si>
    <r>
      <rPr>
        <u val="single"/>
        <sz val="10"/>
        <color indexed="8"/>
        <rFont val="Arial"/>
      </rPr>
      <t>https://wmsc.lcsc.com/wmsc/upload/file/pdf/v2/lcsc/2212291730_hanxia-HX-TS666CJ-250gf-009_C5340138.pdf</t>
    </r>
  </si>
  <si>
    <r>
      <rPr>
        <sz val="10"/>
        <color indexed="8"/>
        <rFont val="Arial"/>
      </rPr>
      <t>SWI_6x6x6mm_SMD</t>
    </r>
  </si>
  <si>
    <r>
      <rPr>
        <sz val="10"/>
        <color indexed="8"/>
        <rFont val="Arial"/>
      </rPr>
      <t>6x6x6mm_SMD SPSTx1 6mm Momentary</t>
    </r>
  </si>
  <si>
    <r>
      <rPr>
        <sz val="10"/>
        <color indexed="8"/>
        <rFont val="Arial"/>
      </rPr>
      <t>6x6x6mm_SMD SWI SPSTx1 6mm Momentary</t>
    </r>
  </si>
  <si>
    <t>6x6x6mm_SMD</t>
  </si>
  <si>
    <t>Round Button Standing paste SPST 6mm 6mm 6mm 50mA 100M 100 000 Times 12V 250gf SMD Tactile Switch</t>
  </si>
  <si>
    <t>C5340123</t>
  </si>
  <si>
    <r>
      <rPr>
        <u val="single"/>
        <sz val="10"/>
        <color indexed="8"/>
        <rFont val="Arial"/>
      </rPr>
      <t>C5340123</t>
    </r>
  </si>
  <si>
    <t>HX TS666TP 250gf 009</t>
  </si>
  <si>
    <t>SPCoast:SW_Push_SPST_6mmx6mm_SMT</t>
  </si>
  <si>
    <r>
      <rPr>
        <u val="single"/>
        <sz val="10"/>
        <color indexed="8"/>
        <rFont val="Arial"/>
      </rPr>
      <t>https://wmsc.lcsc.com/wmsc/upload/file/pdf/v2/lcsc/2212271430_hanxia-HX-TS666TP-250gf-009_C5340123.pdf</t>
    </r>
  </si>
  <si>
    <r>
      <rPr>
        <sz val="10"/>
        <color indexed="8"/>
        <rFont val="Arial"/>
      </rPr>
      <t>CON_DCJ0202</t>
    </r>
  </si>
  <si>
    <r>
      <rPr>
        <sz val="10"/>
        <color indexed="8"/>
        <rFont val="Arial"/>
      </rPr>
      <t>DCJ0202 Power Connector</t>
    </r>
  </si>
  <si>
    <r>
      <rPr>
        <sz val="10"/>
        <color indexed="8"/>
        <rFont val="Arial"/>
      </rPr>
      <t>DCJ0202 CON Power Connector</t>
    </r>
  </si>
  <si>
    <r>
      <rPr>
        <sz val="10"/>
        <color indexed="8"/>
        <rFont val="Arial"/>
      </rPr>
      <t>DCJ0202</t>
    </r>
  </si>
  <si>
    <t>Power Connector</t>
  </si>
  <si>
    <t>DC Jack 0202</t>
  </si>
  <si>
    <t>3x</t>
  </si>
  <si>
    <t>DCJ0202</t>
  </si>
  <si>
    <t>SPCoast:Conn_DC_POWER</t>
  </si>
  <si>
    <t>SPCoast:DCJ0202</t>
  </si>
  <si>
    <r>
      <rPr>
        <sz val="10"/>
        <color indexed="8"/>
        <rFont val="Arial"/>
      </rPr>
      <t>CON_1x02-0.100</t>
    </r>
  </si>
  <si>
    <r>
      <rPr>
        <sz val="10"/>
        <color indexed="8"/>
        <rFont val="Arial"/>
      </rPr>
      <t>1x02-0.100 Male Header</t>
    </r>
  </si>
  <si>
    <r>
      <rPr>
        <sz val="10"/>
        <color indexed="8"/>
        <rFont val="Arial"/>
      </rPr>
      <t>1x02-0.100 CON Male Header</t>
    </r>
  </si>
  <si>
    <r>
      <rPr>
        <sz val="10"/>
        <color indexed="8"/>
        <rFont val="Arial"/>
      </rPr>
      <t>1x02-0.100</t>
    </r>
  </si>
  <si>
    <t>Male Header</t>
  </si>
  <si>
    <t>Connector 1x02 0.100</t>
  </si>
  <si>
    <t>1x02-0.100</t>
  </si>
  <si>
    <t>1x2</t>
  </si>
  <si>
    <t>0.1</t>
  </si>
  <si>
    <t>SPCoast:Conn_01x02</t>
  </si>
  <si>
    <t>SPCoast:Connector_01x02_V</t>
  </si>
  <si>
    <r>
      <rPr>
        <sz val="10"/>
        <color indexed="8"/>
        <rFont val="Arial"/>
      </rPr>
      <t>CON_1x03-0.100</t>
    </r>
  </si>
  <si>
    <r>
      <rPr>
        <sz val="10"/>
        <color indexed="8"/>
        <rFont val="Arial"/>
      </rPr>
      <t>1x03-0.100 Male Header</t>
    </r>
  </si>
  <si>
    <r>
      <rPr>
        <sz val="10"/>
        <color indexed="8"/>
        <rFont val="Arial"/>
      </rPr>
      <t>1x03-0.100 CON Male Header</t>
    </r>
  </si>
  <si>
    <r>
      <rPr>
        <sz val="10"/>
        <color indexed="8"/>
        <rFont val="Arial"/>
      </rPr>
      <t>1x03-0.100</t>
    </r>
  </si>
  <si>
    <t>Connector 1x03 0.100</t>
  </si>
  <si>
    <t>1x03-0.100</t>
  </si>
  <si>
    <t>1x3</t>
  </si>
  <si>
    <t>SPCoast:Conn_01x03</t>
  </si>
  <si>
    <t>SPCoast:Connector_01x03_V</t>
  </si>
  <si>
    <r>
      <rPr>
        <sz val="10"/>
        <color indexed="8"/>
        <rFont val="Arial"/>
      </rPr>
      <t>CON_1x04-0.100</t>
    </r>
  </si>
  <si>
    <r>
      <rPr>
        <sz val="10"/>
        <color indexed="8"/>
        <rFont val="Arial"/>
      </rPr>
      <t>1x04-0.100 Male Header</t>
    </r>
  </si>
  <si>
    <r>
      <rPr>
        <sz val="10"/>
        <color indexed="8"/>
        <rFont val="Arial"/>
      </rPr>
      <t>1x04-0.100 CON Male Header</t>
    </r>
  </si>
  <si>
    <r>
      <rPr>
        <sz val="10"/>
        <color indexed="8"/>
        <rFont val="Arial"/>
      </rPr>
      <t>1x04-0.100</t>
    </r>
  </si>
  <si>
    <t>Connector 1x04 0.100</t>
  </si>
  <si>
    <t>1x04-0.100</t>
  </si>
  <si>
    <t>1x4</t>
  </si>
  <si>
    <t>SPCoast:Conn_01x04</t>
  </si>
  <si>
    <t>SPCoast:Connector_01x04_V</t>
  </si>
  <si>
    <r>
      <rPr>
        <sz val="10"/>
        <color indexed="8"/>
        <rFont val="Arial"/>
      </rPr>
      <t>CON_1x06-0.100</t>
    </r>
  </si>
  <si>
    <r>
      <rPr>
        <sz val="10"/>
        <color indexed="8"/>
        <rFont val="Arial"/>
      </rPr>
      <t>1x06-0.100 Male Header</t>
    </r>
  </si>
  <si>
    <r>
      <rPr>
        <sz val="10"/>
        <color indexed="8"/>
        <rFont val="Arial"/>
      </rPr>
      <t>1x06-0.100 CON Male Header</t>
    </r>
  </si>
  <si>
    <r>
      <rPr>
        <sz val="10"/>
        <color indexed="8"/>
        <rFont val="Arial"/>
      </rPr>
      <t>1x06-0.100</t>
    </r>
  </si>
  <si>
    <t>Connector 1x06 0.100</t>
  </si>
  <si>
    <t>1x06-0.100</t>
  </si>
  <si>
    <t>1x6</t>
  </si>
  <si>
    <t>SPCoast:Conn_01x06</t>
  </si>
  <si>
    <t>SPCoast:Connector_01x06_V</t>
  </si>
  <si>
    <r>
      <rPr>
        <sz val="10"/>
        <color indexed="8"/>
        <rFont val="Arial"/>
      </rPr>
      <t>CON_FTDI-1x6-0.100</t>
    </r>
  </si>
  <si>
    <r>
      <rPr>
        <sz val="10"/>
        <color indexed="8"/>
        <rFont val="Arial"/>
      </rPr>
      <t>FTDI-1x6-0.100 Male Header</t>
    </r>
  </si>
  <si>
    <r>
      <rPr>
        <sz val="10"/>
        <color indexed="8"/>
        <rFont val="Arial"/>
      </rPr>
      <t>FTDI-1x6-0.100 CON Male Header</t>
    </r>
  </si>
  <si>
    <r>
      <rPr>
        <sz val="10"/>
        <color indexed="8"/>
        <rFont val="Arial"/>
      </rPr>
      <t>FTDI-1x6-0.100</t>
    </r>
  </si>
  <si>
    <t>FTDI Programming Connector 1x06 0.100</t>
  </si>
  <si>
    <t>FTDI-1x6-0.100</t>
  </si>
  <si>
    <t>SPCoast:Conn_Programmer-FTDI</t>
  </si>
  <si>
    <t>SPCoast:Connector_FTDI-DEVICE-SIDE</t>
  </si>
  <si>
    <r>
      <rPr>
        <sz val="10"/>
        <color indexed="8"/>
        <rFont val="Arial"/>
      </rPr>
      <t>CON_M5-1x6-0.100</t>
    </r>
  </si>
  <si>
    <r>
      <rPr>
        <sz val="10"/>
        <color indexed="8"/>
        <rFont val="Arial"/>
      </rPr>
      <t>M5-1x6-0.100 Female Header</t>
    </r>
  </si>
  <si>
    <r>
      <rPr>
        <sz val="10"/>
        <color indexed="8"/>
        <rFont val="Arial"/>
      </rPr>
      <t>M5-1x6-0.100 CON Female Header</t>
    </r>
  </si>
  <si>
    <r>
      <rPr>
        <sz val="10"/>
        <color indexed="8"/>
        <rFont val="Arial"/>
      </rPr>
      <t>M5-1x6-0.100</t>
    </r>
  </si>
  <si>
    <t>Female Header</t>
  </si>
  <si>
    <t>M5 Programming Connector 1x06 0.100</t>
  </si>
  <si>
    <t>M5-1x6-0.100</t>
  </si>
  <si>
    <t>SPCoast:Conn_Programmer-M5</t>
  </si>
  <si>
    <t>SPCoast:Connector_M5-DEVICE-SIDE</t>
  </si>
  <si>
    <r>
      <rPr>
        <sz val="10"/>
        <color indexed="8"/>
        <rFont val="Arial"/>
      </rPr>
      <t>CON_SSD1306-1x4-0.100</t>
    </r>
  </si>
  <si>
    <r>
      <rPr>
        <sz val="10"/>
        <color indexed="8"/>
        <rFont val="Arial"/>
      </rPr>
      <t>SSD1306-1x4-0.100 Male Header</t>
    </r>
  </si>
  <si>
    <r>
      <rPr>
        <sz val="10"/>
        <color indexed="8"/>
        <rFont val="Arial"/>
      </rPr>
      <t>SSD1306-1x4-0.100 CON Male Header</t>
    </r>
  </si>
  <si>
    <r>
      <rPr>
        <sz val="10"/>
        <color indexed="8"/>
        <rFont val="Arial"/>
      </rPr>
      <t>SSD1306-1x4-0.100</t>
    </r>
  </si>
  <si>
    <t>I2C SSD1306 OLED Connector</t>
  </si>
  <si>
    <t>SSD1306-1x4-0.100</t>
  </si>
  <si>
    <t>SPCoast:Conn_I2C-OLED</t>
  </si>
  <si>
    <t>SPCoast:Connector_I2C-OLED</t>
  </si>
  <si>
    <r>
      <rPr>
        <sz val="10"/>
        <color indexed="8"/>
        <rFont val="Arial"/>
      </rPr>
      <t>MCU_WT32-ETH01</t>
    </r>
  </si>
  <si>
    <r>
      <rPr>
        <sz val="10"/>
        <color indexed="8"/>
        <rFont val="Arial"/>
      </rPr>
      <t>WT32-ETH01 ESP32</t>
    </r>
  </si>
  <si>
    <r>
      <rPr>
        <sz val="10"/>
        <color indexed="8"/>
        <rFont val="Arial"/>
      </rPr>
      <t>WT32-ETH01 MCU ESP32</t>
    </r>
  </si>
  <si>
    <t>MCU</t>
  </si>
  <si>
    <r>
      <rPr>
        <sz val="10"/>
        <color indexed="8"/>
        <rFont val="Arial"/>
      </rPr>
      <t>WT32-ETH01</t>
    </r>
  </si>
  <si>
    <t>ESP32</t>
  </si>
  <si>
    <t>WT32-ETH01</t>
  </si>
  <si>
    <t>2x13</t>
  </si>
  <si>
    <t>0.1x0.9</t>
  </si>
  <si>
    <t>WT</t>
  </si>
  <si>
    <t>SPCoast:WT32-ETH01</t>
  </si>
  <si>
    <r>
      <rPr>
        <u val="single"/>
        <sz val="10"/>
        <color indexed="8"/>
        <rFont val="Arial"/>
      </rPr>
      <t>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</t>
    </r>
  </si>
  <si>
    <r>
      <rPr>
        <sz val="10"/>
        <color indexed="8"/>
        <rFont val="Arial"/>
      </rPr>
      <t>MCU_ESP32-DevKit_V1</t>
    </r>
  </si>
  <si>
    <r>
      <rPr>
        <sz val="10"/>
        <color indexed="8"/>
        <rFont val="Arial"/>
      </rPr>
      <t>ESP32-DevKit_V1 ESP32</t>
    </r>
  </si>
  <si>
    <r>
      <rPr>
        <sz val="10"/>
        <color indexed="8"/>
        <rFont val="Arial"/>
      </rPr>
      <t>ESP32-DevKit_V1 MCU ESP32</t>
    </r>
  </si>
  <si>
    <r>
      <rPr>
        <sz val="10"/>
        <color indexed="8"/>
        <rFont val="Arial"/>
      </rPr>
      <t>ESP32-DevKit_V1</t>
    </r>
  </si>
  <si>
    <t>ESP32-DevKit_V1 WROOM32</t>
  </si>
  <si>
    <t>2x15</t>
  </si>
  <si>
    <t>Espressif</t>
  </si>
  <si>
    <t>ESP32-DevKit_V1</t>
  </si>
  <si>
    <t>SPCoast:ESP32-DevKit_V1</t>
  </si>
  <si>
    <r>
      <rPr>
        <u val="single"/>
        <sz val="10"/>
        <color indexed="8"/>
        <rFont val="Arial"/>
      </rPr>
      <t>https://mischianti.org/wp-content/uploads/2020/11/ESP32-DOIT-DEV-KIT-v1-pinout-mischianti.png</t>
    </r>
  </si>
  <si>
    <r>
      <rPr>
        <sz val="10"/>
        <color indexed="8"/>
        <rFont val="Arial"/>
      </rPr>
      <t>CAP_0.01uF_X7R_0603_25V</t>
    </r>
  </si>
  <si>
    <r>
      <rPr>
        <sz val="10"/>
        <color indexed="8"/>
        <rFont val="Arial"/>
      </rPr>
      <t>0.01uF 10% X7R 25V</t>
    </r>
  </si>
  <si>
    <r>
      <rPr>
        <sz val="10"/>
        <color indexed="8"/>
        <rFont val="Arial"/>
      </rPr>
      <t>0.01uF CAP 10% X7R 25V</t>
    </r>
  </si>
  <si>
    <t>CAP</t>
  </si>
  <si>
    <r>
      <rPr>
        <sz val="10"/>
        <color indexed="8"/>
        <rFont val="Arial"/>
      </rPr>
      <t>0.01uF</t>
    </r>
  </si>
  <si>
    <t>X7R</t>
  </si>
  <si>
    <t>25V 10nF X7R ±10% 0603 Multilayer Ceramic Capacitors MLCC</t>
  </si>
  <si>
    <t>0.01uF</t>
  </si>
  <si>
    <t>0603</t>
  </si>
  <si>
    <t>10%</t>
  </si>
  <si>
    <t>25V</t>
  </si>
  <si>
    <t>C1852832</t>
  </si>
  <si>
    <r>
      <rPr>
        <u val="single"/>
        <sz val="10"/>
        <color indexed="8"/>
        <rFont val="Arial"/>
      </rPr>
      <t>C1852832</t>
    </r>
  </si>
  <si>
    <t>Retired</t>
  </si>
  <si>
    <t>YAGEO</t>
  </si>
  <si>
    <t>CC0603KPX7R8BB103</t>
  </si>
  <si>
    <t>Device:C</t>
  </si>
  <si>
    <t>SPCoast:0603-CAP</t>
  </si>
  <si>
    <r>
      <rPr>
        <u val="single"/>
        <sz val="10"/>
        <color indexed="8"/>
        <rFont val="Arial"/>
      </rPr>
      <t>https://wmsc.lcsc.com/wmsc/upload/file/pdf/v2/lcsc/2201271000_YAGEO-CC0603KPX7R8BB103_C1852832.pdf</t>
    </r>
  </si>
  <si>
    <r>
      <rPr>
        <sz val="10"/>
        <color indexed="8"/>
        <rFont val="Arial"/>
      </rPr>
      <t>CAP_0.01uF_X5R_0603_50V</t>
    </r>
  </si>
  <si>
    <r>
      <rPr>
        <sz val="10"/>
        <color indexed="8"/>
        <rFont val="Arial"/>
      </rPr>
      <t>0.01uF 10% X5R 50V</t>
    </r>
  </si>
  <si>
    <r>
      <rPr>
        <sz val="10"/>
        <color indexed="8"/>
        <rFont val="Arial"/>
      </rPr>
      <t>0.01uF CAP 10% X5R 50V</t>
    </r>
  </si>
  <si>
    <t>X5R</t>
  </si>
  <si>
    <t>50V 10nF X5R ±10% 0603 Multilayer Ceramic Capacitors MLCC</t>
  </si>
  <si>
    <t>50V</t>
  </si>
  <si>
    <t>C3910010</t>
  </si>
  <si>
    <r>
      <rPr>
        <u val="single"/>
        <sz val="10"/>
        <color indexed="8"/>
        <rFont val="Arial"/>
      </rPr>
      <t>C3910010</t>
    </r>
  </si>
  <si>
    <t>CAL-CHIP</t>
  </si>
  <si>
    <t>GMC10X5R103K50NT</t>
  </si>
  <si>
    <t>-na-</t>
  </si>
  <si>
    <r>
      <rPr>
        <sz val="10"/>
        <color indexed="8"/>
        <rFont val="Arial"/>
      </rPr>
      <t>CAP_0.01uF_X7R_0603_50V</t>
    </r>
  </si>
  <si>
    <r>
      <rPr>
        <sz val="10"/>
        <color indexed="8"/>
        <rFont val="Arial"/>
      </rPr>
      <t>0.01uF 10% X7R 50V</t>
    </r>
  </si>
  <si>
    <r>
      <rPr>
        <sz val="10"/>
        <color indexed="8"/>
        <rFont val="Arial"/>
      </rPr>
      <t>0.01uF CAP 10% X7R 50V</t>
    </r>
  </si>
  <si>
    <t>50V 10nF X7R ±10% 0603 Multilayer Ceramic Capacitors MLCC</t>
  </si>
  <si>
    <t>C100042</t>
  </si>
  <si>
    <r>
      <rPr>
        <u val="single"/>
        <sz val="10"/>
        <color indexed="8"/>
        <rFont val="Arial"/>
      </rPr>
      <t>C100042</t>
    </r>
  </si>
  <si>
    <t>CC0603KRX7R9BB103</t>
  </si>
  <si>
    <r>
      <rPr>
        <u val="single"/>
        <sz val="10"/>
        <color indexed="8"/>
        <rFont val="Arial"/>
      </rPr>
      <t>https://www.lcsc.com/datasheet/lcsc_datasheet_2304140030_YAGEO-CC0603KRX7R9BB103_C100042.pdf</t>
    </r>
  </si>
  <si>
    <r>
      <rPr>
        <sz val="10"/>
        <color indexed="8"/>
        <rFont val="Arial"/>
      </rPr>
      <t>CAP_0.1uF_X5R_0603_25V</t>
    </r>
  </si>
  <si>
    <r>
      <rPr>
        <sz val="10"/>
        <color indexed="8"/>
        <rFont val="Arial"/>
      </rPr>
      <t>0.1uF 10% X5R 25V</t>
    </r>
  </si>
  <si>
    <r>
      <rPr>
        <sz val="10"/>
        <color indexed="8"/>
        <rFont val="Arial"/>
      </rPr>
      <t>0.1uF CAP 10% X5R 25V</t>
    </r>
  </si>
  <si>
    <r>
      <rPr>
        <sz val="10"/>
        <color indexed="8"/>
        <rFont val="Arial"/>
      </rPr>
      <t>0.1uF</t>
    </r>
  </si>
  <si>
    <t>25V 100nF X5R ±10% 0603 Multilayer Ceramic Capacitors MLCC</t>
  </si>
  <si>
    <t>0.1uF</t>
  </si>
  <si>
    <t>C3853265</t>
  </si>
  <si>
    <r>
      <rPr>
        <u val="single"/>
        <sz val="10"/>
        <color indexed="8"/>
        <rFont val="Arial"/>
      </rPr>
      <t>C3853265</t>
    </r>
  </si>
  <si>
    <t>GMC10X5R104K25NT</t>
  </si>
  <si>
    <r>
      <rPr>
        <sz val="10"/>
        <color indexed="8"/>
        <rFont val="Arial"/>
      </rPr>
      <t>CAP_0.1uF_X7R_0603_50V</t>
    </r>
  </si>
  <si>
    <r>
      <rPr>
        <sz val="10"/>
        <color indexed="8"/>
        <rFont val="Arial"/>
      </rPr>
      <t>0.1uF 10% X7R 50V</t>
    </r>
  </si>
  <si>
    <r>
      <rPr>
        <sz val="10"/>
        <color indexed="8"/>
        <rFont val="Arial"/>
      </rPr>
      <t>0.1uF CAP 10% X7R 50V</t>
    </r>
  </si>
  <si>
    <t>50V 100nF X7R ±10% 0603 Multilayer Ceramic Capacitors MLCC</t>
  </si>
  <si>
    <t>C14663</t>
  </si>
  <si>
    <r>
      <rPr>
        <u val="single"/>
        <sz val="10"/>
        <color indexed="8"/>
        <rFont val="Arial"/>
      </rPr>
      <t>C14663</t>
    </r>
  </si>
  <si>
    <t>CC0603KRX7R9BB104</t>
  </si>
  <si>
    <r>
      <rPr>
        <u val="single"/>
        <sz val="10"/>
        <color indexed="8"/>
        <rFont val="Arial"/>
      </rPr>
      <t>https://www.lcsc.com/datasheet/lcsc_datasheet_2211101700_YAGEO-CC0603KRX7R9BB104_C14663.pdf</t>
    </r>
  </si>
  <si>
    <r>
      <rPr>
        <sz val="10"/>
        <color indexed="8"/>
        <rFont val="Arial"/>
      </rPr>
      <t>CAP_1uF_X5R_0603_25V</t>
    </r>
  </si>
  <si>
    <r>
      <rPr>
        <sz val="10"/>
        <color indexed="8"/>
        <rFont val="Arial"/>
      </rPr>
      <t>1uF 10% X5R 25V</t>
    </r>
  </si>
  <si>
    <r>
      <rPr>
        <sz val="10"/>
        <color indexed="8"/>
        <rFont val="Arial"/>
      </rPr>
      <t>1uF CAP 10% X5R 25V</t>
    </r>
  </si>
  <si>
    <r>
      <rPr>
        <sz val="10"/>
        <color indexed="8"/>
        <rFont val="Arial"/>
      </rPr>
      <t>1uF</t>
    </r>
  </si>
  <si>
    <t>35V 1uF X5R ±10% 0603 Multilayer Ceramic Capacitors MLCC</t>
  </si>
  <si>
    <t>1uF</t>
  </si>
  <si>
    <t>C2169859</t>
  </si>
  <si>
    <r>
      <rPr>
        <u val="single"/>
        <sz val="10"/>
        <color indexed="8"/>
        <rFont val="Arial"/>
      </rPr>
      <t>C2169859</t>
    </r>
  </si>
  <si>
    <t>Taiyo Yuden</t>
  </si>
  <si>
    <t>GMK107BJ105KAHT</t>
  </si>
  <si>
    <r>
      <rPr>
        <u val="single"/>
        <sz val="10"/>
        <color indexed="8"/>
        <rFont val="Arial"/>
      </rPr>
      <t>https://wmsc.lcsc.com/wmsc/upload/file/pdf/v2/lcsc/2309051403_Taiyo-Yuden-GMK107BJ105KAHT_C2169859.pdf</t>
    </r>
  </si>
  <si>
    <r>
      <rPr>
        <sz val="10"/>
        <color indexed="8"/>
        <rFont val="Arial"/>
      </rPr>
      <t>CAP_1uF_X5R_0603_50V</t>
    </r>
  </si>
  <si>
    <r>
      <rPr>
        <sz val="10"/>
        <color indexed="8"/>
        <rFont val="Arial"/>
      </rPr>
      <t>1uF 10% X5R 50V</t>
    </r>
  </si>
  <si>
    <r>
      <rPr>
        <sz val="10"/>
        <color indexed="8"/>
        <rFont val="Arial"/>
      </rPr>
      <t>1uF CAP 10% X5R 50V</t>
    </r>
  </si>
  <si>
    <t>50V 1uF X5R ±10% 0603 Multilayer Ceramic Capacitors MLCC</t>
  </si>
  <si>
    <t>C15849</t>
  </si>
  <si>
    <r>
      <rPr>
        <u val="single"/>
        <sz val="10"/>
        <color indexed="8"/>
        <rFont val="Arial"/>
      </rPr>
      <t>C15849</t>
    </r>
  </si>
  <si>
    <t>Samsung</t>
  </si>
  <si>
    <t>CL10A105KB8NNNC</t>
  </si>
  <si>
    <r>
      <rPr>
        <u val="single"/>
        <sz val="10"/>
        <color indexed="8"/>
        <rFont val="Arial"/>
      </rPr>
      <t>https://www.lcsc.com/datasheet/lcsc_datasheet_2304140030_Samsung-Electro-Mechanics-CL10A105KB8NNNC_C15849.pdf</t>
    </r>
  </si>
  <si>
    <r>
      <rPr>
        <sz val="10"/>
        <color indexed="8"/>
        <rFont val="Arial"/>
      </rPr>
      <t>CAP_10uF_X5R_1206_50V</t>
    </r>
  </si>
  <si>
    <r>
      <rPr>
        <sz val="10"/>
        <color indexed="8"/>
        <rFont val="Arial"/>
      </rPr>
      <t>10uF 10% X5R 50V</t>
    </r>
  </si>
  <si>
    <r>
      <rPr>
        <sz val="10"/>
        <color indexed="8"/>
        <rFont val="Arial"/>
      </rPr>
      <t>10uF CAP 10% X5R 50V</t>
    </r>
  </si>
  <si>
    <r>
      <rPr>
        <sz val="10"/>
        <color indexed="8"/>
        <rFont val="Arial"/>
      </rPr>
      <t>10uF</t>
    </r>
  </si>
  <si>
    <t>50V 10uF X5R ±10% 1206 Multilayer Ceramic Capacitors MLCC</t>
  </si>
  <si>
    <t>10uF</t>
  </si>
  <si>
    <t>1206</t>
  </si>
  <si>
    <t>C13585</t>
  </si>
  <si>
    <r>
      <rPr>
        <u val="single"/>
        <sz val="10"/>
        <color indexed="8"/>
        <rFont val="Arial"/>
      </rPr>
      <t>C13585</t>
    </r>
  </si>
  <si>
    <t>CL31A106KBHNNNE</t>
  </si>
  <si>
    <t>SPCoast:1206-CAP</t>
  </si>
  <si>
    <r>
      <rPr>
        <u val="single"/>
        <sz val="10"/>
        <color indexed="8"/>
        <rFont val="Arial"/>
      </rPr>
      <t>https://www.lcsc.com/datasheet/lcsc_datasheet_2304140030_Samsung-Electro-Mechanics-CL31A106KBHNNNE_C13585.pdf</t>
    </r>
  </si>
  <si>
    <r>
      <rPr>
        <sz val="10"/>
        <color indexed="8"/>
        <rFont val="Arial"/>
      </rPr>
      <t>CAP_220uF_Electrolytic_8x10</t>
    </r>
  </si>
  <si>
    <r>
      <rPr>
        <sz val="10"/>
        <color indexed="8"/>
        <rFont val="Arial"/>
      </rPr>
      <t>220uF 20% Electrolytic 35V</t>
    </r>
  </si>
  <si>
    <r>
      <rPr>
        <sz val="10"/>
        <color indexed="8"/>
        <rFont val="Arial"/>
      </rPr>
      <t>220uF CAP 20% Electrolytic 35V</t>
    </r>
  </si>
  <si>
    <r>
      <rPr>
        <sz val="10"/>
        <color indexed="8"/>
        <rFont val="Arial"/>
      </rPr>
      <t>220uF</t>
    </r>
  </si>
  <si>
    <t>Electrolytic</t>
  </si>
  <si>
    <t>220uF 35V 300mA@120Hz ±20% SMD D8xL10mm Aluminum Electrolytic Capacitor</t>
  </si>
  <si>
    <t>220uF</t>
  </si>
  <si>
    <t>8x10</t>
  </si>
  <si>
    <t>20%</t>
  </si>
  <si>
    <t>35V</t>
  </si>
  <si>
    <t>C136294</t>
  </si>
  <si>
    <r>
      <rPr>
        <u val="single"/>
        <sz val="10"/>
        <color indexed="8"/>
        <rFont val="Arial"/>
      </rPr>
      <t>C136294</t>
    </r>
  </si>
  <si>
    <t>Nichicon</t>
  </si>
  <si>
    <t>UCD1V221MNL1GS</t>
  </si>
  <si>
    <t>Device:C_Polarized_US</t>
  </si>
  <si>
    <t>SPCoast:CP_Elec_8x10</t>
  </si>
  <si>
    <r>
      <rPr>
        <u val="single"/>
        <sz val="10"/>
        <color indexed="8"/>
        <rFont val="Arial"/>
      </rPr>
      <t>https://www.lcsc.com/datasheet/lcsc_datasheet_1808312007_Nichicon-UCD1V221MNL1GS_C136294.pdf</t>
    </r>
  </si>
  <si>
    <r>
      <rPr>
        <sz val="10"/>
        <color indexed="8"/>
        <rFont val="Arial"/>
      </rPr>
      <t>CAP_1000uF_Electrolytic_8x11.5</t>
    </r>
  </si>
  <si>
    <r>
      <rPr>
        <sz val="10"/>
        <color indexed="8"/>
        <rFont val="Arial"/>
      </rPr>
      <t>1000uF 20% Electrolytic 6.3V</t>
    </r>
  </si>
  <si>
    <r>
      <rPr>
        <sz val="10"/>
        <color indexed="8"/>
        <rFont val="Arial"/>
      </rPr>
      <t>1000uF CAP 20% Electrolytic 6.3V</t>
    </r>
  </si>
  <si>
    <r>
      <rPr>
        <sz val="10"/>
        <color indexed="8"/>
        <rFont val="Arial"/>
      </rPr>
      <t>1000uF</t>
    </r>
  </si>
  <si>
    <t>Aluminum Electrolytic Capacitors - Radial Leaded 1000uF 6.3V 85c</t>
  </si>
  <si>
    <t>1000uF</t>
  </si>
  <si>
    <t>8x11.5</t>
  </si>
  <si>
    <t>6.3V</t>
  </si>
  <si>
    <t>647-UVR0J102MPD1TD</t>
  </si>
  <si>
    <r>
      <rPr>
        <u val="single"/>
        <sz val="10"/>
        <color indexed="8"/>
        <rFont val="Arial"/>
      </rPr>
      <t>https://www.mouser.com/ProductDetail/Nichicon/UVR0J102MPD1TD</t>
    </r>
  </si>
  <si>
    <r>
      <rPr>
        <sz val="10"/>
        <color indexed="8"/>
        <rFont val="Arial"/>
      </rPr>
      <t>CAP_1000uF_Electrolytic_10x10.2</t>
    </r>
  </si>
  <si>
    <r>
      <rPr>
        <sz val="10"/>
        <color indexed="8"/>
        <rFont val="Arial"/>
      </rPr>
      <t>1000uF 20% Electrolytic 16V</t>
    </r>
  </si>
  <si>
    <r>
      <rPr>
        <sz val="10"/>
        <color indexed="8"/>
        <rFont val="Arial"/>
      </rPr>
      <t>1000uF CAP 20% Electrolytic 16V</t>
    </r>
  </si>
  <si>
    <t>Aluminum Electrolytic Capacitors - Radial Leaded 1000uF 16V -55-105c 347mA@120hz 20% D10xL10.2</t>
  </si>
  <si>
    <t>10x10.2</t>
  </si>
  <si>
    <t>16V</t>
  </si>
  <si>
    <t>C970714</t>
  </si>
  <si>
    <r>
      <rPr>
        <u val="single"/>
        <sz val="10"/>
        <color indexed="8"/>
        <rFont val="Arial"/>
      </rPr>
      <t>C970714</t>
    </r>
  </si>
  <si>
    <t>DMBJ</t>
  </si>
  <si>
    <t>RVT1C102M1010 1000UF 16V</t>
  </si>
  <si>
    <t>Capacitor_SMD:CP_Elec_10x10</t>
  </si>
  <si>
    <r>
      <rPr>
        <u val="single"/>
        <sz val="10"/>
        <color indexed="8"/>
        <rFont val="Arial"/>
      </rPr>
      <t>https://jlcpcb.com/api/file/downloadByFileSystemAccessId/8590911073887604736</t>
    </r>
  </si>
  <si>
    <r>
      <rPr>
        <sz val="10"/>
        <color indexed="8"/>
        <rFont val="Arial"/>
      </rPr>
      <t>DIO_4.7V_SOD-323</t>
    </r>
  </si>
  <si>
    <r>
      <rPr>
        <sz val="10"/>
        <color indexed="8"/>
        <rFont val="Arial"/>
      </rPr>
      <t>4.7V zener 4.7V 5mA 200mW</t>
    </r>
  </si>
  <si>
    <r>
      <rPr>
        <sz val="10"/>
        <color indexed="8"/>
        <rFont val="Arial"/>
      </rPr>
      <t>4.7V DIO zener 4.7V 5mA 200mW</t>
    </r>
  </si>
  <si>
    <t>DIO</t>
  </si>
  <si>
    <r>
      <rPr>
        <sz val="10"/>
        <color indexed="8"/>
        <rFont val="Arial"/>
      </rPr>
      <t>4.7V</t>
    </r>
  </si>
  <si>
    <t>zener</t>
  </si>
  <si>
    <t>4.7V SOD-323 Zener Diode -W7</t>
  </si>
  <si>
    <t>4.7V</t>
  </si>
  <si>
    <t>SOD-323</t>
  </si>
  <si>
    <t>5mA</t>
  </si>
  <si>
    <t>200mW</t>
  </si>
  <si>
    <t>C353517</t>
  </si>
  <si>
    <r>
      <rPr>
        <u val="single"/>
        <sz val="10"/>
        <color indexed="8"/>
        <rFont val="Arial"/>
      </rPr>
      <t>C353517</t>
    </r>
  </si>
  <si>
    <t>Shandong Jingdao</t>
  </si>
  <si>
    <t>BZT52C4V7S</t>
  </si>
  <si>
    <t>SPCoast:D_Zener_Filled</t>
  </si>
  <si>
    <t>SPCoast:SOD-323</t>
  </si>
  <si>
    <r>
      <rPr>
        <u val="single"/>
        <sz val="10"/>
        <color indexed="8"/>
        <rFont val="Arial"/>
      </rPr>
      <t>https://www.lcsc.com/datasheet/lcsc_datasheet_2304140030_Shandong-Jingdao-Microelectronics-BZT52C4V7S_C353517.pdf</t>
    </r>
  </si>
  <si>
    <r>
      <rPr>
        <sz val="10"/>
        <color indexed="8"/>
        <rFont val="Arial"/>
      </rPr>
      <t>DIO_BAT54_SOT-23</t>
    </r>
  </si>
  <si>
    <r>
      <rPr>
        <sz val="10"/>
        <color indexed="8"/>
        <rFont val="Arial"/>
      </rPr>
      <t>BAT54 single Schottkey 30V</t>
    </r>
  </si>
  <si>
    <r>
      <rPr>
        <sz val="10"/>
        <color indexed="8"/>
        <rFont val="Arial"/>
      </rPr>
      <t>BAT54 DIO single Schottkey 30V</t>
    </r>
  </si>
  <si>
    <r>
      <rPr>
        <sz val="10"/>
        <color indexed="8"/>
        <rFont val="Arial"/>
      </rPr>
      <t>BAT54</t>
    </r>
  </si>
  <si>
    <t>single Schottkey</t>
  </si>
  <si>
    <t>BAT54  Single Schottky 30V 200mA</t>
  </si>
  <si>
    <t>SOT-23</t>
  </si>
  <si>
    <t>30V</t>
  </si>
  <si>
    <t>C5261070</t>
  </si>
  <si>
    <r>
      <rPr>
        <u val="single"/>
        <sz val="10"/>
        <color indexed="8"/>
        <rFont val="Arial"/>
      </rPr>
      <t>C5261070</t>
    </r>
  </si>
  <si>
    <t>HXY</t>
  </si>
  <si>
    <t>BAT54</t>
  </si>
  <si>
    <t>Diode:BAT54</t>
  </si>
  <si>
    <t>SPCoast:SOT-23</t>
  </si>
  <si>
    <r>
      <rPr>
        <u val="single"/>
        <sz val="10"/>
        <color indexed="8"/>
        <rFont val="Arial"/>
      </rPr>
      <t>https://wmsc.lcsc.com/wmsc/upload/file/pdf/v2/lcsc/2406051353_HXY-MOSFET-BAT54_C5261070.pdf</t>
    </r>
  </si>
  <si>
    <r>
      <rPr>
        <sz val="10"/>
        <color indexed="8"/>
        <rFont val="Arial"/>
      </rPr>
      <t>DIO_BAT54A_SOT-23</t>
    </r>
  </si>
  <si>
    <r>
      <rPr>
        <sz val="10"/>
        <color indexed="8"/>
        <rFont val="Arial"/>
      </rPr>
      <t>BAT54A dual Schottkey common anode 30V</t>
    </r>
  </si>
  <si>
    <r>
      <rPr>
        <sz val="10"/>
        <color indexed="8"/>
        <rFont val="Arial"/>
      </rPr>
      <t>BAT54A DIO dual Schottkey common anode 30V</t>
    </r>
  </si>
  <si>
    <r>
      <rPr>
        <sz val="10"/>
        <color indexed="8"/>
        <rFont val="Arial"/>
      </rPr>
      <t>BAT54A</t>
    </r>
  </si>
  <si>
    <t>dual Schottkey common anode</t>
  </si>
  <si>
    <t>BAT54A Dual Schottky 30V 200mA Common Anode</t>
  </si>
  <si>
    <t>C2926172</t>
  </si>
  <si>
    <r>
      <rPr>
        <u val="single"/>
        <sz val="10"/>
        <color indexed="8"/>
        <rFont val="Arial"/>
      </rPr>
      <t>C2926172</t>
    </r>
  </si>
  <si>
    <t>FOSAN</t>
  </si>
  <si>
    <t>BAT54A</t>
  </si>
  <si>
    <t>Diode:BAT54A</t>
  </si>
  <si>
    <r>
      <rPr>
        <u val="single"/>
        <sz val="10"/>
        <color indexed="8"/>
        <rFont val="Arial"/>
      </rPr>
      <t>https://wmsc.lcsc.com/wmsc/upload/file/pdf/v2/lcsc/2112031830_FOSAN-BAT54A_C2926172.pdf</t>
    </r>
  </si>
  <si>
    <r>
      <rPr>
        <sz val="10"/>
        <color indexed="8"/>
        <rFont val="Arial"/>
      </rPr>
      <t>DIO_BAT54S_SOT-23</t>
    </r>
  </si>
  <si>
    <r>
      <rPr>
        <sz val="10"/>
        <color indexed="8"/>
        <rFont val="Arial"/>
      </rPr>
      <t>BAT54S dual Schottkey series 30V</t>
    </r>
  </si>
  <si>
    <r>
      <rPr>
        <sz val="10"/>
        <color indexed="8"/>
        <rFont val="Arial"/>
      </rPr>
      <t>BAT54S DIO dual Schottkey series 30V</t>
    </r>
  </si>
  <si>
    <r>
      <rPr>
        <sz val="10"/>
        <color indexed="8"/>
        <rFont val="Arial"/>
      </rPr>
      <t>BAT54S</t>
    </r>
  </si>
  <si>
    <t>dual Schottkey series</t>
  </si>
  <si>
    <t>BAT54S Dual Schottky 30V 200mA Series</t>
  </si>
  <si>
    <t>C2926174</t>
  </si>
  <si>
    <r>
      <rPr>
        <u val="single"/>
        <sz val="10"/>
        <color indexed="8"/>
        <rFont val="Arial"/>
      </rPr>
      <t>C2926174</t>
    </r>
  </si>
  <si>
    <t>BAT54S</t>
  </si>
  <si>
    <t>Diode:BAT54S</t>
  </si>
  <si>
    <r>
      <rPr>
        <u val="single"/>
        <sz val="10"/>
        <color indexed="8"/>
        <rFont val="Arial"/>
      </rPr>
      <t>https://wmsc.lcsc.com/wmsc/upload/file/pdf/v2/lcsc/2112031830_FOSAN-BAT54S_C2926174.pdf</t>
    </r>
  </si>
  <si>
    <r>
      <rPr>
        <sz val="10"/>
        <color indexed="8"/>
        <rFont val="Arial"/>
      </rPr>
      <t>DIO_BAT54C_SOT-23</t>
    </r>
  </si>
  <si>
    <r>
      <rPr>
        <sz val="10"/>
        <color indexed="8"/>
        <rFont val="Arial"/>
      </rPr>
      <t>BAT54C dual Schottkey common cathode 30V</t>
    </r>
  </si>
  <si>
    <r>
      <rPr>
        <sz val="10"/>
        <color indexed="8"/>
        <rFont val="Arial"/>
      </rPr>
      <t>BAT54C DIO dual Schottkey common cathode 30V</t>
    </r>
  </si>
  <si>
    <r>
      <rPr>
        <sz val="10"/>
        <color indexed="8"/>
        <rFont val="Arial"/>
      </rPr>
      <t>BAT54C</t>
    </r>
  </si>
  <si>
    <t>dual Schottkey common cathode</t>
  </si>
  <si>
    <t>30V 1 pair of common cathodes 1V@100mA 200mA SOT-23 Schottky Diodes</t>
  </si>
  <si>
    <t>C408388</t>
  </si>
  <si>
    <r>
      <rPr>
        <u val="single"/>
        <sz val="10"/>
        <color indexed="8"/>
        <rFont val="Arial"/>
      </rPr>
      <t>C408388</t>
    </r>
  </si>
  <si>
    <t>Microdiode</t>
  </si>
  <si>
    <t>BAT54C</t>
  </si>
  <si>
    <t>Diode:BAT54C</t>
  </si>
  <si>
    <r>
      <rPr>
        <u val="single"/>
        <sz val="10"/>
        <color indexed="8"/>
        <rFont val="Arial"/>
      </rPr>
      <t>https://www.lcsc.com/datasheet/lcsc_datasheet_2407101108_MDD-Microdiode-Semiconductor-BAT54C_C408388.pdf</t>
    </r>
  </si>
  <si>
    <r>
      <rPr>
        <sz val="10"/>
        <color indexed="8"/>
        <rFont val="Arial"/>
      </rPr>
      <t>IC_LM358D_SOP-8</t>
    </r>
  </si>
  <si>
    <r>
      <rPr>
        <sz val="10"/>
        <color indexed="8"/>
        <rFont val="Arial"/>
      </rPr>
      <t>LM358D dual OpAmp ±15V or +30V</t>
    </r>
  </si>
  <si>
    <r>
      <rPr>
        <sz val="10"/>
        <color indexed="8"/>
        <rFont val="Arial"/>
      </rPr>
      <t>LM358D IC dual OpAmp ±15V or +30V</t>
    </r>
  </si>
  <si>
    <t>IC</t>
  </si>
  <si>
    <r>
      <rPr>
        <sz val="10"/>
        <color indexed="8"/>
        <rFont val="Arial"/>
      </rPr>
      <t>LM358D</t>
    </r>
  </si>
  <si>
    <t>dual OpAmp</t>
  </si>
  <si>
    <t>SOP-8 Operational Amplifier</t>
  </si>
  <si>
    <t>SOP-8</t>
  </si>
  <si>
    <t>±15V or +30V</t>
  </si>
  <si>
    <t>C2683482</t>
  </si>
  <si>
    <r>
      <rPr>
        <u val="single"/>
        <sz val="10"/>
        <color indexed="8"/>
        <rFont val="Arial"/>
      </rPr>
      <t>C2683482</t>
    </r>
  </si>
  <si>
    <t>IDCHIP</t>
  </si>
  <si>
    <t>LM358D</t>
  </si>
  <si>
    <t>SPCoast:LM358</t>
  </si>
  <si>
    <t>SPCoast:SOIC-8_3.9x4.9mm_P1.27mm;Package_SO:SOIC-8_3.9x4.9mm_P1.27mm</t>
  </si>
  <si>
    <r>
      <rPr>
        <u val="single"/>
        <sz val="10"/>
        <color indexed="8"/>
        <rFont val="Arial"/>
      </rPr>
      <t>https://www.lcsc.com/datasheet/lcsc_datasheet_2403081523_IDCHIP-LM358D_C2683482.pdf</t>
    </r>
  </si>
  <si>
    <r>
      <rPr>
        <sz val="10"/>
        <color indexed="8"/>
        <rFont val="Arial"/>
      </rPr>
      <t>IC_NE556_SOP-14</t>
    </r>
  </si>
  <si>
    <r>
      <rPr>
        <sz val="10"/>
        <color indexed="8"/>
        <rFont val="Arial"/>
      </rPr>
      <t>NE556 Dual Timer 16V 600mW</t>
    </r>
  </si>
  <si>
    <r>
      <rPr>
        <sz val="10"/>
        <color indexed="8"/>
        <rFont val="Arial"/>
      </rPr>
      <t>NE556 IC Dual Timer 16V 600mW</t>
    </r>
  </si>
  <si>
    <r>
      <rPr>
        <sz val="10"/>
        <color indexed="8"/>
        <rFont val="Arial"/>
      </rPr>
      <t>NE556</t>
    </r>
  </si>
  <si>
    <t>Dual Timer</t>
  </si>
  <si>
    <t>NE556 100kHz Dual Timer</t>
  </si>
  <si>
    <t>NE556</t>
  </si>
  <si>
    <t>SOP-14</t>
  </si>
  <si>
    <t>600mW</t>
  </si>
  <si>
    <t>C5145392</t>
  </si>
  <si>
    <r>
      <rPr>
        <u val="single"/>
        <sz val="10"/>
        <color indexed="8"/>
        <rFont val="Arial"/>
      </rPr>
      <t>C5145392</t>
    </r>
  </si>
  <si>
    <t>HANSCHIP</t>
  </si>
  <si>
    <t>NE556DRG</t>
  </si>
  <si>
    <t>Timer:NE556</t>
  </si>
  <si>
    <t>SPCoast:SOP_14;Package_SO:SOIC-14_3.9x8.7mm_P1.27mm</t>
  </si>
  <si>
    <r>
      <rPr>
        <u val="single"/>
        <sz val="10"/>
        <color indexed="8"/>
        <rFont val="Arial"/>
      </rPr>
      <t>https://wmsc.lcsc.com/wmsc/upload/file/pdf/v2/lcsc/2209290930_HANSCHIP-semiconductor-NE556DRG_C5145392.pdf</t>
    </r>
  </si>
  <si>
    <r>
      <rPr>
        <sz val="10"/>
        <color indexed="8"/>
        <rFont val="Arial"/>
      </rPr>
      <t>IC_MCP23017_SOIC-28-300mil</t>
    </r>
  </si>
  <si>
    <r>
      <rPr>
        <sz val="10"/>
        <color indexed="8"/>
        <rFont val="Arial"/>
      </rPr>
      <t>MCP23017 I2C 16-bit I/O Expander</t>
    </r>
  </si>
  <si>
    <r>
      <rPr>
        <sz val="10"/>
        <color indexed="8"/>
        <rFont val="Arial"/>
      </rPr>
      <t>MCP23017 IC I2C 16-bit I/O Expander</t>
    </r>
  </si>
  <si>
    <r>
      <rPr>
        <sz val="10"/>
        <color indexed="8"/>
        <rFont val="Arial"/>
      </rPr>
      <t>MCP23017</t>
    </r>
  </si>
  <si>
    <t>I2C 16-bit I/O Expander</t>
  </si>
  <si>
    <t>MCP23017 I2C 16 bit I/O Expander</t>
  </si>
  <si>
    <t>MCP23017</t>
  </si>
  <si>
    <t>SOIC-28-300mil</t>
  </si>
  <si>
    <t>C629440</t>
  </si>
  <si>
    <r>
      <rPr>
        <u val="single"/>
        <sz val="10"/>
        <color indexed="8"/>
        <rFont val="Arial"/>
      </rPr>
      <t>C629440</t>
    </r>
  </si>
  <si>
    <t>Microchip</t>
  </si>
  <si>
    <t>MCP23017T-E/SO</t>
  </si>
  <si>
    <t>SPCoast:MCP23017_SO</t>
  </si>
  <si>
    <t>SPCoast:SOIC-28W_7.5x17.9mm</t>
  </si>
  <si>
    <r>
      <rPr>
        <u val="single"/>
        <sz val="10"/>
        <color indexed="8"/>
        <rFont val="Arial"/>
      </rPr>
      <t>https://wmsc.lcsc.com/wmsc/upload/file/pdf/v2/lcsc/2203221230_Microchip-Tech-MCP23017T-E-SO_C629440.pdf</t>
    </r>
  </si>
  <si>
    <r>
      <rPr>
        <sz val="10"/>
        <color indexed="8"/>
        <rFont val="Arial"/>
      </rPr>
      <t>IC_PCA9685_TSSOP-28</t>
    </r>
  </si>
  <si>
    <r>
      <rPr>
        <sz val="10"/>
        <color indexed="8"/>
        <rFont val="Arial"/>
      </rPr>
      <t>PCA9685 I2C 16-bit PWM LED Driver</t>
    </r>
  </si>
  <si>
    <r>
      <rPr>
        <sz val="10"/>
        <color indexed="8"/>
        <rFont val="Arial"/>
      </rPr>
      <t>PCA9685 IC I2C 16-bit PWM LED Driver</t>
    </r>
  </si>
  <si>
    <r>
      <rPr>
        <sz val="10"/>
        <color indexed="8"/>
        <rFont val="Arial"/>
      </rPr>
      <t>PCA9685</t>
    </r>
  </si>
  <si>
    <t>I2C 16-bit PWM LED Driver</t>
  </si>
  <si>
    <t>5.5V 100kHz~1MHz PWM 16 25mA 2.3V~5.5V TSSOP-28 LED Driver</t>
  </si>
  <si>
    <t>PCA9685</t>
  </si>
  <si>
    <t>TSSOP-28</t>
  </si>
  <si>
    <t>C2678753</t>
  </si>
  <si>
    <r>
      <rPr>
        <u val="single"/>
        <sz val="10"/>
        <color indexed="8"/>
        <rFont val="Arial"/>
      </rPr>
      <t>C2678753</t>
    </r>
  </si>
  <si>
    <t>NXP</t>
  </si>
  <si>
    <t>PCA9685PW,118</t>
  </si>
  <si>
    <t>SPCoast:PCA9685PW</t>
  </si>
  <si>
    <t>Package_SO:TSSOP-28_4.4x9.7mm_P0.65mm</t>
  </si>
  <si>
    <r>
      <rPr>
        <u val="single"/>
        <sz val="10"/>
        <color indexed="8"/>
        <rFont val="Arial"/>
      </rPr>
      <t>https://www.lcsc.com/datasheet/lcsc_datasheet_2405281434_NXP-Semicon-PCA9685PW-118_C2678753.pdf</t>
    </r>
  </si>
  <si>
    <r>
      <rPr>
        <sz val="10"/>
        <color indexed="8"/>
        <rFont val="Arial"/>
      </rPr>
      <t>LED_Blue_0603_20mA</t>
    </r>
  </si>
  <si>
    <r>
      <rPr>
        <sz val="10"/>
        <color indexed="8"/>
        <rFont val="Arial"/>
      </rPr>
      <t>Blue LED clear 3.3V 20mA 240mcd</t>
    </r>
  </si>
  <si>
    <t>LED</t>
  </si>
  <si>
    <r>
      <rPr>
        <sz val="10"/>
        <color indexed="8"/>
        <rFont val="Arial"/>
      </rPr>
      <t>Blue</t>
    </r>
  </si>
  <si>
    <t>clear</t>
  </si>
  <si>
    <t>20mA 240mcd Colorless and transparent -20℃~+85℃ Positive Stick 455nm~475nm Blue 120° 70mW 3.3V 0603 LED Indication</t>
  </si>
  <si>
    <t>Blue</t>
  </si>
  <si>
    <t>3.3V</t>
  </si>
  <si>
    <t>20mA</t>
  </si>
  <si>
    <t>120°</t>
  </si>
  <si>
    <t>455nm~475nm</t>
  </si>
  <si>
    <t>240</t>
  </si>
  <si>
    <t>C965807</t>
  </si>
  <si>
    <r>
      <rPr>
        <u val="single"/>
        <sz val="10"/>
        <color indexed="8"/>
        <rFont val="Arial"/>
      </rPr>
      <t>C965807</t>
    </r>
  </si>
  <si>
    <t>XINGLIGHT</t>
  </si>
  <si>
    <t>XL-1608UBC-04</t>
  </si>
  <si>
    <t>Device:LED</t>
  </si>
  <si>
    <t>SPCoast:0603-LED</t>
  </si>
  <si>
    <r>
      <rPr>
        <u val="single"/>
        <sz val="10"/>
        <color indexed="8"/>
        <rFont val="Arial"/>
      </rPr>
      <t>https://wmsc.lcsc.com/wmsc/upload/file/pdf/v2/lcsc/2402181505_XINGLIGHT-XL-1608UBC-04_C965807.pdf</t>
    </r>
  </si>
  <si>
    <r>
      <rPr>
        <sz val="10"/>
        <color indexed="8"/>
        <rFont val="Arial"/>
      </rPr>
      <t>LED_White_0603_20mA</t>
    </r>
  </si>
  <si>
    <r>
      <rPr>
        <sz val="10"/>
        <color indexed="8"/>
        <rFont val="Arial"/>
      </rPr>
      <t>White LED warm 2.7V 20mA 130mcd</t>
    </r>
  </si>
  <si>
    <r>
      <rPr>
        <sz val="10"/>
        <color indexed="8"/>
        <rFont val="Arial"/>
      </rPr>
      <t>White</t>
    </r>
  </si>
  <si>
    <t>warm</t>
  </si>
  <si>
    <t>20mA 13700K~33000K 130mcd WarmWhite -20℃~+85℃ Positive Stick White 120° 70mW 2.7V 0603 LED Indication</t>
  </si>
  <si>
    <t>White</t>
  </si>
  <si>
    <t>2.7V</t>
  </si>
  <si>
    <t>13700 - 33000 K</t>
  </si>
  <si>
    <t>130</t>
  </si>
  <si>
    <t>C965808</t>
  </si>
  <si>
    <r>
      <rPr>
        <u val="single"/>
        <sz val="10"/>
        <color indexed="8"/>
        <rFont val="Arial"/>
      </rPr>
      <t>C965808</t>
    </r>
  </si>
  <si>
    <t>XL-1608UWC-04</t>
  </si>
  <si>
    <r>
      <rPr>
        <u val="single"/>
        <sz val="10"/>
        <color indexed="8"/>
        <rFont val="Arial"/>
      </rPr>
      <t>https://wmsc.lcsc.com/wmsc/upload/file/pdf/v2/lcsc/2402181505_XINGLIGHT-XL-1608UWC-04_C965808.pdf</t>
    </r>
  </si>
  <si>
    <r>
      <rPr>
        <sz val="10"/>
        <color indexed="8"/>
        <rFont val="Arial"/>
      </rPr>
      <t>LED_Green Emerald_0603_20mA</t>
    </r>
  </si>
  <si>
    <r>
      <rPr>
        <sz val="10"/>
        <color indexed="8"/>
        <rFont val="Arial"/>
      </rPr>
      <t>Green Emerald LED clear 3.3V 20mA 810mcd</t>
    </r>
  </si>
  <si>
    <r>
      <rPr>
        <sz val="10"/>
        <color indexed="8"/>
        <rFont val="Arial"/>
      </rPr>
      <t>Green Emerald</t>
    </r>
  </si>
  <si>
    <t>20mA 810mcd Colorless transparent  515nm~535nm -20℃~+85℃ Positive Stick Emerald Green 120° 70mW 3.3V 0603 LED Indication</t>
  </si>
  <si>
    <t>Green Emerald</t>
  </si>
  <si>
    <t>515nm~535nm</t>
  </si>
  <si>
    <t>810</t>
  </si>
  <si>
    <t>C965804</t>
  </si>
  <si>
    <r>
      <rPr>
        <u val="single"/>
        <sz val="10"/>
        <color indexed="8"/>
        <rFont val="Arial"/>
      </rPr>
      <t>C965804</t>
    </r>
  </si>
  <si>
    <t>XL-1608UGC-04</t>
  </si>
  <si>
    <r>
      <rPr>
        <u val="single"/>
        <sz val="10"/>
        <color indexed="8"/>
        <rFont val="Arial"/>
      </rPr>
      <t>https://wmsc.lcsc.com/wmsc/upload/file/pdf/v2/lcsc/2402181505_XINGLIGHT-XL-1608UGC-04_C965804.pdf</t>
    </r>
  </si>
  <si>
    <r>
      <rPr>
        <sz val="10"/>
        <color indexed="8"/>
        <rFont val="Arial"/>
      </rPr>
      <t>LED_Yellow Green_0603_20mA</t>
    </r>
  </si>
  <si>
    <r>
      <rPr>
        <sz val="10"/>
        <color indexed="8"/>
        <rFont val="Arial"/>
      </rPr>
      <t>Yellow Green LED clear 2.4V 20mA 240mcd</t>
    </r>
  </si>
  <si>
    <r>
      <rPr>
        <sz val="10"/>
        <color indexed="8"/>
        <rFont val="Arial"/>
      </rPr>
      <t>Yellow Green</t>
    </r>
  </si>
  <si>
    <t>20mA 240mcd Colorless transparent 565nm~575nm -20℃~+85℃ Positive Stick Yellow Green 120° 50mW 2.4V 0603 LED Indication</t>
  </si>
  <si>
    <t>Yellow Green</t>
  </si>
  <si>
    <t>2.4V</t>
  </si>
  <si>
    <t>565nm~575nm</t>
  </si>
  <si>
    <t>C965806</t>
  </si>
  <si>
    <r>
      <rPr>
        <u val="single"/>
        <sz val="10"/>
        <color indexed="8"/>
        <rFont val="Arial"/>
      </rPr>
      <t>C965806</t>
    </r>
  </si>
  <si>
    <t>XL-1608SYGC-04</t>
  </si>
  <si>
    <r>
      <rPr>
        <u val="single"/>
        <sz val="10"/>
        <color indexed="8"/>
        <rFont val="Arial"/>
      </rPr>
      <t>https://wmsc.lcsc.com/wmsc/upload/file/pdf/v2/lcsc/2402181505_XINGLIGHT-XL-1608SYGC-04_C965806.pdf</t>
    </r>
  </si>
  <si>
    <r>
      <rPr>
        <sz val="10"/>
        <color indexed="8"/>
        <rFont val="Arial"/>
      </rPr>
      <t>LED_Orange_0603_10mA</t>
    </r>
  </si>
  <si>
    <r>
      <rPr>
        <sz val="10"/>
        <color indexed="8"/>
        <rFont val="Arial"/>
      </rPr>
      <t>Orange LED clear 2.2V 10mA 70mcd</t>
    </r>
  </si>
  <si>
    <r>
      <rPr>
        <sz val="10"/>
        <color indexed="8"/>
        <rFont val="Arial"/>
      </rPr>
      <t>Orange</t>
    </r>
  </si>
  <si>
    <t>10mA Orange 0603 LED Indication</t>
  </si>
  <si>
    <t>Orange</t>
  </si>
  <si>
    <t>2.2V</t>
  </si>
  <si>
    <t>10mA</t>
  </si>
  <si>
    <t>600nm~612nm</t>
  </si>
  <si>
    <t>70</t>
  </si>
  <si>
    <t>C22371303</t>
  </si>
  <si>
    <r>
      <rPr>
        <u val="single"/>
        <sz val="10"/>
        <color indexed="8"/>
        <rFont val="Arial"/>
      </rPr>
      <t>C22371303</t>
    </r>
  </si>
  <si>
    <t>HONGLITRONIC</t>
  </si>
  <si>
    <t>HL-PSC-1608S25OC-G4</t>
  </si>
  <si>
    <r>
      <rPr>
        <u val="single"/>
        <sz val="10"/>
        <color indexed="8"/>
        <rFont val="Arial"/>
      </rPr>
      <t>https://wmsc.lcsc.com/wmsc/upload/file/pdf/v2/lcsc/2403281522_HONGLITRONIC-Hongli-Zhihui--HONGLITRONIC-HL-PSC-1608S25OC-G4_C22371303.pdf</t>
    </r>
  </si>
  <si>
    <r>
      <rPr>
        <sz val="10"/>
        <color indexed="8"/>
        <rFont val="Arial"/>
      </rPr>
      <t>LED_Orange_0603_20mA</t>
    </r>
  </si>
  <si>
    <r>
      <rPr>
        <sz val="10"/>
        <color indexed="8"/>
        <rFont val="Arial"/>
      </rPr>
      <t>Orange LED clear 2.3V 20mA 315mcd</t>
    </r>
  </si>
  <si>
    <t>20mA 315mcd Colorless transparent -20℃~+85℃ 600nm~610nm Positive Stick Orange 120° 50mW 2.3V 0603 LED Indication</t>
  </si>
  <si>
    <t>2.3V</t>
  </si>
  <si>
    <t>315</t>
  </si>
  <si>
    <t>C965800</t>
  </si>
  <si>
    <r>
      <rPr>
        <u val="single"/>
        <sz val="10"/>
        <color indexed="8"/>
        <rFont val="Arial"/>
      </rPr>
      <t>C965800</t>
    </r>
  </si>
  <si>
    <t>XL-1608UOC-06</t>
  </si>
  <si>
    <r>
      <rPr>
        <u val="single"/>
        <sz val="10"/>
        <color indexed="8"/>
        <rFont val="Arial"/>
      </rPr>
      <t>https://wmsc.lcsc.com/wmsc/upload/file/pdf/v2/lcsc/2402181505_XINGLIGHT-XL-1608UOC-06_C965800.pdf</t>
    </r>
  </si>
  <si>
    <t>600nm~610nm</t>
  </si>
  <si>
    <t>C965801</t>
  </si>
  <si>
    <r>
      <rPr>
        <u val="single"/>
        <sz val="10"/>
        <color indexed="8"/>
        <rFont val="Arial"/>
      </rPr>
      <t>C965801</t>
    </r>
  </si>
  <si>
    <t>XL-1608UOC-04</t>
  </si>
  <si>
    <r>
      <rPr>
        <sz val="10"/>
        <color indexed="8"/>
        <rFont val="Arial"/>
      </rPr>
      <t>LED_Yellow_0603_20mA</t>
    </r>
  </si>
  <si>
    <r>
      <rPr>
        <sz val="10"/>
        <color indexed="8"/>
        <rFont val="Arial"/>
      </rPr>
      <t>Yellow LED clear 2.3V 20mA 450mcd</t>
    </r>
  </si>
  <si>
    <r>
      <rPr>
        <sz val="10"/>
        <color indexed="8"/>
        <rFont val="Arial"/>
      </rPr>
      <t>Yellow</t>
    </r>
  </si>
  <si>
    <t>20mA 450mcd Colorless transparent -20℃~+85℃ 585nm~595nm Positive Stick Yellow 120° 50mW 2.3V 0603 LED Indication</t>
  </si>
  <si>
    <t>Yellow</t>
  </si>
  <si>
    <t>585nm~595nm</t>
  </si>
  <si>
    <t>450</t>
  </si>
  <si>
    <t>C965803</t>
  </si>
  <si>
    <r>
      <rPr>
        <u val="single"/>
        <sz val="10"/>
        <color indexed="8"/>
        <rFont val="Arial"/>
      </rPr>
      <t>C965803</t>
    </r>
  </si>
  <si>
    <t>XL-1608UYC-04</t>
  </si>
  <si>
    <r>
      <rPr>
        <u val="single"/>
        <sz val="10"/>
        <color indexed="8"/>
        <rFont val="Arial"/>
      </rPr>
      <t>https://wmsc.lcsc.com/wmsc/upload/file/pdf/v2/lcsc/2402181505_XINGLIGHT-XL-1608UOC-04_C965801.pdf</t>
    </r>
  </si>
  <si>
    <r>
      <rPr>
        <sz val="10"/>
        <color indexed="8"/>
        <rFont val="Arial"/>
      </rPr>
      <t>LED_Red_0603_20mA</t>
    </r>
  </si>
  <si>
    <r>
      <rPr>
        <sz val="10"/>
        <color indexed="8"/>
        <rFont val="Arial"/>
      </rPr>
      <t>Red LED clear 2.2V 20mA 150mcd</t>
    </r>
  </si>
  <si>
    <r>
      <rPr>
        <sz val="10"/>
        <color indexed="8"/>
        <rFont val="Arial"/>
      </rPr>
      <t>Red</t>
    </r>
  </si>
  <si>
    <t>20mA 150mcd 622nm Red 120° 2.2V 0603 LED Indication</t>
  </si>
  <si>
    <t>Red</t>
  </si>
  <si>
    <t>150</t>
  </si>
  <si>
    <t>C7288939</t>
  </si>
  <si>
    <r>
      <rPr>
        <u val="single"/>
        <sz val="10"/>
        <color indexed="8"/>
        <rFont val="Arial"/>
      </rPr>
      <t>C7288939</t>
    </r>
  </si>
  <si>
    <t>Inolux</t>
  </si>
  <si>
    <t>IN-S63ASR</t>
  </si>
  <si>
    <r>
      <rPr>
        <u val="single"/>
        <sz val="10"/>
        <color indexed="8"/>
        <rFont val="Arial"/>
      </rPr>
      <t>https://wmsc.lcsc.com/wmsc/upload/file/pdf/v2/lcsc/2404241146_Inolux-IN-S63ASR_C7288939.pdf</t>
    </r>
  </si>
  <si>
    <r>
      <rPr>
        <sz val="10"/>
        <color indexed="8"/>
        <rFont val="Arial"/>
      </rPr>
      <t>Red LED clear 2.3V 20mA 330mcd</t>
    </r>
  </si>
  <si>
    <t>20mA 330mcd Colorless transparent -20℃~+85℃ Positive Stick 620nm~630nm Red 120° 50mW 2.3V 0603 LED Indication</t>
  </si>
  <si>
    <t>330</t>
  </si>
  <si>
    <t>C965799</t>
  </si>
  <si>
    <r>
      <rPr>
        <u val="single"/>
        <sz val="10"/>
        <color indexed="8"/>
        <rFont val="Arial"/>
      </rPr>
      <t>C965799</t>
    </r>
  </si>
  <si>
    <t>XL-1608SURC-06</t>
  </si>
  <si>
    <r>
      <rPr>
        <u val="single"/>
        <sz val="10"/>
        <color indexed="8"/>
        <rFont val="Arial"/>
      </rPr>
      <t>https://wmsc.lcsc.com/wmsc/upload/file/pdf/v2/lcsc/2402181505_XINGLIGHT-XL-1608SURC-06_C965799.pdf</t>
    </r>
  </si>
  <si>
    <r>
      <rPr>
        <sz val="10"/>
        <color indexed="8"/>
        <rFont val="Arial"/>
      </rPr>
      <t>Red LED clear 2.4V 20mA 360mcd</t>
    </r>
  </si>
  <si>
    <t>20mA 360mcd Colorless transparent 615nm~625nm -20℃~+85℃ Positive Stick Red 120° 50mW 2.4V 0603 LED Indication</t>
  </si>
  <si>
    <t>615nm~625nm</t>
  </si>
  <si>
    <t>360</t>
  </si>
  <si>
    <t>C965798</t>
  </si>
  <si>
    <r>
      <rPr>
        <u val="single"/>
        <sz val="10"/>
        <color indexed="8"/>
        <rFont val="Arial"/>
      </rPr>
      <t>C965798</t>
    </r>
  </si>
  <si>
    <t xml:space="preserve">XL-1608SURC-04
</t>
  </si>
  <si>
    <r>
      <rPr>
        <u val="single"/>
        <sz val="10"/>
        <color indexed="8"/>
        <rFont val="Arial"/>
      </rPr>
      <t>https://wmsc.lcsc.com/wmsc/upload/file/pdf/v2/lcsc/2402181505_XINGLIGHT-XL-1608SURC-04_C965798.pdf</t>
    </r>
  </si>
  <si>
    <r>
      <rPr>
        <sz val="10"/>
        <color indexed="8"/>
        <rFont val="Arial"/>
      </rPr>
      <t>LED_WS2812B_SMD5050</t>
    </r>
  </si>
  <si>
    <r>
      <rPr>
        <sz val="10"/>
        <color indexed="8"/>
        <rFont val="Arial"/>
      </rPr>
      <t>WS2812B LED WS2812B-WS2812B5050 5v 12mA</t>
    </r>
  </si>
  <si>
    <r>
      <rPr>
        <sz val="10"/>
        <color indexed="8"/>
        <rFont val="Arial"/>
      </rPr>
      <t>WS2812B</t>
    </r>
  </si>
  <si>
    <t>WS2812B-WS2812B5050</t>
  </si>
  <si>
    <t>SMD5050 RGB LEDs(Built-in IC) NeoPixel</t>
  </si>
  <si>
    <t>WS2812B</t>
  </si>
  <si>
    <t>SMD5050</t>
  </si>
  <si>
    <t>5v</t>
  </si>
  <si>
    <t>12mA</t>
  </si>
  <si>
    <t>C2843785</t>
  </si>
  <si>
    <r>
      <rPr>
        <u val="single"/>
        <sz val="10"/>
        <color indexed="8"/>
        <rFont val="Arial"/>
      </rPr>
      <t>C2843785</t>
    </r>
  </si>
  <si>
    <t>XL-5050RGBC-WS2812B</t>
  </si>
  <si>
    <t>SPCoast:WS2812B</t>
  </si>
  <si>
    <r>
      <rPr>
        <u val="single"/>
        <sz val="10"/>
        <color indexed="8"/>
        <rFont val="Arial"/>
      </rPr>
      <t>https://www.lcsc.com/datasheet/lcsc_datasheet_2404120946_XINGLIGHT-XL-5050RGBC-WS2812B_C2843785.pdf</t>
    </r>
  </si>
  <si>
    <r>
      <rPr>
        <sz val="10"/>
        <color indexed="8"/>
        <rFont val="Arial"/>
      </rPr>
      <t>REG_AMS1117-ADJ_SOT-223-3</t>
    </r>
  </si>
  <si>
    <r>
      <rPr>
        <sz val="10"/>
        <color indexed="8"/>
        <rFont val="Arial"/>
      </rPr>
      <t>AMS1117-ADJ ADJ 1.25-10.5v 1A</t>
    </r>
  </si>
  <si>
    <r>
      <rPr>
        <sz val="10"/>
        <color indexed="8"/>
        <rFont val="Arial"/>
      </rPr>
      <t>AMS1117-ADJ REG ADJ 1.25-10.5v 1A</t>
    </r>
  </si>
  <si>
    <t>REG</t>
  </si>
  <si>
    <r>
      <rPr>
        <sz val="10"/>
        <color indexed="8"/>
        <rFont val="Arial"/>
      </rPr>
      <t>AMS1117-ADJ</t>
    </r>
  </si>
  <si>
    <t>ADJ</t>
  </si>
  <si>
    <r>
      <rPr>
        <sz val="10"/>
        <color indexed="8"/>
        <rFont val="American Typewriter"/>
      </rPr>
      <t>1A Low Dropout regulator positive adjustable output / fixed: 1.5V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(V</t>
    </r>
    <r>
      <rPr>
        <sz val="5"/>
        <color indexed="8"/>
        <rFont val="American Typewriter"/>
      </rPr>
      <t>IN</t>
    </r>
    <r>
      <rPr>
        <sz val="10"/>
        <color indexed="8"/>
        <rFont val="American Typewriter"/>
      </rPr>
      <t xml:space="preserve"> - V</t>
    </r>
    <r>
      <rPr>
        <sz val="5"/>
        <color indexed="8"/>
        <rFont val="American Typewriter"/>
      </rPr>
      <t>OUT</t>
    </r>
    <r>
      <rPr>
        <sz val="10"/>
        <color indexed="8"/>
        <rFont val="American Typewriter"/>
      </rPr>
      <t xml:space="preserve">) 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12V 1.5V 1.8V 2.5V 2.85V 3.3V and 5.0V</t>
    </r>
  </si>
  <si>
    <t>AMS1117-ADJ</t>
  </si>
  <si>
    <t>SOT-223-3</t>
  </si>
  <si>
    <t>1.25-10.5v</t>
  </si>
  <si>
    <t>1A</t>
  </si>
  <si>
    <t>C5345985</t>
  </si>
  <si>
    <r>
      <rPr>
        <u val="single"/>
        <sz val="10"/>
        <color indexed="8"/>
        <rFont val="Arial"/>
      </rPr>
      <t>C5345985</t>
    </r>
  </si>
  <si>
    <t>HXY MOSFET</t>
  </si>
  <si>
    <t>SPCoast:AMS1117</t>
  </si>
  <si>
    <t>SPCoast:SOT-223-3_TabPin2</t>
  </si>
  <si>
    <r>
      <rPr>
        <u val="single"/>
        <sz val="10"/>
        <color indexed="8"/>
        <rFont val="Arial"/>
      </rPr>
      <t>https://wmsc.lcsc.com/wmsc/upload/file/pdf/v2/lcsc/2301120930_HXY-MOSFET-AMS1117-ADJ_C5345985.pdf</t>
    </r>
  </si>
  <si>
    <r>
      <rPr>
        <sz val="10"/>
        <color indexed="8"/>
        <rFont val="Arial"/>
      </rPr>
      <t>REG_AMS1117-3.3_SOT-223-3</t>
    </r>
  </si>
  <si>
    <r>
      <rPr>
        <sz val="10"/>
        <color indexed="8"/>
        <rFont val="Arial"/>
      </rPr>
      <t>AMS1117-3.3 3v3 3v3 1A</t>
    </r>
  </si>
  <si>
    <r>
      <rPr>
        <sz val="10"/>
        <color indexed="8"/>
        <rFont val="Arial"/>
      </rPr>
      <t>AMS1117-3.3 REG 3v3 3v3 1A</t>
    </r>
  </si>
  <si>
    <r>
      <rPr>
        <sz val="10"/>
        <color indexed="8"/>
        <rFont val="Arial"/>
      </rPr>
      <t>AMS1117-3.3</t>
    </r>
  </si>
  <si>
    <t>3v3</t>
  </si>
  <si>
    <t>1A Low Dropout regulator positive fixed 3.3V</t>
  </si>
  <si>
    <t>AMS1117-3.3</t>
  </si>
  <si>
    <t>C5345982</t>
  </si>
  <si>
    <r>
      <rPr>
        <u val="single"/>
        <sz val="10"/>
        <color indexed="8"/>
        <rFont val="Arial"/>
      </rPr>
      <t>C5345982</t>
    </r>
  </si>
  <si>
    <r>
      <rPr>
        <u val="single"/>
        <sz val="10"/>
        <color indexed="8"/>
        <rFont val="Arial"/>
      </rPr>
      <t>https://wmsc.lcsc.com/wmsc/upload/file/pdf/v2/lcsc/2301120930_HXY-MOSFET-AMS1117-3-3_C5345982.pdf</t>
    </r>
  </si>
  <si>
    <r>
      <rPr>
        <sz val="10"/>
        <color indexed="8"/>
        <rFont val="Arial"/>
      </rPr>
      <t>REG_AMS1117-5.0_SOT-223-3</t>
    </r>
  </si>
  <si>
    <r>
      <rPr>
        <sz val="10"/>
        <color indexed="8"/>
        <rFont val="Arial"/>
      </rPr>
      <t>AMS1117-5.0 5v 5v0 1A</t>
    </r>
  </si>
  <si>
    <r>
      <rPr>
        <sz val="10"/>
        <color indexed="8"/>
        <rFont val="Arial"/>
      </rPr>
      <t>AMS1117-5.0 REG 5v 5v0 1A</t>
    </r>
  </si>
  <si>
    <r>
      <rPr>
        <sz val="10"/>
        <color indexed="8"/>
        <rFont val="Arial"/>
      </rPr>
      <t>AMS1117-5.0</t>
    </r>
  </si>
  <si>
    <t>1A Low Dropout regulator positive fixed 5.0V</t>
  </si>
  <si>
    <t>AMS1117-5.0</t>
  </si>
  <si>
    <t>5v0</t>
  </si>
  <si>
    <t>C5345984</t>
  </si>
  <si>
    <r>
      <rPr>
        <u val="single"/>
        <sz val="10"/>
        <color indexed="8"/>
        <rFont val="Arial"/>
      </rPr>
      <t>C5345984</t>
    </r>
  </si>
  <si>
    <r>
      <rPr>
        <u val="single"/>
        <sz val="10"/>
        <color indexed="8"/>
        <rFont val="Arial"/>
      </rPr>
      <t>https://wmsc.lcsc.com/wmsc/upload/file/pdf/v2/lcsc/2301120930_HXY-MOSFET-AMS1117-5-0_C5345984.pdf</t>
    </r>
  </si>
  <si>
    <r>
      <rPr>
        <sz val="10"/>
        <color indexed="8"/>
        <rFont val="Arial"/>
      </rPr>
      <t>REG_78L05_TO-220</t>
    </r>
  </si>
  <si>
    <r>
      <rPr>
        <sz val="10"/>
        <color indexed="8"/>
        <rFont val="Arial"/>
      </rPr>
      <t>78L05 5v</t>
    </r>
  </si>
  <si>
    <r>
      <rPr>
        <sz val="10"/>
        <color indexed="8"/>
        <rFont val="Arial"/>
      </rPr>
      <t>78L05 REG 5v</t>
    </r>
  </si>
  <si>
    <r>
      <rPr>
        <sz val="10"/>
        <color indexed="8"/>
        <rFont val="Arial"/>
      </rPr>
      <t>78L05</t>
    </r>
  </si>
  <si>
    <t>5v Linear Regulator</t>
  </si>
  <si>
    <t>78L05</t>
  </si>
  <si>
    <t>TO-220</t>
  </si>
  <si>
    <r>
      <rPr>
        <sz val="10"/>
        <color indexed="8"/>
        <rFont val="Arial"/>
      </rPr>
      <t>RLY_G2RL-2_29x12.7x15.7mm</t>
    </r>
  </si>
  <si>
    <r>
      <rPr>
        <sz val="10"/>
        <color indexed="8"/>
        <rFont val="Arial"/>
      </rPr>
      <t>G2RL-2 24v DPDT 24v 8A</t>
    </r>
  </si>
  <si>
    <r>
      <rPr>
        <sz val="10"/>
        <color indexed="8"/>
        <rFont val="Arial"/>
      </rPr>
      <t>G2RL-2 RLY 24v DPDT 24v 8A</t>
    </r>
  </si>
  <si>
    <t>RLY</t>
  </si>
  <si>
    <r>
      <rPr>
        <sz val="10"/>
        <color indexed="8"/>
        <rFont val="Arial"/>
      </rPr>
      <t>G2RL-2</t>
    </r>
  </si>
  <si>
    <t>24v DPDT</t>
  </si>
  <si>
    <t>DPDT Low profile power relay 15.7mmH</t>
  </si>
  <si>
    <t>G2RL-2</t>
  </si>
  <si>
    <t>29x12.7x15.7mm</t>
  </si>
  <si>
    <t>24v</t>
  </si>
  <si>
    <t>8A</t>
  </si>
  <si>
    <t>Omron</t>
  </si>
  <si>
    <t>G2RL-2 / 24v</t>
  </si>
  <si>
    <t>SPCoast:G2RL-2</t>
  </si>
  <si>
    <t>SPCoast:Relay_DPDT_Omron_G2RL-2</t>
  </si>
  <si>
    <r>
      <rPr>
        <u val="single"/>
        <sz val="10"/>
        <color indexed="8"/>
        <rFont val="Arial"/>
      </rPr>
      <t>https://omronfs.omron.com/en_US/ecb/products/pdf/en-g2rl.pdf</t>
    </r>
  </si>
  <si>
    <r>
      <rPr>
        <sz val="10"/>
        <color indexed="8"/>
        <rFont val="Arial"/>
      </rPr>
      <t>Q_NPN_600mA_SOT-23_MMBT2222LT1G</t>
    </r>
  </si>
  <si>
    <r>
      <rPr>
        <sz val="10"/>
        <color indexed="8"/>
        <rFont val="Arial"/>
      </rPr>
      <t>MMBT2222LT1G NPN 30V 600mA 300mW</t>
    </r>
  </si>
  <si>
    <r>
      <rPr>
        <sz val="10"/>
        <color indexed="8"/>
        <rFont val="Arial"/>
      </rPr>
      <t>MMBT2222LT1G Q NPN 30V 600mA 300mW</t>
    </r>
  </si>
  <si>
    <t>Q</t>
  </si>
  <si>
    <r>
      <rPr>
        <sz val="10"/>
        <color indexed="8"/>
        <rFont val="Arial"/>
      </rPr>
      <t>MMBT2222LT1G</t>
    </r>
  </si>
  <si>
    <t>NPN</t>
  </si>
  <si>
    <t>NPN 30 V 600 mA 250MHz 300 mW Surface Mount SOT-23-3 (TO-236)</t>
  </si>
  <si>
    <t>600mA</t>
  </si>
  <si>
    <t>300mW</t>
  </si>
  <si>
    <t>ONSemi</t>
  </si>
  <si>
    <t>MMBT2222LT1G</t>
  </si>
  <si>
    <t>Device:Q_NPN_BEC</t>
  </si>
  <si>
    <r>
      <rPr>
        <sz val="10"/>
        <color indexed="8"/>
        <rFont val="Arial"/>
      </rPr>
      <t>Q_NPN_200mA_SOT-23_MMBT3904</t>
    </r>
  </si>
  <si>
    <r>
      <rPr>
        <sz val="10"/>
        <color indexed="8"/>
        <rFont val="Arial"/>
      </rPr>
      <t>MMBT3904 NPN 40V 200mA 200mW</t>
    </r>
  </si>
  <si>
    <r>
      <rPr>
        <sz val="10"/>
        <color indexed="8"/>
        <rFont val="Arial"/>
      </rPr>
      <t>MMBT3904 Q NPN 40V 200mA 200mW</t>
    </r>
  </si>
  <si>
    <r>
      <rPr>
        <sz val="10"/>
        <color indexed="8"/>
        <rFont val="Arial"/>
      </rPr>
      <t>MMBT3904</t>
    </r>
  </si>
  <si>
    <t>NPN 40V 200mW 100@10mA 1V 200mA NPN SOT-23</t>
  </si>
  <si>
    <t>40V</t>
  </si>
  <si>
    <t>200mA</t>
  </si>
  <si>
    <t>C5184404</t>
  </si>
  <si>
    <r>
      <rPr>
        <u val="single"/>
        <sz val="10"/>
        <color indexed="8"/>
        <rFont val="Arial"/>
      </rPr>
      <t>C5184404</t>
    </r>
  </si>
  <si>
    <t>MMBT3904</t>
  </si>
  <si>
    <r>
      <rPr>
        <u val="single"/>
        <sz val="10"/>
        <color indexed="8"/>
        <rFont val="Arial"/>
      </rPr>
      <t>https://wmsc.lcsc.com/wmsc/upload/file/pdf/v2/lcsc/2407151447_HXY-MOSFET-MMBT3904_C5184404.pdf</t>
    </r>
  </si>
  <si>
    <r>
      <rPr>
        <sz val="10"/>
        <color indexed="8"/>
        <rFont val="Arial"/>
      </rPr>
      <t>Q_PNP_500mA_SOT-23_BC807</t>
    </r>
  </si>
  <si>
    <r>
      <rPr>
        <sz val="10"/>
        <color indexed="8"/>
        <rFont val="Arial"/>
      </rPr>
      <t>BC807 PNP 45V 500mA 300mW</t>
    </r>
  </si>
  <si>
    <r>
      <rPr>
        <sz val="10"/>
        <color indexed="8"/>
        <rFont val="Arial"/>
      </rPr>
      <t>BC807 Q PNP 45V 500mA 300mW</t>
    </r>
  </si>
  <si>
    <r>
      <rPr>
        <sz val="10"/>
        <color indexed="8"/>
        <rFont val="Arial"/>
      </rPr>
      <t>BC807</t>
    </r>
  </si>
  <si>
    <t>PNP</t>
  </si>
  <si>
    <t>PNP 45V 300mW 250@100mA 1V 500mA PNP SOT-23</t>
  </si>
  <si>
    <t>BC807</t>
  </si>
  <si>
    <t>45V</t>
  </si>
  <si>
    <t>500mA</t>
  </si>
  <si>
    <t>C5184433</t>
  </si>
  <si>
    <r>
      <rPr>
        <u val="single"/>
        <sz val="10"/>
        <color indexed="8"/>
        <rFont val="Arial"/>
      </rPr>
      <t>C5184433</t>
    </r>
  </si>
  <si>
    <t>BC807-40</t>
  </si>
  <si>
    <t>Device:Q_PNP_BEC</t>
  </si>
  <si>
    <r>
      <rPr>
        <u val="single"/>
        <sz val="10"/>
        <color indexed="8"/>
        <rFont val="Arial"/>
      </rPr>
      <t>https://wmsc.lcsc.com/wmsc/upload/file/pdf/v2/lcsc/2303091430_HXY-MOSFET-BC807-40_C5184433.pdf</t>
    </r>
  </si>
  <si>
    <r>
      <rPr>
        <sz val="10"/>
        <color indexed="8"/>
        <rFont val="Arial"/>
      </rPr>
      <t>Q_N-FET_300mA_SO-8_2N7002</t>
    </r>
  </si>
  <si>
    <r>
      <rPr>
        <sz val="10"/>
        <color indexed="8"/>
        <rFont val="Arial"/>
      </rPr>
      <t>2N7002 N-FET 60v 300mA</t>
    </r>
  </si>
  <si>
    <r>
      <rPr>
        <sz val="10"/>
        <color indexed="8"/>
        <rFont val="Arial"/>
      </rPr>
      <t>2N7002 Q N-FET 60v 300mA</t>
    </r>
  </si>
  <si>
    <r>
      <rPr>
        <sz val="10"/>
        <color indexed="8"/>
        <rFont val="Arial"/>
      </rPr>
      <t>2N7002</t>
    </r>
  </si>
  <si>
    <t>N-FET</t>
  </si>
  <si>
    <t>60V 300mA 1.5@10V 500mA 200mW 1.5V@250uA N-Channel SOT-23 MOSFETs</t>
  </si>
  <si>
    <t>60v</t>
  </si>
  <si>
    <t>300mA</t>
  </si>
  <si>
    <t>C5224215</t>
  </si>
  <si>
    <r>
      <rPr>
        <u val="single"/>
        <sz val="10"/>
        <color indexed="8"/>
        <rFont val="Arial"/>
      </rPr>
      <t>C5224215</t>
    </r>
  </si>
  <si>
    <t>ElecSuper</t>
  </si>
  <si>
    <t>2N7002</t>
  </si>
  <si>
    <t>Device:Q_NMOS_GSD</t>
  </si>
  <si>
    <r>
      <rPr>
        <u val="single"/>
        <sz val="10"/>
        <color indexed="8"/>
        <rFont val="Arial"/>
      </rPr>
      <t>https://wmsc.lcsc.com/wmsc/upload/file/pdf/v2/lcsc/2210271630_ElecSuper-2N7002_C5224215.pdf</t>
    </r>
  </si>
  <si>
    <r>
      <rPr>
        <sz val="10"/>
        <color indexed="8"/>
        <rFont val="Arial"/>
      </rPr>
      <t>Q_N-FET_10A_SOT-23_DMN4468</t>
    </r>
  </si>
  <si>
    <r>
      <rPr>
        <sz val="10"/>
        <color indexed="8"/>
        <rFont val="Arial"/>
      </rPr>
      <t>DMN4468 N-FET 30v 10A</t>
    </r>
  </si>
  <si>
    <r>
      <rPr>
        <sz val="10"/>
        <color indexed="8"/>
        <rFont val="Arial"/>
      </rPr>
      <t>DMN4468 Q N-FET 30v 10A</t>
    </r>
  </si>
  <si>
    <r>
      <rPr>
        <sz val="10"/>
        <color indexed="8"/>
        <rFont val="Arial"/>
      </rPr>
      <t>DMN4468</t>
    </r>
  </si>
  <si>
    <t>30V 10A 14m@10V00mA N-Channel SO-8 MOSFETs</t>
  </si>
  <si>
    <t>DMN4468</t>
  </si>
  <si>
    <t>SO-8</t>
  </si>
  <si>
    <t>30v</t>
  </si>
  <si>
    <t>10A</t>
  </si>
  <si>
    <t>C878901</t>
  </si>
  <si>
    <r>
      <rPr>
        <u val="single"/>
        <sz val="10"/>
        <color indexed="8"/>
        <rFont val="Arial"/>
      </rPr>
      <t>C878901</t>
    </r>
  </si>
  <si>
    <t>Diodes</t>
  </si>
  <si>
    <t>DMN4468LSS</t>
  </si>
  <si>
    <t>SPCoast:MOSFET-N</t>
  </si>
  <si>
    <t>SPCoast:SO-8</t>
  </si>
  <si>
    <r>
      <rPr>
        <u val="single"/>
        <sz val="10"/>
        <color indexed="8"/>
        <rFont val="Arial"/>
      </rPr>
      <t>https://www.diodes.com/assets/Datasheets/ds31773.pdf</t>
    </r>
  </si>
  <si>
    <r>
      <rPr>
        <sz val="10"/>
        <color indexed="8"/>
        <rFont val="Arial"/>
      </rPr>
      <t>Q_P-FET_2.3A_0603_2301V</t>
    </r>
  </si>
  <si>
    <r>
      <rPr>
        <sz val="10"/>
        <color indexed="8"/>
        <rFont val="Arial"/>
      </rPr>
      <t>2301V P-FET 20V 2.3A</t>
    </r>
  </si>
  <si>
    <r>
      <rPr>
        <sz val="10"/>
        <color indexed="8"/>
        <rFont val="Arial"/>
      </rPr>
      <t>2301V Q P-FET 20V 2.3A</t>
    </r>
  </si>
  <si>
    <r>
      <rPr>
        <sz val="10"/>
        <color indexed="8"/>
        <rFont val="Arial"/>
      </rPr>
      <t>2301V</t>
    </r>
  </si>
  <si>
    <t>P-FET</t>
  </si>
  <si>
    <t>20V 2.3A 95m 1V 1 Piece P-Channel SOT-23 MOSFET</t>
  </si>
  <si>
    <t>20V</t>
  </si>
  <si>
    <t>2.3A</t>
  </si>
  <si>
    <t>C7499856</t>
  </si>
  <si>
    <r>
      <rPr>
        <u val="single"/>
        <sz val="10"/>
        <color indexed="8"/>
        <rFont val="Arial"/>
      </rPr>
      <t>C7499856</t>
    </r>
  </si>
  <si>
    <t>HL</t>
  </si>
  <si>
    <t>2301V</t>
  </si>
  <si>
    <t>Device:Q_PMOS_GSD</t>
  </si>
  <si>
    <r>
      <rPr>
        <u val="single"/>
        <sz val="10"/>
        <color indexed="8"/>
        <rFont val="Arial"/>
      </rPr>
      <t>https://wmsc.lcsc.com/wmsc/upload/file/pdf/v2/lcsc/2310251707_HL-2301V_C7499856.pdf</t>
    </r>
  </si>
  <si>
    <r>
      <rPr>
        <sz val="10"/>
        <color indexed="8"/>
        <rFont val="Arial"/>
      </rPr>
      <t>RES_5%_100mW_0603_200</t>
    </r>
  </si>
  <si>
    <r>
      <rPr>
        <sz val="10"/>
        <color indexed="8"/>
        <rFont val="Arial"/>
      </rPr>
      <t>200 5% thick film 75V 100mW</t>
    </r>
  </si>
  <si>
    <r>
      <rPr>
        <sz val="10"/>
        <color indexed="8"/>
        <rFont val="Arial"/>
      </rPr>
      <t>200 RES 5% thick film 75V 100mW</t>
    </r>
  </si>
  <si>
    <t>RES</t>
  </si>
  <si>
    <r>
      <rPr>
        <sz val="10"/>
        <color indexed="8"/>
        <rFont val="Arial"/>
      </rPr>
      <t>200</t>
    </r>
  </si>
  <si>
    <t>thick film</t>
  </si>
  <si>
    <t>200 100mW  75V ±100ppm/℃ ±5% 0603</t>
  </si>
  <si>
    <t>200</t>
  </si>
  <si>
    <t>5%</t>
  </si>
  <si>
    <t>75V</t>
  </si>
  <si>
    <t>100mW</t>
  </si>
  <si>
    <t>C2907123</t>
  </si>
  <si>
    <r>
      <rPr>
        <u val="single"/>
        <sz val="10"/>
        <color indexed="8"/>
        <rFont val="Arial"/>
      </rPr>
      <t>C2907123</t>
    </r>
  </si>
  <si>
    <t>FOJAN</t>
  </si>
  <si>
    <t>FRC0603J201 TS</t>
  </si>
  <si>
    <t>Device:R_US</t>
  </si>
  <si>
    <t>SPCoast:0603-RES</t>
  </si>
  <si>
    <r>
      <rPr>
        <u val="single"/>
        <sz val="10"/>
        <color indexed="8"/>
        <rFont val="Arial"/>
      </rPr>
      <t>https://wmsc.lcsc.com/wmsc/upload/file/pdf/v2/lcsc/2308241947_FOJAN-FRC0603J201-TS_C2907123.pdf</t>
    </r>
  </si>
  <si>
    <r>
      <rPr>
        <sz val="9"/>
        <color indexed="8"/>
        <rFont val="Arial"/>
      </rPr>
      <t>RES_1%_100mW_0603_220</t>
    </r>
  </si>
  <si>
    <r>
      <rPr>
        <sz val="10"/>
        <color indexed="8"/>
        <rFont val="Arial"/>
      </rPr>
      <t>220 1% thick film 150V 100mW</t>
    </r>
  </si>
  <si>
    <r>
      <rPr>
        <sz val="10"/>
        <color indexed="8"/>
        <rFont val="Arial"/>
      </rPr>
      <t>220 RES 1% thick film 150V 100mW</t>
    </r>
  </si>
  <si>
    <r>
      <rPr>
        <sz val="10"/>
        <color indexed="8"/>
        <rFont val="Arial"/>
      </rPr>
      <t>220</t>
    </r>
  </si>
  <si>
    <t>220 100mW s 150V ±100ppm/℃ ±1% 0603</t>
  </si>
  <si>
    <t>220</t>
  </si>
  <si>
    <t>1%</t>
  </si>
  <si>
    <t>150V</t>
  </si>
  <si>
    <t>C5842375</t>
  </si>
  <si>
    <r>
      <rPr>
        <u val="single"/>
        <sz val="10"/>
        <color indexed="8"/>
        <rFont val="Arial"/>
      </rPr>
      <t>C5842375</t>
    </r>
  </si>
  <si>
    <t>RC0603FR-13220RL</t>
  </si>
  <si>
    <r>
      <rPr>
        <u val="single"/>
        <sz val="10"/>
        <color indexed="8"/>
        <rFont val="Arial"/>
      </rPr>
      <t>https://wmsc.lcsc.com/wmsc/upload/file/pdf/v2/lcsc/2312030915_YAGEO-RC0603FR-13220RL_C5842375.pdf</t>
    </r>
  </si>
  <si>
    <r>
      <rPr>
        <sz val="9"/>
        <color indexed="8"/>
        <rFont val="Arial"/>
      </rPr>
      <t>RES_5%_100mW_0603_220</t>
    </r>
  </si>
  <si>
    <r>
      <rPr>
        <sz val="10"/>
        <color indexed="8"/>
        <rFont val="Arial"/>
      </rPr>
      <t>220 5% thick film 75V 100mW</t>
    </r>
  </si>
  <si>
    <r>
      <rPr>
        <sz val="10"/>
        <color indexed="8"/>
        <rFont val="Arial"/>
      </rPr>
      <t>220 RES 5% thick film 75V 100mW</t>
    </r>
  </si>
  <si>
    <t>220 100mW  75V ±100ppm/℃ ±5% 0603</t>
  </si>
  <si>
    <t>C1226</t>
  </si>
  <si>
    <r>
      <rPr>
        <u val="single"/>
        <sz val="10"/>
        <color indexed="8"/>
        <rFont val="Arial"/>
      </rPr>
      <t>C1226</t>
    </r>
  </si>
  <si>
    <t>UNI-ROYAL</t>
  </si>
  <si>
    <t>0603WAJ0221T5E</t>
  </si>
  <si>
    <r>
      <rPr>
        <u val="single"/>
        <sz val="10"/>
        <color indexed="8"/>
        <rFont val="Arial"/>
      </rPr>
      <t>https://www.lcsc.com/datasheet/lcsc_datasheet_2206010230_UNI-ROYAL-Uniroyal-Elec-0603WAJ0221T5E_C1226.pdf</t>
    </r>
  </si>
  <si>
    <r>
      <rPr>
        <sz val="9"/>
        <color indexed="8"/>
        <rFont val="Arial"/>
      </rPr>
      <t>RES_5%_100mW_0603_330</t>
    </r>
  </si>
  <si>
    <r>
      <rPr>
        <sz val="10"/>
        <color indexed="8"/>
        <rFont val="Arial"/>
      </rPr>
      <t>330 5% thick film 75V 100mW</t>
    </r>
  </si>
  <si>
    <r>
      <rPr>
        <sz val="10"/>
        <color indexed="8"/>
        <rFont val="Arial"/>
      </rPr>
      <t>330 RES 5% thick film 75V 100mW</t>
    </r>
  </si>
  <si>
    <r>
      <rPr>
        <sz val="10"/>
        <color indexed="8"/>
        <rFont val="Arial"/>
      </rPr>
      <t>330</t>
    </r>
  </si>
  <si>
    <t>330 100mW  75V ±100ppm/℃ ±5% 0603</t>
  </si>
  <si>
    <t>C25231</t>
  </si>
  <si>
    <r>
      <rPr>
        <u val="single"/>
        <sz val="10"/>
        <color indexed="8"/>
        <rFont val="Arial"/>
      </rPr>
      <t>C25231</t>
    </r>
  </si>
  <si>
    <t>0603WAJ0331T5E</t>
  </si>
  <si>
    <r>
      <rPr>
        <u val="single"/>
        <sz val="10"/>
        <color indexed="8"/>
        <rFont val="Arial"/>
      </rPr>
      <t>https://www.lcsc.com/datasheet/lcsc_datasheet_2205311845_UNI-ROYAL-Uniroyal-Elec-0603WAJ0331T5E_C25231.pdf</t>
    </r>
  </si>
  <si>
    <r>
      <rPr>
        <sz val="9"/>
        <color indexed="8"/>
        <rFont val="Arial"/>
      </rPr>
      <t>RES_5%_100mW_0603_470</t>
    </r>
  </si>
  <si>
    <r>
      <rPr>
        <sz val="10"/>
        <color indexed="8"/>
        <rFont val="Arial"/>
      </rPr>
      <t>470 5% thick film 75V 100mW</t>
    </r>
  </si>
  <si>
    <r>
      <rPr>
        <sz val="10"/>
        <color indexed="8"/>
        <rFont val="Arial"/>
      </rPr>
      <t>470 RES 5% thick film 75V 100mW</t>
    </r>
  </si>
  <si>
    <r>
      <rPr>
        <sz val="10"/>
        <color indexed="8"/>
        <rFont val="Arial"/>
      </rPr>
      <t>470</t>
    </r>
  </si>
  <si>
    <t>470 100mW  75V ±100ppm/℃ ±5% 0603</t>
  </si>
  <si>
    <t>470</t>
  </si>
  <si>
    <t>C25241</t>
  </si>
  <si>
    <r>
      <rPr>
        <u val="single"/>
        <sz val="10"/>
        <color indexed="8"/>
        <rFont val="Arial"/>
      </rPr>
      <t>C25241</t>
    </r>
  </si>
  <si>
    <t>0603WAJ0471T5E</t>
  </si>
  <si>
    <r>
      <rPr>
        <u val="single"/>
        <sz val="10"/>
        <color indexed="8"/>
        <rFont val="Arial"/>
      </rPr>
      <t>https://www.lcsc.com/datasheet/lcsc_datasheet_2205311845_UNI-ROYAL-Uniroyal-Elec-0603WAJ0471T5E_C25241.pdf</t>
    </r>
  </si>
  <si>
    <r>
      <rPr>
        <sz val="9"/>
        <color indexed="8"/>
        <rFont val="Arial"/>
      </rPr>
      <t>RES_5%_100mW_0603_1K</t>
    </r>
  </si>
  <si>
    <r>
      <rPr>
        <sz val="10"/>
        <color indexed="8"/>
        <rFont val="Arial"/>
      </rPr>
      <t>1K 5% thick film 75V 100mW</t>
    </r>
  </si>
  <si>
    <r>
      <rPr>
        <sz val="10"/>
        <color indexed="8"/>
        <rFont val="Arial"/>
      </rPr>
      <t>1K RES 5% thick film 75V 100mW</t>
    </r>
  </si>
  <si>
    <r>
      <rPr>
        <sz val="10"/>
        <color indexed="8"/>
        <rFont val="Arial"/>
      </rPr>
      <t>1K</t>
    </r>
  </si>
  <si>
    <t>1k 100mW  75V ±100ppm/℃ ±5% 0603</t>
  </si>
  <si>
    <t>1K</t>
  </si>
  <si>
    <t>C25585</t>
  </si>
  <si>
    <r>
      <rPr>
        <u val="single"/>
        <sz val="10"/>
        <color indexed="8"/>
        <rFont val="Arial"/>
      </rPr>
      <t>C25585</t>
    </r>
  </si>
  <si>
    <t>0603WAJ0102T5E</t>
  </si>
  <si>
    <r>
      <rPr>
        <u val="single"/>
        <sz val="10"/>
        <color indexed="8"/>
        <rFont val="Arial"/>
      </rPr>
      <t>https://www.lcsc.com/datasheet/lcsc_datasheet_2206010100_UNI-ROYAL-Uniroyal-Elec-0603WAJ0102T5E_C25585.pdf</t>
    </r>
  </si>
  <si>
    <r>
      <rPr>
        <sz val="9"/>
        <color indexed="8"/>
        <rFont val="Arial"/>
      </rPr>
      <t>RES_5%_100mW_0603_2.2K</t>
    </r>
  </si>
  <si>
    <r>
      <rPr>
        <sz val="10"/>
        <color indexed="8"/>
        <rFont val="Arial"/>
      </rPr>
      <t>2.2K 5% thick film 75V 100mW</t>
    </r>
  </si>
  <si>
    <r>
      <rPr>
        <sz val="10"/>
        <color indexed="8"/>
        <rFont val="Arial"/>
      </rPr>
      <t>2.2K RES 5% thick film 75V 100mW</t>
    </r>
  </si>
  <si>
    <r>
      <rPr>
        <sz val="10"/>
        <color indexed="8"/>
        <rFont val="Arial"/>
      </rPr>
      <t>2.2K</t>
    </r>
  </si>
  <si>
    <t>2.2k 100mW  75V ±100ppm/℃ ±5% 0603</t>
  </si>
  <si>
    <t>2.2K</t>
  </si>
  <si>
    <t>C25992</t>
  </si>
  <si>
    <r>
      <rPr>
        <u val="single"/>
        <sz val="10"/>
        <color indexed="8"/>
        <rFont val="Arial"/>
      </rPr>
      <t>C25992</t>
    </r>
  </si>
  <si>
    <t>0603WAJ0222T5E</t>
  </si>
  <si>
    <r>
      <rPr>
        <u val="single"/>
        <sz val="10"/>
        <color indexed="8"/>
        <rFont val="Arial"/>
      </rPr>
      <t>https://www.lcsc.com/datasheet/lcsc_datasheet_2206010045_UNI-ROYAL-Uniroyal-Elec-0603WAJ0222T5E_C25992.pdf</t>
    </r>
  </si>
  <si>
    <r>
      <rPr>
        <sz val="9"/>
        <color indexed="8"/>
        <rFont val="Arial"/>
      </rPr>
      <t>RES_1%_100mW_0603_3.3K</t>
    </r>
  </si>
  <si>
    <r>
      <rPr>
        <sz val="10"/>
        <color indexed="8"/>
        <rFont val="Arial"/>
      </rPr>
      <t>3.3K 1% thick film 75V 100mW</t>
    </r>
  </si>
  <si>
    <r>
      <rPr>
        <sz val="10"/>
        <color indexed="8"/>
        <rFont val="Arial"/>
      </rPr>
      <t>3.3K RES 1% thick film 75V 100mW</t>
    </r>
  </si>
  <si>
    <r>
      <rPr>
        <sz val="10"/>
        <color indexed="8"/>
        <rFont val="Arial"/>
      </rPr>
      <t>3.3K</t>
    </r>
  </si>
  <si>
    <t>3.3k 100mW s 75V ±100ppm/℃ ±1% 0603</t>
  </si>
  <si>
    <t>3.3K</t>
  </si>
  <si>
    <t>C2907023</t>
  </si>
  <si>
    <r>
      <rPr>
        <u val="single"/>
        <sz val="10"/>
        <color indexed="8"/>
        <rFont val="Arial"/>
      </rPr>
      <t>C2907023</t>
    </r>
  </si>
  <si>
    <t>FRC0603F3301TS</t>
  </si>
  <si>
    <r>
      <rPr>
        <u val="single"/>
        <sz val="10"/>
        <color indexed="8"/>
        <rFont val="Arial"/>
      </rPr>
      <t>https://wmsc.lcsc.com/wmsc/upload/file/pdf/v2/lcsc/2308241947_FOJAN-FRC0603F3301TS_C2907023.pdf</t>
    </r>
  </si>
  <si>
    <r>
      <rPr>
        <sz val="9"/>
        <color indexed="8"/>
        <rFont val="Arial"/>
      </rPr>
      <t>RES_5%_100mW_0603_3.3K</t>
    </r>
  </si>
  <si>
    <r>
      <rPr>
        <sz val="10"/>
        <color indexed="8"/>
        <rFont val="Arial"/>
      </rPr>
      <t>3.3K 5% thick film 75V 100mW</t>
    </r>
  </si>
  <si>
    <r>
      <rPr>
        <sz val="10"/>
        <color indexed="8"/>
        <rFont val="Arial"/>
      </rPr>
      <t>3.3K RES 5% thick film 75V 100mW</t>
    </r>
  </si>
  <si>
    <t>3.3k 100mW  75V ±100ppm/℃ ±5% 0603</t>
  </si>
  <si>
    <t>C25995</t>
  </si>
  <si>
    <r>
      <rPr>
        <u val="single"/>
        <sz val="10"/>
        <color indexed="8"/>
        <rFont val="Arial"/>
      </rPr>
      <t>C25995</t>
    </r>
  </si>
  <si>
    <t>0603WAJ0332T5E</t>
  </si>
  <si>
    <r>
      <rPr>
        <u val="single"/>
        <sz val="10"/>
        <color indexed="8"/>
        <rFont val="Arial"/>
      </rPr>
      <t>https://www.lcsc.com/datasheet/lcsc_datasheet_2206010045_UNI-ROYAL-Uniroyal-Elec-0603WAJ0332T5E_C25995.pdf</t>
    </r>
  </si>
  <si>
    <r>
      <rPr>
        <sz val="9"/>
        <color indexed="8"/>
        <rFont val="Arial"/>
      </rPr>
      <t>RES_5%_100mW_0603_4.7K</t>
    </r>
  </si>
  <si>
    <r>
      <rPr>
        <sz val="10"/>
        <color indexed="8"/>
        <rFont val="Arial"/>
      </rPr>
      <t>4.7K 5% thick film 75V 100mW</t>
    </r>
  </si>
  <si>
    <r>
      <rPr>
        <sz val="10"/>
        <color indexed="8"/>
        <rFont val="Arial"/>
      </rPr>
      <t>4.7K RES 5% thick film 75V 100mW</t>
    </r>
  </si>
  <si>
    <r>
      <rPr>
        <sz val="10"/>
        <color indexed="8"/>
        <rFont val="Arial"/>
      </rPr>
      <t>4.7K</t>
    </r>
  </si>
  <si>
    <t>4.7k 100mW  75V ±100ppm/℃ ±5% 0603</t>
  </si>
  <si>
    <t>4.7K</t>
  </si>
  <si>
    <t>C25999</t>
  </si>
  <si>
    <r>
      <rPr>
        <u val="single"/>
        <sz val="10"/>
        <color indexed="8"/>
        <rFont val="Arial"/>
      </rPr>
      <t>C25999</t>
    </r>
  </si>
  <si>
    <t>0603WAJ0472T5E</t>
  </si>
  <si>
    <r>
      <rPr>
        <u val="single"/>
        <sz val="10"/>
        <color indexed="8"/>
        <rFont val="Arial"/>
      </rPr>
      <t>https://www.lcsc.com/datasheet/lcsc_datasheet_2206010045_UNI-ROYAL-Uniroyal-Elec-0603WAJ0472T5E_C25999.pdf</t>
    </r>
  </si>
  <si>
    <r>
      <rPr>
        <sz val="9"/>
        <color indexed="8"/>
        <rFont val="Arial"/>
      </rPr>
      <t>RES_5%_100mW_0603_5.6K</t>
    </r>
  </si>
  <si>
    <r>
      <rPr>
        <sz val="10"/>
        <color indexed="8"/>
        <rFont val="Arial"/>
      </rPr>
      <t>5.6K 5% thick film 75V 100mW</t>
    </r>
  </si>
  <si>
    <r>
      <rPr>
        <sz val="10"/>
        <color indexed="8"/>
        <rFont val="Arial"/>
      </rPr>
      <t>5.6K RES 5% thick film 75V 100mW</t>
    </r>
  </si>
  <si>
    <r>
      <rPr>
        <sz val="10"/>
        <color indexed="8"/>
        <rFont val="Arial"/>
      </rPr>
      <t>5.6K</t>
    </r>
  </si>
  <si>
    <t>5.6k 100mW  75V ±100ppm/℃ ±5% 0603</t>
  </si>
  <si>
    <t>5.6K</t>
  </si>
  <si>
    <t>C26001</t>
  </si>
  <si>
    <r>
      <rPr>
        <u val="single"/>
        <sz val="10"/>
        <color indexed="8"/>
        <rFont val="Arial"/>
      </rPr>
      <t>C26001</t>
    </r>
  </si>
  <si>
    <t>0603WAJ0562T5E</t>
  </si>
  <si>
    <r>
      <rPr>
        <u val="single"/>
        <sz val="10"/>
        <color indexed="8"/>
        <rFont val="Arial"/>
      </rPr>
      <t>https://www.lcsc.com/datasheet/lcsc_datasheet_2206010045_UNI-ROYAL-Uniroyal-Elec-0603WAJ0562T5E_C26001.pdf</t>
    </r>
  </si>
  <si>
    <r>
      <rPr>
        <sz val="9"/>
        <color indexed="8"/>
        <rFont val="Arial"/>
      </rPr>
      <t>RES_5%_100mW_0603_10K</t>
    </r>
  </si>
  <si>
    <r>
      <rPr>
        <sz val="10"/>
        <color indexed="8"/>
        <rFont val="Arial"/>
      </rPr>
      <t>10K 5% thick film 150V 100mW</t>
    </r>
  </si>
  <si>
    <r>
      <rPr>
        <sz val="10"/>
        <color indexed="8"/>
        <rFont val="Arial"/>
      </rPr>
      <t>10K RES 5% thick film 150V 100mW</t>
    </r>
  </si>
  <si>
    <r>
      <rPr>
        <sz val="10"/>
        <color indexed="8"/>
        <rFont val="Arial"/>
      </rPr>
      <t>10K</t>
    </r>
  </si>
  <si>
    <t>10k 100mW s 150V ±100ppm/℃ ±5% 0603</t>
  </si>
  <si>
    <t>10K</t>
  </si>
  <si>
    <t>C4118381</t>
  </si>
  <si>
    <r>
      <rPr>
        <u val="single"/>
        <sz val="10"/>
        <color indexed="8"/>
        <rFont val="Arial"/>
      </rPr>
      <t>C4118381</t>
    </r>
  </si>
  <si>
    <t>RC0603JR-1310KL</t>
  </si>
  <si>
    <r>
      <rPr>
        <u val="single"/>
        <sz val="10"/>
        <color indexed="8"/>
        <rFont val="Arial"/>
      </rPr>
      <t>https://wmsc.lcsc.com/wmsc/upload/file/pdf/v2/lcsc/2404101024_YAGEO-RC0603JR-1310KL_C4118381.pdf</t>
    </r>
  </si>
  <si>
    <r>
      <rPr>
        <sz val="10"/>
        <color indexed="8"/>
        <rFont val="Arial"/>
      </rPr>
      <t>10K 5% thick film 75V 100mW</t>
    </r>
  </si>
  <si>
    <r>
      <rPr>
        <sz val="10"/>
        <color indexed="8"/>
        <rFont val="Arial"/>
      </rPr>
      <t>10K RES 5% thick film 75V 100mW</t>
    </r>
  </si>
  <si>
    <t>10k 100mW  75V ±100ppm/℃ ±5% 0603</t>
  </si>
  <si>
    <t>C2930027</t>
  </si>
  <si>
    <r>
      <rPr>
        <u val="single"/>
        <sz val="10"/>
        <color indexed="8"/>
        <rFont val="Arial"/>
      </rPr>
      <t>C2930027</t>
    </r>
  </si>
  <si>
    <t>FRC0603J103TS</t>
  </si>
  <si>
    <r>
      <rPr>
        <u val="single"/>
        <sz val="10"/>
        <color indexed="8"/>
        <rFont val="Arial"/>
      </rPr>
      <t>https://wmsc.lcsc.com/wmsc/upload/file/pdf/v2/lcsc/2308241009_FOJAN-FRC0603J103TS_C2930027.pdf</t>
    </r>
  </si>
  <si>
    <t>C15401</t>
  </si>
  <si>
    <r>
      <rPr>
        <u val="single"/>
        <sz val="10"/>
        <color indexed="8"/>
        <rFont val="Arial"/>
      </rPr>
      <t>C15401</t>
    </r>
  </si>
  <si>
    <t>0603WAJ0103T5E</t>
  </si>
  <si>
    <r>
      <rPr>
        <sz val="9"/>
        <color indexed="8"/>
        <rFont val="Arial"/>
      </rPr>
      <t>RES_5%_100mW_0603_22K</t>
    </r>
  </si>
  <si>
    <r>
      <rPr>
        <sz val="10"/>
        <color indexed="8"/>
        <rFont val="Arial"/>
      </rPr>
      <t>22K 5% thick film 75V 100mW</t>
    </r>
  </si>
  <si>
    <r>
      <rPr>
        <sz val="10"/>
        <color indexed="8"/>
        <rFont val="Arial"/>
      </rPr>
      <t>22K RES 5% thick film 75V 100mW</t>
    </r>
  </si>
  <si>
    <r>
      <rPr>
        <sz val="10"/>
        <color indexed="8"/>
        <rFont val="Arial"/>
      </rPr>
      <t>22K</t>
    </r>
  </si>
  <si>
    <t>22k 100mW  75V ±100ppm/℃ ±5% 0603</t>
  </si>
  <si>
    <t>22K</t>
  </si>
  <si>
    <t>C23344</t>
  </si>
  <si>
    <r>
      <rPr>
        <u val="single"/>
        <sz val="10"/>
        <color indexed="8"/>
        <rFont val="Arial"/>
      </rPr>
      <t>C23344</t>
    </r>
  </si>
  <si>
    <t>0603WAJ0223T5E</t>
  </si>
  <si>
    <r>
      <rPr>
        <u val="single"/>
        <sz val="10"/>
        <color indexed="8"/>
        <rFont val="Arial"/>
      </rPr>
      <t>https://www.lcsc.com/datasheet/lcsc_datasheet_2206010100_UNI-ROYAL-Uniroyal-Elec-0603WAJ0223T5E_C23344.pdf</t>
    </r>
  </si>
  <si>
    <r>
      <rPr>
        <sz val="9"/>
        <color indexed="8"/>
        <rFont val="Arial"/>
      </rPr>
      <t>RES_5%_100mW_0603_100K</t>
    </r>
  </si>
  <si>
    <r>
      <rPr>
        <sz val="10"/>
        <color indexed="8"/>
        <rFont val="Arial"/>
      </rPr>
      <t>100K 5% thick film 75V 100mW</t>
    </r>
  </si>
  <si>
    <r>
      <rPr>
        <sz val="10"/>
        <color indexed="8"/>
        <rFont val="Arial"/>
      </rPr>
      <t>100K RES 5% thick film 75V 100mW</t>
    </r>
  </si>
  <si>
    <r>
      <rPr>
        <sz val="10"/>
        <color indexed="8"/>
        <rFont val="Arial"/>
      </rPr>
      <t>100K</t>
    </r>
  </si>
  <si>
    <t>100k 100mW  75V ±100ppm/℃ ±5% 0603</t>
  </si>
  <si>
    <t>100K</t>
  </si>
  <si>
    <t>C15458</t>
  </si>
  <si>
    <r>
      <rPr>
        <u val="single"/>
        <sz val="10"/>
        <color indexed="8"/>
        <rFont val="Arial"/>
      </rPr>
      <t>C15458</t>
    </r>
  </si>
  <si>
    <t>0603WAJ0104T5E</t>
  </si>
  <si>
    <r>
      <rPr>
        <u val="single"/>
        <sz val="10"/>
        <color indexed="8"/>
        <rFont val="Arial"/>
      </rPr>
      <t>https://www.lcsc.com/datasheet/lcsc_datasheet_2206010216_UNI-ROYAL-Uniroyal-Elec-0603WAJ0104T5E_C15458.pdf</t>
    </r>
  </si>
  <si>
    <r>
      <rPr>
        <sz val="9"/>
        <color indexed="8"/>
        <rFont val="Arial"/>
      </rPr>
      <t>RES_1%_100mW_0603_1M</t>
    </r>
  </si>
  <si>
    <r>
      <rPr>
        <sz val="10"/>
        <color indexed="8"/>
        <rFont val="Arial"/>
      </rPr>
      <t>1M 1% thick film 75V 100mW</t>
    </r>
  </si>
  <si>
    <r>
      <rPr>
        <sz val="10"/>
        <color indexed="8"/>
        <rFont val="Arial"/>
      </rPr>
      <t>1M RES 1% thick film 75V 100mW</t>
    </r>
  </si>
  <si>
    <r>
      <rPr>
        <sz val="10"/>
        <color indexed="8"/>
        <rFont val="Arial"/>
      </rPr>
      <t>1M</t>
    </r>
  </si>
  <si>
    <t>1.0M 100mW  75V ±100ppm/℃ ±1% 0603</t>
  </si>
  <si>
    <t>1M</t>
  </si>
  <si>
    <t>C22935</t>
  </si>
  <si>
    <r>
      <rPr>
        <u val="single"/>
        <sz val="10"/>
        <color indexed="8"/>
        <rFont val="Arial"/>
      </rPr>
      <t>C22935</t>
    </r>
  </si>
  <si>
    <t>0603WAF1004T5E</t>
  </si>
  <si>
    <r>
      <rPr>
        <u val="single"/>
        <sz val="10"/>
        <color indexed="8"/>
        <rFont val="Arial"/>
      </rPr>
      <t>https://www.lcsc.com/datasheet/lcsc_datasheet_2206010130_UNI-ROYAL-Uniroyal-Elec-0603WAF1004T5E_C22935.pdf</t>
    </r>
  </si>
  <si>
    <r>
      <rPr>
        <sz val="9"/>
        <color indexed="8"/>
        <rFont val="Arial"/>
      </rPr>
      <t>RES_5%_100mW_0603_1M</t>
    </r>
  </si>
  <si>
    <r>
      <rPr>
        <sz val="10"/>
        <color indexed="8"/>
        <rFont val="Arial"/>
      </rPr>
      <t>1M 5% thick film 75V 100mW</t>
    </r>
  </si>
  <si>
    <r>
      <rPr>
        <sz val="10"/>
        <color indexed="8"/>
        <rFont val="Arial"/>
      </rPr>
      <t>1M RES 5% thick film 75V 100mW</t>
    </r>
  </si>
  <si>
    <t>1.0M 100mW  75V ±100ppm/℃ ±5% 0603</t>
  </si>
  <si>
    <t>C26098</t>
  </si>
  <si>
    <r>
      <rPr>
        <u val="single"/>
        <sz val="10"/>
        <color indexed="8"/>
        <rFont val="Arial"/>
      </rPr>
      <t>C26098</t>
    </r>
  </si>
  <si>
    <t>0603WAJ0105T5E</t>
  </si>
  <si>
    <r>
      <rPr>
        <u val="single"/>
        <sz val="10"/>
        <color indexed="8"/>
        <rFont val="Arial"/>
      </rPr>
      <t>https://www.lcsc.com/datasheet/lcsc_datasheet_2206010030_UNI-ROYAL-Uniroyal-Elec-0603WAJ0105T5E_C26098.pdf</t>
    </r>
  </si>
  <si>
    <r>
      <rPr>
        <sz val="9"/>
        <color indexed="8"/>
        <rFont val="Arial"/>
      </rPr>
      <t>RES_5%_100mW_0603_2.2M</t>
    </r>
  </si>
  <si>
    <r>
      <rPr>
        <sz val="10"/>
        <color indexed="8"/>
        <rFont val="Arial"/>
      </rPr>
      <t>2.2M 5% thick film 75V 100mW</t>
    </r>
  </si>
  <si>
    <r>
      <rPr>
        <sz val="10"/>
        <color indexed="8"/>
        <rFont val="Arial"/>
      </rPr>
      <t>2.2M RES 5% thick film 75V 100mW</t>
    </r>
  </si>
  <si>
    <r>
      <rPr>
        <sz val="10"/>
        <color indexed="8"/>
        <rFont val="Arial"/>
      </rPr>
      <t>2.2M</t>
    </r>
  </si>
  <si>
    <t>2.2M 100mW  75V ±100ppm/℃ ±5% 0603</t>
  </si>
  <si>
    <t>2.2M</t>
  </si>
  <si>
    <t>C18679</t>
  </si>
  <si>
    <r>
      <rPr>
        <u val="single"/>
        <sz val="10"/>
        <color indexed="8"/>
        <rFont val="Arial"/>
      </rPr>
      <t>C18679</t>
    </r>
  </si>
  <si>
    <t>0603WAJ0225T5E</t>
  </si>
  <si>
    <r>
      <rPr>
        <u val="single"/>
        <sz val="10"/>
        <color indexed="8"/>
        <rFont val="Arial"/>
      </rPr>
      <t>https://www.lcsc.com/datasheet/lcsc_datasheet_2206010145_UNI-ROYAL-Uniroyal-Elec-0603WAJ0225T5E_C18679.pdf</t>
    </r>
  </si>
  <si>
    <r>
      <rPr>
        <sz val="10"/>
        <color indexed="8"/>
        <rFont val="Arial"/>
      </rPr>
      <t>2.2M 5% thick film 50V 100mW</t>
    </r>
  </si>
  <si>
    <r>
      <rPr>
        <sz val="10"/>
        <color indexed="8"/>
        <rFont val="Arial"/>
      </rPr>
      <t>2.2M RES 5% thick film 50V 100mW</t>
    </r>
  </si>
  <si>
    <t>2.2M 100mW  50V ±250ppm/℃ ±5% 0603</t>
  </si>
  <si>
    <t>C403986</t>
  </si>
  <si>
    <r>
      <rPr>
        <u val="single"/>
        <sz val="10"/>
        <color indexed="8"/>
        <rFont val="Arial"/>
      </rPr>
      <t>C403986</t>
    </r>
  </si>
  <si>
    <t>FH</t>
  </si>
  <si>
    <t>RS-03L225JJT</t>
  </si>
  <si>
    <r>
      <rPr>
        <u val="single"/>
        <sz val="10"/>
        <color indexed="8"/>
        <rFont val="Arial"/>
      </rPr>
      <t>https://wmsc.lcsc.com/wmsc/upload/file/pdf/v2/lcsc/2304140030_FH--Guangdong-Fenghua-Advanced-Tech-RS-03L225JJT_C403986.pdf</t>
    </r>
  </si>
  <si>
    <r>
      <rPr>
        <sz val="9"/>
        <color indexed="8"/>
        <rFont val="Arial"/>
      </rPr>
      <t>RLY___ISOPLUS-264_CPC1709J</t>
    </r>
  </si>
  <si>
    <r>
      <rPr>
        <sz val="10"/>
        <color indexed="8"/>
        <rFont val="Arial"/>
      </rPr>
      <t>CPC1709J SSR 1.42V 9A-22.8A</t>
    </r>
  </si>
  <si>
    <r>
      <rPr>
        <sz val="10"/>
        <color indexed="8"/>
        <rFont val="Arial"/>
      </rPr>
      <t>CPC1709J RLY SSR 1.42V 9A-22.8A</t>
    </r>
  </si>
  <si>
    <r>
      <rPr>
        <sz val="10"/>
        <color indexed="8"/>
        <rFont val="Arial"/>
      </rPr>
      <t>CPC1709J</t>
    </r>
  </si>
  <si>
    <t>SSR</t>
  </si>
  <si>
    <t>2.5kV 220us 27mΩ 7ms DC ISOPLUS-264 Solid State Relays (MOS Output) -40c-+85c 1.42V 10mA</t>
  </si>
  <si>
    <t>ISOPLUS-264</t>
  </si>
  <si>
    <t>1.42V</t>
  </si>
  <si>
    <t>9A-22.8A</t>
  </si>
  <si>
    <t>C1525253</t>
  </si>
  <si>
    <r>
      <rPr>
        <u val="single"/>
        <sz val="10"/>
        <color indexed="8"/>
        <rFont val="Arial"/>
      </rPr>
      <t>C1525253</t>
    </r>
  </si>
  <si>
    <t>Littelfuse/IXYS</t>
  </si>
  <si>
    <t>CPC1709J</t>
  </si>
  <si>
    <t>SPCoast:Relay_CPC1709J</t>
  </si>
  <si>
    <r>
      <rPr>
        <u val="single"/>
        <sz val="10"/>
        <color indexed="8"/>
        <rFont val="Arial"/>
      </rPr>
      <t>https://jlcpcb.com/api/file/downloadByFileSystemAccessId/8589033743424368640</t>
    </r>
  </si>
  <si>
    <r>
      <rPr>
        <sz val="9"/>
        <color indexed="8"/>
        <rFont val="Arial"/>
      </rPr>
      <t>IC___SMD-6P_4N28SM</t>
    </r>
  </si>
  <si>
    <r>
      <rPr>
        <sz val="10"/>
        <color indexed="8"/>
        <rFont val="Arial"/>
      </rPr>
      <t>4N28SM Phototransistor</t>
    </r>
  </si>
  <si>
    <r>
      <rPr>
        <sz val="10"/>
        <color indexed="8"/>
        <rFont val="Arial"/>
      </rPr>
      <t>4N28SM IC Phototransistor</t>
    </r>
  </si>
  <si>
    <r>
      <rPr>
        <sz val="10"/>
        <color indexed="8"/>
        <rFont val="Arial"/>
      </rPr>
      <t>4N28SM</t>
    </r>
  </si>
  <si>
    <t>Phototransistor</t>
  </si>
  <si>
    <t>4.17kV 6V Phototransistor SMD-6P Transistor Photovoltaic Output Optoisolators -40c+10c 1 1.18V 10% 10mA 30V</t>
  </si>
  <si>
    <t>SMD-6P</t>
  </si>
  <si>
    <t>6</t>
  </si>
  <si>
    <t>0.100</t>
  </si>
  <si>
    <t>C898949</t>
  </si>
  <si>
    <r>
      <rPr>
        <u val="single"/>
        <sz val="10"/>
        <color indexed="8"/>
        <rFont val="Arial"/>
      </rPr>
      <t>C898949</t>
    </r>
  </si>
  <si>
    <t>4N28SM</t>
  </si>
  <si>
    <t>Isolator:4N28</t>
  </si>
  <si>
    <t>Package_DIP:SMDIP-6_W7.62mm</t>
  </si>
  <si>
    <r>
      <rPr>
        <u val="single"/>
        <sz val="10"/>
        <color indexed="8"/>
        <rFont val="Arial"/>
      </rPr>
      <t>https://jlcpcb.com/api/file/downloadByFileSystemAccessId/8588917274006720512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</si>
</sst>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4">
    <font>
      <sz val="10"/>
      <color indexed="8"/>
      <name val="Helvetica Neue"/>
    </font>
    <font>
      <sz val="12"/>
      <color indexed="8"/>
      <name val="Helvetica Neue"/>
    </font>
    <font>
      <b val="1"/>
      <sz val="24"/>
      <color indexed="8"/>
      <name val="Helvetica Neue"/>
    </font>
    <font>
      <b val="1"/>
      <sz val="14"/>
      <color indexed="8"/>
      <name val="Helvetica Neue"/>
    </font>
    <font>
      <b val="1"/>
      <sz val="14"/>
      <color indexed="8"/>
      <name val="American Typewriter"/>
    </font>
    <font>
      <sz val="10"/>
      <color indexed="8"/>
      <name val="Arial"/>
    </font>
    <font>
      <sz val="10"/>
      <color indexed="8"/>
      <name val="American Typewriter"/>
    </font>
    <font>
      <u val="single"/>
      <sz val="10"/>
      <color indexed="8"/>
      <name val="Arial"/>
    </font>
    <font>
      <sz val="14"/>
      <color indexed="15"/>
      <name val="Helvetica Neue"/>
    </font>
    <font>
      <sz val="10"/>
      <color indexed="8"/>
      <name val="Symbol"/>
    </font>
    <font>
      <sz val="5"/>
      <color indexed="8"/>
      <name val="American Typewriter"/>
    </font>
    <font>
      <sz val="9"/>
      <color indexed="8"/>
      <name val="Arial"/>
    </font>
    <font>
      <b val="1"/>
      <sz val="18"/>
      <color indexed="8"/>
      <name val="Helvetica Neue"/>
    </font>
    <font>
      <b val="1"/>
      <sz val="18"/>
      <color indexed="8"/>
      <name val="American Typewriter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55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vertical="top" wrapText="1"/>
    </xf>
    <xf numFmtId="49" fontId="4" fillId="2" borderId="1" applyNumberFormat="1" applyFont="1" applyFill="1" applyBorder="1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/>
    </xf>
    <xf numFmtId="0" fontId="5" fillId="3" borderId="2" applyNumberFormat="0" applyFont="1" applyFill="1" applyBorder="1" applyAlignment="1" applyProtection="0">
      <alignment horizontal="left" vertical="center"/>
    </xf>
    <xf numFmtId="0" fontId="5" fillId="4" borderId="2" applyNumberFormat="0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center"/>
    </xf>
    <xf numFmtId="0" fontId="5" borderId="2" applyNumberFormat="0" applyFont="1" applyFill="0" applyBorder="1" applyAlignment="1" applyProtection="0">
      <alignment horizontal="left" vertical="center"/>
    </xf>
    <xf numFmtId="49" fontId="6" borderId="2" applyNumberFormat="1" applyFont="1" applyFill="0" applyBorder="1" applyAlignment="1" applyProtection="0">
      <alignment horizontal="left" vertical="center"/>
    </xf>
    <xf numFmtId="0" fontId="5" fillId="5" borderId="2" applyNumberFormat="0" applyFont="1" applyFill="1" applyBorder="1" applyAlignment="1" applyProtection="0">
      <alignment horizontal="left" vertical="center"/>
    </xf>
    <xf numFmtId="0" fontId="0" borderId="2" applyNumberFormat="1" applyFont="1" applyFill="0" applyBorder="1" applyAlignment="1" applyProtection="0">
      <alignment horizontal="center" vertical="top" wrapText="1"/>
    </xf>
    <xf numFmtId="49" fontId="5" borderId="2" applyNumberFormat="1" applyFont="1" applyFill="0" applyBorder="1" applyAlignment="1" applyProtection="0">
      <alignment horizontal="left" vertical="top"/>
    </xf>
    <xf numFmtId="49" fontId="6" borderId="2" applyNumberFormat="1" applyFont="1" applyFill="0" applyBorder="1" applyAlignment="1" applyProtection="0">
      <alignment horizontal="left" vertical="top"/>
    </xf>
    <xf numFmtId="0" fontId="5" fillId="3" borderId="3" applyNumberFormat="0" applyFont="1" applyFill="1" applyBorder="1" applyAlignment="1" applyProtection="0">
      <alignment horizontal="left" vertical="center"/>
    </xf>
    <xf numFmtId="0" fontId="5" fillId="4" borderId="3" applyNumberFormat="0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center"/>
    </xf>
    <xf numFmtId="0" fontId="5" borderId="3" applyNumberFormat="0" applyFont="1" applyFill="0" applyBorder="1" applyAlignment="1" applyProtection="0">
      <alignment horizontal="left" vertical="center"/>
    </xf>
    <xf numFmtId="49" fontId="6" borderId="3" applyNumberFormat="1" applyFont="1" applyFill="0" applyBorder="1" applyAlignment="1" applyProtection="0">
      <alignment horizontal="left" vertical="center"/>
    </xf>
    <xf numFmtId="0" fontId="5" fillId="5" borderId="3" applyNumberFormat="0" applyFont="1" applyFill="1" applyBorder="1" applyAlignment="1" applyProtection="0">
      <alignment horizontal="left" vertical="center"/>
    </xf>
    <xf numFmtId="0" fontId="0" borderId="3" applyNumberFormat="1" applyFont="1" applyFill="0" applyBorder="1" applyAlignment="1" applyProtection="0">
      <alignment horizontal="center" vertical="top" wrapText="1"/>
    </xf>
    <xf numFmtId="49" fontId="5" borderId="3" applyNumberFormat="1" applyFont="1" applyFill="0" applyBorder="1" applyAlignment="1" applyProtection="0">
      <alignment horizontal="left" vertical="top"/>
    </xf>
    <xf numFmtId="49" fontId="6" borderId="3" applyNumberFormat="1" applyFont="1" applyFill="0" applyBorder="1" applyAlignment="1" applyProtection="0">
      <alignment horizontal="left" vertical="top"/>
    </xf>
    <xf numFmtId="0" fontId="6" borderId="3" applyNumberFormat="0" applyFont="1" applyFill="0" applyBorder="1" applyAlignment="1" applyProtection="0">
      <alignment horizontal="left" vertical="center"/>
    </xf>
    <xf numFmtId="49" fontId="5" fillId="3" borderId="3" applyNumberFormat="1" applyFont="1" applyFill="1" applyBorder="1" applyAlignment="1" applyProtection="0">
      <alignment horizontal="left" vertical="center"/>
    </xf>
    <xf numFmtId="49" fontId="6" fillId="3" borderId="3" applyNumberFormat="1" applyFont="1" applyFill="1" applyBorder="1" applyAlignment="1" applyProtection="0">
      <alignment horizontal="left" vertical="center"/>
    </xf>
    <xf numFmtId="0" fontId="5" borderId="3" applyNumberFormat="1" applyFont="1" applyFill="0" applyBorder="1" applyAlignment="1" applyProtection="0">
      <alignment horizontal="center" vertical="center"/>
    </xf>
    <xf numFmtId="0" fontId="6" borderId="3" applyNumberFormat="0" applyFont="1" applyFill="0" applyBorder="1" applyAlignment="1" applyProtection="0">
      <alignment horizontal="left" vertical="top"/>
    </xf>
    <xf numFmtId="0" fontId="8" borderId="3" applyNumberFormat="0" applyFont="1" applyFill="0" applyBorder="1" applyAlignment="1" applyProtection="0">
      <alignment horizontal="left" vertical="center"/>
    </xf>
    <xf numFmtId="49" fontId="8" borderId="3" applyNumberFormat="1" applyFont="1" applyFill="0" applyBorder="1" applyAlignment="1" applyProtection="0">
      <alignment horizontal="left" vertical="center"/>
    </xf>
    <xf numFmtId="49" fontId="6" borderId="3" applyNumberFormat="1" applyFont="1" applyFill="0" applyBorder="1" applyAlignment="1" applyProtection="0">
      <alignment horizontal="left" vertical="center" readingOrder="1"/>
    </xf>
    <xf numFmtId="49" fontId="5" borderId="3" applyNumberFormat="1" applyFont="1" applyFill="0" applyBorder="1" applyAlignment="1" applyProtection="0">
      <alignment horizontal="left" vertical="center" readingOrder="1"/>
    </xf>
    <xf numFmtId="0" fontId="5" borderId="3" applyNumberFormat="0" applyFont="1" applyFill="0" applyBorder="1" applyAlignment="1" applyProtection="0">
      <alignment horizontal="left" vertical="center" readingOrder="1"/>
    </xf>
    <xf numFmtId="49" fontId="5" fillId="3" borderId="3" applyNumberFormat="1" applyFont="1" applyFill="1" applyBorder="1" applyAlignment="1" applyProtection="0">
      <alignment horizontal="left" vertical="center" readingOrder="1"/>
    </xf>
    <xf numFmtId="49" fontId="6" borderId="3" applyNumberFormat="1" applyFont="1" applyFill="0" applyBorder="1" applyAlignment="1" applyProtection="0">
      <alignment vertical="top" wrapText="1"/>
    </xf>
    <xf numFmtId="49" fontId="5" borderId="3" applyNumberFormat="1" applyFont="1" applyFill="0" applyBorder="1" applyAlignment="1" applyProtection="0">
      <alignment horizontal="left" vertical="top" wrapText="1"/>
    </xf>
    <xf numFmtId="49" fontId="6" borderId="3" applyNumberFormat="1" applyFont="1" applyFill="0" applyBorder="1" applyAlignment="1" applyProtection="0">
      <alignment horizontal="left" vertical="top" wrapText="1"/>
    </xf>
    <xf numFmtId="49" fontId="5" borderId="3" applyNumberFormat="1" applyFont="1" applyFill="0" applyBorder="1" applyAlignment="1" applyProtection="0">
      <alignment horizontal="left" vertical="center" wrapText="1"/>
    </xf>
    <xf numFmtId="0" fontId="6" fillId="3" borderId="3" applyNumberFormat="0" applyFont="1" applyFill="1" applyBorder="1" applyAlignment="1" applyProtection="0">
      <alignment horizontal="left" vertical="center"/>
    </xf>
    <xf numFmtId="0" fontId="11" fillId="3" borderId="3" applyNumberFormat="0" applyFont="1" applyFill="1" applyBorder="1" applyAlignment="1" applyProtection="0">
      <alignment horizontal="left" vertical="center"/>
    </xf>
    <xf numFmtId="0" fontId="11" fillId="3" borderId="1" applyNumberFormat="0" applyFont="1" applyFill="1" applyBorder="1" applyAlignment="1" applyProtection="0">
      <alignment horizontal="left" vertical="center"/>
    </xf>
    <xf numFmtId="0" fontId="5" fillId="4" borderId="1" applyNumberFormat="0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center"/>
    </xf>
    <xf numFmtId="0" fontId="5" borderId="1" applyNumberFormat="0" applyFont="1" applyFill="0" applyBorder="1" applyAlignment="1" applyProtection="0">
      <alignment horizontal="left" vertical="center"/>
    </xf>
    <xf numFmtId="49" fontId="6" borderId="1" applyNumberFormat="1" applyFont="1" applyFill="0" applyBorder="1" applyAlignment="1" applyProtection="0">
      <alignment horizontal="left" vertical="center"/>
    </xf>
    <xf numFmtId="0" fontId="6" borderId="1" applyNumberFormat="0" applyFont="1" applyFill="0" applyBorder="1" applyAlignment="1" applyProtection="0">
      <alignment horizontal="left" vertical="center"/>
    </xf>
    <xf numFmtId="0" fontId="5" fillId="5" borderId="1" applyNumberFormat="0" applyFont="1" applyFill="1" applyBorder="1" applyAlignment="1" applyProtection="0">
      <alignment horizontal="left" vertical="center"/>
    </xf>
    <xf numFmtId="0" fontId="5" borderId="1" applyNumberFormat="1" applyFont="1" applyFill="0" applyBorder="1" applyAlignment="1" applyProtection="0">
      <alignment horizontal="center" vertical="center"/>
    </xf>
    <xf numFmtId="49" fontId="5" fillId="3" borderId="1" applyNumberFormat="1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top" wrapText="1"/>
    </xf>
    <xf numFmtId="49" fontId="6" borderId="1" applyNumberFormat="1" applyFont="1" applyFill="0" applyBorder="1" applyAlignment="1" applyProtection="0">
      <alignment horizontal="left" vertical="top"/>
    </xf>
    <xf numFmtId="49" fontId="12" borderId="2" applyNumberFormat="1" applyFont="1" applyFill="0" applyBorder="1" applyAlignment="1" applyProtection="0">
      <alignment vertical="top"/>
    </xf>
    <xf numFmtId="0" fontId="12" borderId="2" applyNumberFormat="0" applyFont="1" applyFill="0" applyBorder="1" applyAlignment="1" applyProtection="0">
      <alignment vertical="top"/>
    </xf>
    <xf numFmtId="0" fontId="13" borderId="2" applyNumberFormat="0" applyFont="1" applyFill="0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fffff"/>
      <rgbColor rgb="ffdfffdf"/>
      <rgbColor rgb="ffe6f7e2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0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merican Typewriter"/>
            <a:ea typeface="American Typewriter"/>
            <a:cs typeface="American Typewriter"/>
            <a:sym typeface="American Typewrite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lcpcb.com/partdetail/C840579" TargetMode="External"/><Relationship Id="rId2" Type="http://schemas.openxmlformats.org/officeDocument/2006/relationships/hyperlink" Target="https://wmsc.lcsc.com/wmsc/upload/file/pdf/v2/lcsc/2311231642_ECE-EDG104S33_C840579.pdf" TargetMode="External"/><Relationship Id="rId3" Type="http://schemas.openxmlformats.org/officeDocument/2006/relationships/hyperlink" Target="https://jlcpcb.com/partdetail/C5340138" TargetMode="External"/><Relationship Id="rId4" Type="http://schemas.openxmlformats.org/officeDocument/2006/relationships/hyperlink" Target="https://wmsc.lcsc.com/wmsc/upload/file/pdf/v2/lcsc/2212291730_hanxia-HX-TS666CJ-250gf-009_C5340138.pdf" TargetMode="External"/><Relationship Id="rId5" Type="http://schemas.openxmlformats.org/officeDocument/2006/relationships/hyperlink" Target="https://jlcpcb.com/partdetail/C5340123" TargetMode="External"/><Relationship Id="rId6" Type="http://schemas.openxmlformats.org/officeDocument/2006/relationships/hyperlink" Target="https://wmsc.lcsc.com/wmsc/upload/file/pdf/v2/lcsc/2212271430_hanxia-HX-TS666TP-250gf-009_C5340123.pdf" TargetMode="External"/><Relationship Id="rId7" Type="http://schemas.openxmlformats.org/officeDocument/2006/relationships/hyperlink" Target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 TargetMode="External"/><Relationship Id="rId8" Type="http://schemas.openxmlformats.org/officeDocument/2006/relationships/hyperlink" Target="https://mischianti.org/wp-content/uploads/2020/11/ESP32-DOIT-DEV-KIT-v1-pinout-mischianti.png" TargetMode="External"/><Relationship Id="rId9" Type="http://schemas.openxmlformats.org/officeDocument/2006/relationships/hyperlink" Target="https://jlcpcb.com/partdetail/C1852832" TargetMode="External"/><Relationship Id="rId10" Type="http://schemas.openxmlformats.org/officeDocument/2006/relationships/hyperlink" Target="https://wmsc.lcsc.com/wmsc/upload/file/pdf/v2/lcsc/2201271000_YAGEO-CC0603KPX7R8BB103_C1852832.pdf" TargetMode="External"/><Relationship Id="rId11" Type="http://schemas.openxmlformats.org/officeDocument/2006/relationships/hyperlink" Target="https://jlcpcb.com/partdetail/C3910010" TargetMode="External"/><Relationship Id="rId12" Type="http://schemas.openxmlformats.org/officeDocument/2006/relationships/hyperlink" Target="https://jlcpcb.com/partdetail/C100042" TargetMode="External"/><Relationship Id="rId13" Type="http://schemas.openxmlformats.org/officeDocument/2006/relationships/hyperlink" Target="https://www.lcsc.com/datasheet/lcsc_datasheet_2304140030_YAGEO-CC0603KRX7R9BB103_C100042.pdf" TargetMode="External"/><Relationship Id="rId14" Type="http://schemas.openxmlformats.org/officeDocument/2006/relationships/hyperlink" Target="https://jlcpcb.com/partdetail/C3853265" TargetMode="External"/><Relationship Id="rId15" Type="http://schemas.openxmlformats.org/officeDocument/2006/relationships/hyperlink" Target="https://jlcpcb.com/partdetail/C14663" TargetMode="External"/><Relationship Id="rId16" Type="http://schemas.openxmlformats.org/officeDocument/2006/relationships/hyperlink" Target="https://www.lcsc.com/datasheet/lcsc_datasheet_2211101700_YAGEO-CC0603KRX7R9BB104_C14663.pdf" TargetMode="External"/><Relationship Id="rId17" Type="http://schemas.openxmlformats.org/officeDocument/2006/relationships/hyperlink" Target="https://jlcpcb.com/partdetail/C2169859" TargetMode="External"/><Relationship Id="rId18" Type="http://schemas.openxmlformats.org/officeDocument/2006/relationships/hyperlink" Target="https://wmsc.lcsc.com/wmsc/upload/file/pdf/v2/lcsc/2309051403_Taiyo-Yuden-GMK107BJ105KAHT_C2169859.pdf" TargetMode="External"/><Relationship Id="rId19" Type="http://schemas.openxmlformats.org/officeDocument/2006/relationships/hyperlink" Target="https://jlcpcb.com/partdetail/C15849" TargetMode="External"/><Relationship Id="rId20" Type="http://schemas.openxmlformats.org/officeDocument/2006/relationships/hyperlink" Target="https://www.lcsc.com/datasheet/lcsc_datasheet_2304140030_Samsung-Electro-Mechanics-CL10A105KB8NNNC_C15849.pdf" TargetMode="External"/><Relationship Id="rId21" Type="http://schemas.openxmlformats.org/officeDocument/2006/relationships/hyperlink" Target="https://jlcpcb.com/partdetail/C13585" TargetMode="External"/><Relationship Id="rId22" Type="http://schemas.openxmlformats.org/officeDocument/2006/relationships/hyperlink" Target="https://www.lcsc.com/datasheet/lcsc_datasheet_2304140030_Samsung-Electro-Mechanics-CL31A106KBHNNNE_C13585.pdf" TargetMode="External"/><Relationship Id="rId23" Type="http://schemas.openxmlformats.org/officeDocument/2006/relationships/hyperlink" Target="https://jlcpcb.com/partdetail/C136294" TargetMode="External"/><Relationship Id="rId24" Type="http://schemas.openxmlformats.org/officeDocument/2006/relationships/hyperlink" Target="https://www.lcsc.com/datasheet/lcsc_datasheet_1808312007_Nichicon-UCD1V221MNL1GS_C136294.pdf" TargetMode="External"/><Relationship Id="rId25" Type="http://schemas.openxmlformats.org/officeDocument/2006/relationships/hyperlink" Target="https://www.mouser.com/ProductDetail/Nichicon/UVR0J102MPD1TD" TargetMode="External"/><Relationship Id="rId26" Type="http://schemas.openxmlformats.org/officeDocument/2006/relationships/hyperlink" Target="https://jlcpcb.com/partdetail/C970714" TargetMode="External"/><Relationship Id="rId27" Type="http://schemas.openxmlformats.org/officeDocument/2006/relationships/hyperlink" Target="https://jlcpcb.com/api/file/downloadByFileSystemAccessId/8590911073887604736" TargetMode="External"/><Relationship Id="rId28" Type="http://schemas.openxmlformats.org/officeDocument/2006/relationships/hyperlink" Target="https://jlcpcb.com/partdetail/C353517" TargetMode="External"/><Relationship Id="rId29" Type="http://schemas.openxmlformats.org/officeDocument/2006/relationships/hyperlink" Target="https://www.lcsc.com/datasheet/lcsc_datasheet_2304140030_Shandong-Jingdao-Microelectronics-BZT52C4V7S_C353517.pdf" TargetMode="External"/><Relationship Id="rId30" Type="http://schemas.openxmlformats.org/officeDocument/2006/relationships/hyperlink" Target="https://jlcpcb.com/partdetail/C5261070" TargetMode="External"/><Relationship Id="rId31" Type="http://schemas.openxmlformats.org/officeDocument/2006/relationships/hyperlink" Target="https://wmsc.lcsc.com/wmsc/upload/file/pdf/v2/lcsc/2406051353_HXY-MOSFET-BAT54_C5261070.pdf" TargetMode="External"/><Relationship Id="rId32" Type="http://schemas.openxmlformats.org/officeDocument/2006/relationships/hyperlink" Target="https://jlcpcb.com/partdetail/C2926172" TargetMode="External"/><Relationship Id="rId33" Type="http://schemas.openxmlformats.org/officeDocument/2006/relationships/hyperlink" Target="https://wmsc.lcsc.com/wmsc/upload/file/pdf/v2/lcsc/2112031830_FOSAN-BAT54A_C2926172.pdf" TargetMode="External"/><Relationship Id="rId34" Type="http://schemas.openxmlformats.org/officeDocument/2006/relationships/hyperlink" Target="https://jlcpcb.com/partdetail/C2926174" TargetMode="External"/><Relationship Id="rId35" Type="http://schemas.openxmlformats.org/officeDocument/2006/relationships/hyperlink" Target="https://wmsc.lcsc.com/wmsc/upload/file/pdf/v2/lcsc/2112031830_FOSAN-BAT54S_C2926174.pdf" TargetMode="External"/><Relationship Id="rId36" Type="http://schemas.openxmlformats.org/officeDocument/2006/relationships/hyperlink" Target="https://jlcpcb.com/partdetail/C408388" TargetMode="External"/><Relationship Id="rId37" Type="http://schemas.openxmlformats.org/officeDocument/2006/relationships/hyperlink" Target="https://www.lcsc.com/datasheet/lcsc_datasheet_2407101108_MDD-Microdiode-Semiconductor-BAT54C_C408388.pdf" TargetMode="External"/><Relationship Id="rId38" Type="http://schemas.openxmlformats.org/officeDocument/2006/relationships/hyperlink" Target="https://jlcpcb.com/partdetail/C2683482" TargetMode="External"/><Relationship Id="rId39" Type="http://schemas.openxmlformats.org/officeDocument/2006/relationships/hyperlink" Target="https://www.lcsc.com/datasheet/lcsc_datasheet_2403081523_IDCHIP-LM358D_C2683482.pdf" TargetMode="External"/><Relationship Id="rId40" Type="http://schemas.openxmlformats.org/officeDocument/2006/relationships/hyperlink" Target="https://jlcpcb.com/partdetail/C5145392" TargetMode="External"/><Relationship Id="rId41" Type="http://schemas.openxmlformats.org/officeDocument/2006/relationships/hyperlink" Target="https://wmsc.lcsc.com/wmsc/upload/file/pdf/v2/lcsc/2209290930_HANSCHIP-semiconductor-NE556DRG_C5145392.pdf" TargetMode="External"/><Relationship Id="rId42" Type="http://schemas.openxmlformats.org/officeDocument/2006/relationships/hyperlink" Target="https://jlcpcb.com/partdetail/C629440" TargetMode="External"/><Relationship Id="rId43" Type="http://schemas.openxmlformats.org/officeDocument/2006/relationships/hyperlink" Target="https://wmsc.lcsc.com/wmsc/upload/file/pdf/v2/lcsc/2203221230_Microchip-Tech-MCP23017T-E-SO_C629440.pdf" TargetMode="External"/><Relationship Id="rId44" Type="http://schemas.openxmlformats.org/officeDocument/2006/relationships/hyperlink" Target="https://jlcpcb.com/partdetail/C2678753" TargetMode="External"/><Relationship Id="rId45" Type="http://schemas.openxmlformats.org/officeDocument/2006/relationships/hyperlink" Target="https://www.lcsc.com/datasheet/lcsc_datasheet_2405281434_NXP-Semicon-PCA9685PW-118_C2678753.pdf" TargetMode="External"/><Relationship Id="rId46" Type="http://schemas.openxmlformats.org/officeDocument/2006/relationships/hyperlink" Target="https://jlcpcb.com/partdetail/C965807" TargetMode="External"/><Relationship Id="rId47" Type="http://schemas.openxmlformats.org/officeDocument/2006/relationships/hyperlink" Target="https://wmsc.lcsc.com/wmsc/upload/file/pdf/v2/lcsc/2402181505_XINGLIGHT-XL-1608UBC-04_C965807.pdf" TargetMode="External"/><Relationship Id="rId48" Type="http://schemas.openxmlformats.org/officeDocument/2006/relationships/hyperlink" Target="https://jlcpcb.com/partdetail/C965808" TargetMode="External"/><Relationship Id="rId49" Type="http://schemas.openxmlformats.org/officeDocument/2006/relationships/hyperlink" Target="https://wmsc.lcsc.com/wmsc/upload/file/pdf/v2/lcsc/2402181505_XINGLIGHT-XL-1608UWC-04_C965808.pdf" TargetMode="External"/><Relationship Id="rId50" Type="http://schemas.openxmlformats.org/officeDocument/2006/relationships/hyperlink" Target="https://jlcpcb.com/partdetail/C965804" TargetMode="External"/><Relationship Id="rId51" Type="http://schemas.openxmlformats.org/officeDocument/2006/relationships/hyperlink" Target="https://wmsc.lcsc.com/wmsc/upload/file/pdf/v2/lcsc/2402181505_XINGLIGHT-XL-1608UGC-04_C965804.pdf" TargetMode="External"/><Relationship Id="rId52" Type="http://schemas.openxmlformats.org/officeDocument/2006/relationships/hyperlink" Target="https://jlcpcb.com/partdetail/C965806" TargetMode="External"/><Relationship Id="rId53" Type="http://schemas.openxmlformats.org/officeDocument/2006/relationships/hyperlink" Target="https://wmsc.lcsc.com/wmsc/upload/file/pdf/v2/lcsc/2402181505_XINGLIGHT-XL-1608SYGC-04_C965806.pdf" TargetMode="External"/><Relationship Id="rId54" Type="http://schemas.openxmlformats.org/officeDocument/2006/relationships/hyperlink" Target="https://jlcpcb.com/partdetail/C22371303" TargetMode="External"/><Relationship Id="rId55" Type="http://schemas.openxmlformats.org/officeDocument/2006/relationships/hyperlink" Target="https://wmsc.lcsc.com/wmsc/upload/file/pdf/v2/lcsc/2403281522_HONGLITRONIC-Hongli-Zhihui--HONGLITRONIC-HL-PSC-1608S25OC-G4_C22371303.pdf" TargetMode="External"/><Relationship Id="rId56" Type="http://schemas.openxmlformats.org/officeDocument/2006/relationships/hyperlink" Target="https://jlcpcb.com/partdetail/C965800" TargetMode="External"/><Relationship Id="rId57" Type="http://schemas.openxmlformats.org/officeDocument/2006/relationships/hyperlink" Target="https://wmsc.lcsc.com/wmsc/upload/file/pdf/v2/lcsc/2402181505_XINGLIGHT-XL-1608UOC-06_C965800.pdf" TargetMode="External"/><Relationship Id="rId58" Type="http://schemas.openxmlformats.org/officeDocument/2006/relationships/hyperlink" Target="https://jlcpcb.com/partdetail/C965801" TargetMode="External"/><Relationship Id="rId59" Type="http://schemas.openxmlformats.org/officeDocument/2006/relationships/hyperlink" Target="https://wmsc.lcsc.com/wmsc/upload/file/pdf/v2/lcsc/2402181505_XINGLIGHT-XL-1608UOC-06_C965800.pdf" TargetMode="External"/><Relationship Id="rId60" Type="http://schemas.openxmlformats.org/officeDocument/2006/relationships/hyperlink" Target="https://jlcpcb.com/partdetail/C965803" TargetMode="External"/><Relationship Id="rId61" Type="http://schemas.openxmlformats.org/officeDocument/2006/relationships/hyperlink" Target="https://wmsc.lcsc.com/wmsc/upload/file/pdf/v2/lcsc/2402181505_XINGLIGHT-XL-1608UOC-04_C965801.pdf" TargetMode="External"/><Relationship Id="rId62" Type="http://schemas.openxmlformats.org/officeDocument/2006/relationships/hyperlink" Target="https://jlcpcb.com/partdetail/C7288939" TargetMode="External"/><Relationship Id="rId63" Type="http://schemas.openxmlformats.org/officeDocument/2006/relationships/hyperlink" Target="https://wmsc.lcsc.com/wmsc/upload/file/pdf/v2/lcsc/2404241146_Inolux-IN-S63ASR_C7288939.pdf" TargetMode="External"/><Relationship Id="rId64" Type="http://schemas.openxmlformats.org/officeDocument/2006/relationships/hyperlink" Target="https://jlcpcb.com/partdetail/C965799" TargetMode="External"/><Relationship Id="rId65" Type="http://schemas.openxmlformats.org/officeDocument/2006/relationships/hyperlink" Target="https://wmsc.lcsc.com/wmsc/upload/file/pdf/v2/lcsc/2402181505_XINGLIGHT-XL-1608SURC-06_C965799.pdf" TargetMode="External"/><Relationship Id="rId66" Type="http://schemas.openxmlformats.org/officeDocument/2006/relationships/hyperlink" Target="https://jlcpcb.com/partdetail/C965798" TargetMode="External"/><Relationship Id="rId67" Type="http://schemas.openxmlformats.org/officeDocument/2006/relationships/hyperlink" Target="https://wmsc.lcsc.com/wmsc/upload/file/pdf/v2/lcsc/2402181505_XINGLIGHT-XL-1608SURC-04_C965798.pdf" TargetMode="External"/><Relationship Id="rId68" Type="http://schemas.openxmlformats.org/officeDocument/2006/relationships/hyperlink" Target="https://jlcpcb.com/partdetail/C2843785" TargetMode="External"/><Relationship Id="rId69" Type="http://schemas.openxmlformats.org/officeDocument/2006/relationships/hyperlink" Target="https://www.lcsc.com/datasheet/lcsc_datasheet_2404120946_XINGLIGHT-XL-5050RGBC-WS2812B_C2843785.pdf" TargetMode="External"/><Relationship Id="rId70" Type="http://schemas.openxmlformats.org/officeDocument/2006/relationships/hyperlink" Target="https://jlcpcb.com/partdetail/C5345985" TargetMode="External"/><Relationship Id="rId71" Type="http://schemas.openxmlformats.org/officeDocument/2006/relationships/hyperlink" Target="https://wmsc.lcsc.com/wmsc/upload/file/pdf/v2/lcsc/2301120930_HXY-MOSFET-AMS1117-ADJ_C5345985.pdf" TargetMode="External"/><Relationship Id="rId72" Type="http://schemas.openxmlformats.org/officeDocument/2006/relationships/hyperlink" Target="https://jlcpcb.com/partdetail/C5345982" TargetMode="External"/><Relationship Id="rId73" Type="http://schemas.openxmlformats.org/officeDocument/2006/relationships/hyperlink" Target="https://wmsc.lcsc.com/wmsc/upload/file/pdf/v2/lcsc/2301120930_HXY-MOSFET-AMS1117-3-3_C5345982.pdf" TargetMode="External"/><Relationship Id="rId74" Type="http://schemas.openxmlformats.org/officeDocument/2006/relationships/hyperlink" Target="https://jlcpcb.com/partdetail/C5345984" TargetMode="External"/><Relationship Id="rId75" Type="http://schemas.openxmlformats.org/officeDocument/2006/relationships/hyperlink" Target="https://wmsc.lcsc.com/wmsc/upload/file/pdf/v2/lcsc/2301120930_HXY-MOSFET-AMS1117-5-0_C5345984.pdf" TargetMode="External"/><Relationship Id="rId76" Type="http://schemas.openxmlformats.org/officeDocument/2006/relationships/hyperlink" Target="https://omronfs.omron.com/en_US/ecb/products/pdf/en-g2rl.pdf" TargetMode="External"/><Relationship Id="rId77" Type="http://schemas.openxmlformats.org/officeDocument/2006/relationships/hyperlink" Target="https://jlcpcb.com/partdetail/C5184404" TargetMode="External"/><Relationship Id="rId78" Type="http://schemas.openxmlformats.org/officeDocument/2006/relationships/hyperlink" Target="https://wmsc.lcsc.com/wmsc/upload/file/pdf/v2/lcsc/2407151447_HXY-MOSFET-MMBT3904_C5184404.pdf" TargetMode="External"/><Relationship Id="rId79" Type="http://schemas.openxmlformats.org/officeDocument/2006/relationships/hyperlink" Target="https://jlcpcb.com/partdetail/C5184433" TargetMode="External"/><Relationship Id="rId80" Type="http://schemas.openxmlformats.org/officeDocument/2006/relationships/hyperlink" Target="https://wmsc.lcsc.com/wmsc/upload/file/pdf/v2/lcsc/2303091430_HXY-MOSFET-BC807-40_C5184433.pdf" TargetMode="External"/><Relationship Id="rId81" Type="http://schemas.openxmlformats.org/officeDocument/2006/relationships/hyperlink" Target="https://jlcpcb.com/partdetail/C5224215" TargetMode="External"/><Relationship Id="rId82" Type="http://schemas.openxmlformats.org/officeDocument/2006/relationships/hyperlink" Target="https://wmsc.lcsc.com/wmsc/upload/file/pdf/v2/lcsc/2210271630_ElecSuper-2N7002_C5224215.pdf" TargetMode="External"/><Relationship Id="rId83" Type="http://schemas.openxmlformats.org/officeDocument/2006/relationships/hyperlink" Target="https://jlcpcb.com/partdetail/C878901" TargetMode="External"/><Relationship Id="rId84" Type="http://schemas.openxmlformats.org/officeDocument/2006/relationships/hyperlink" Target="https://www.diodes.com/assets/Datasheets/ds31773.pdf" TargetMode="External"/><Relationship Id="rId85" Type="http://schemas.openxmlformats.org/officeDocument/2006/relationships/hyperlink" Target="https://jlcpcb.com/partdetail/C7499856" TargetMode="External"/><Relationship Id="rId86" Type="http://schemas.openxmlformats.org/officeDocument/2006/relationships/hyperlink" Target="https://wmsc.lcsc.com/wmsc/upload/file/pdf/v2/lcsc/2310251707_HL-2301V_C7499856.pdf" TargetMode="External"/><Relationship Id="rId87" Type="http://schemas.openxmlformats.org/officeDocument/2006/relationships/hyperlink" Target="https://jlcpcb.com/partdetail/C2907123" TargetMode="External"/><Relationship Id="rId88" Type="http://schemas.openxmlformats.org/officeDocument/2006/relationships/hyperlink" Target="https://wmsc.lcsc.com/wmsc/upload/file/pdf/v2/lcsc/2308241947_FOJAN-FRC0603J201-TS_C2907123.pdf" TargetMode="External"/><Relationship Id="rId89" Type="http://schemas.openxmlformats.org/officeDocument/2006/relationships/hyperlink" Target="https://jlcpcb.com/partdetail/C5842375" TargetMode="External"/><Relationship Id="rId90" Type="http://schemas.openxmlformats.org/officeDocument/2006/relationships/hyperlink" Target="https://wmsc.lcsc.com/wmsc/upload/file/pdf/v2/lcsc/2312030915_YAGEO-RC0603FR-13220RL_C5842375.pdf" TargetMode="External"/><Relationship Id="rId91" Type="http://schemas.openxmlformats.org/officeDocument/2006/relationships/hyperlink" Target="https://jlcpcb.com/partdetail/C1226" TargetMode="External"/><Relationship Id="rId92" Type="http://schemas.openxmlformats.org/officeDocument/2006/relationships/hyperlink" Target="https://www.lcsc.com/datasheet/lcsc_datasheet_2206010230_UNI-ROYAL-Uniroyal-Elec-0603WAJ0221T5E_C1226.pdf" TargetMode="External"/><Relationship Id="rId93" Type="http://schemas.openxmlformats.org/officeDocument/2006/relationships/hyperlink" Target="https://jlcpcb.com/partdetail/C25231" TargetMode="External"/><Relationship Id="rId94" Type="http://schemas.openxmlformats.org/officeDocument/2006/relationships/hyperlink" Target="https://www.lcsc.com/datasheet/lcsc_datasheet_2205311845_UNI-ROYAL-Uniroyal-Elec-0603WAJ0331T5E_C25231.pdf" TargetMode="External"/><Relationship Id="rId95" Type="http://schemas.openxmlformats.org/officeDocument/2006/relationships/hyperlink" Target="https://jlcpcb.com/partdetail/C25241" TargetMode="External"/><Relationship Id="rId96" Type="http://schemas.openxmlformats.org/officeDocument/2006/relationships/hyperlink" Target="https://www.lcsc.com/datasheet/lcsc_datasheet_2205311845_UNI-ROYAL-Uniroyal-Elec-0603WAJ0471T5E_C25241.pdf" TargetMode="External"/><Relationship Id="rId97" Type="http://schemas.openxmlformats.org/officeDocument/2006/relationships/hyperlink" Target="https://jlcpcb.com/partdetail/C25585" TargetMode="External"/><Relationship Id="rId98" Type="http://schemas.openxmlformats.org/officeDocument/2006/relationships/hyperlink" Target="https://www.lcsc.com/datasheet/lcsc_datasheet_2206010100_UNI-ROYAL-Uniroyal-Elec-0603WAJ0102T5E_C25585.pdf" TargetMode="External"/><Relationship Id="rId99" Type="http://schemas.openxmlformats.org/officeDocument/2006/relationships/hyperlink" Target="https://jlcpcb.com/partdetail/C25992" TargetMode="External"/><Relationship Id="rId100" Type="http://schemas.openxmlformats.org/officeDocument/2006/relationships/hyperlink" Target="https://www.lcsc.com/datasheet/lcsc_datasheet_2206010045_UNI-ROYAL-Uniroyal-Elec-0603WAJ0222T5E_C25992.pdf" TargetMode="External"/><Relationship Id="rId101" Type="http://schemas.openxmlformats.org/officeDocument/2006/relationships/hyperlink" Target="https://jlcpcb.com/partdetail/C2907023" TargetMode="External"/><Relationship Id="rId102" Type="http://schemas.openxmlformats.org/officeDocument/2006/relationships/hyperlink" Target="https://wmsc.lcsc.com/wmsc/upload/file/pdf/v2/lcsc/2308241947_FOJAN-FRC0603F3301TS_C2907023.pdf" TargetMode="External"/><Relationship Id="rId103" Type="http://schemas.openxmlformats.org/officeDocument/2006/relationships/hyperlink" Target="https://jlcpcb.com/partdetail/C25995" TargetMode="External"/><Relationship Id="rId104" Type="http://schemas.openxmlformats.org/officeDocument/2006/relationships/hyperlink" Target="https://www.lcsc.com/datasheet/lcsc_datasheet_2206010045_UNI-ROYAL-Uniroyal-Elec-0603WAJ0332T5E_C25995.pdf" TargetMode="External"/><Relationship Id="rId105" Type="http://schemas.openxmlformats.org/officeDocument/2006/relationships/hyperlink" Target="https://jlcpcb.com/partdetail/C25999" TargetMode="External"/><Relationship Id="rId106" Type="http://schemas.openxmlformats.org/officeDocument/2006/relationships/hyperlink" Target="https://www.lcsc.com/datasheet/lcsc_datasheet_2206010045_UNI-ROYAL-Uniroyal-Elec-0603WAJ0472T5E_C25999.pdf" TargetMode="External"/><Relationship Id="rId107" Type="http://schemas.openxmlformats.org/officeDocument/2006/relationships/hyperlink" Target="https://jlcpcb.com/partdetail/C26001" TargetMode="External"/><Relationship Id="rId108" Type="http://schemas.openxmlformats.org/officeDocument/2006/relationships/hyperlink" Target="https://www.lcsc.com/datasheet/lcsc_datasheet_2206010045_UNI-ROYAL-Uniroyal-Elec-0603WAJ0562T5E_C26001.pdf" TargetMode="External"/><Relationship Id="rId109" Type="http://schemas.openxmlformats.org/officeDocument/2006/relationships/hyperlink" Target="https://jlcpcb.com/partdetail/C4118381" TargetMode="External"/><Relationship Id="rId110" Type="http://schemas.openxmlformats.org/officeDocument/2006/relationships/hyperlink" Target="https://wmsc.lcsc.com/wmsc/upload/file/pdf/v2/lcsc/2404101024_YAGEO-RC0603JR-1310KL_C4118381.pdf" TargetMode="External"/><Relationship Id="rId111" Type="http://schemas.openxmlformats.org/officeDocument/2006/relationships/hyperlink" Target="https://jlcpcb.com/partdetail/C2930027" TargetMode="External"/><Relationship Id="rId112" Type="http://schemas.openxmlformats.org/officeDocument/2006/relationships/hyperlink" Target="https://wmsc.lcsc.com/wmsc/upload/file/pdf/v2/lcsc/2308241009_FOJAN-FRC0603J103TS_C2930027.pdf" TargetMode="External"/><Relationship Id="rId113" Type="http://schemas.openxmlformats.org/officeDocument/2006/relationships/hyperlink" Target="https://jlcpcb.com/partdetail/C15401" TargetMode="External"/><Relationship Id="rId114" Type="http://schemas.openxmlformats.org/officeDocument/2006/relationships/hyperlink" Target="https://jlcpcb.com/partdetail/C23344" TargetMode="External"/><Relationship Id="rId115" Type="http://schemas.openxmlformats.org/officeDocument/2006/relationships/hyperlink" Target="https://www.lcsc.com/datasheet/lcsc_datasheet_2206010100_UNI-ROYAL-Uniroyal-Elec-0603WAJ0223T5E_C23344.pdf" TargetMode="External"/><Relationship Id="rId116" Type="http://schemas.openxmlformats.org/officeDocument/2006/relationships/hyperlink" Target="https://jlcpcb.com/partdetail/C15458" TargetMode="External"/><Relationship Id="rId117" Type="http://schemas.openxmlformats.org/officeDocument/2006/relationships/hyperlink" Target="https://www.lcsc.com/datasheet/lcsc_datasheet_2206010216_UNI-ROYAL-Uniroyal-Elec-0603WAJ0104T5E_C15458.pdf" TargetMode="External"/><Relationship Id="rId118" Type="http://schemas.openxmlformats.org/officeDocument/2006/relationships/hyperlink" Target="https://jlcpcb.com/partdetail/C22935" TargetMode="External"/><Relationship Id="rId119" Type="http://schemas.openxmlformats.org/officeDocument/2006/relationships/hyperlink" Target="https://www.lcsc.com/datasheet/lcsc_datasheet_2206010130_UNI-ROYAL-Uniroyal-Elec-0603WAF1004T5E_C22935.pdf" TargetMode="External"/><Relationship Id="rId120" Type="http://schemas.openxmlformats.org/officeDocument/2006/relationships/hyperlink" Target="https://jlcpcb.com/partdetail/C26098" TargetMode="External"/><Relationship Id="rId121" Type="http://schemas.openxmlformats.org/officeDocument/2006/relationships/hyperlink" Target="https://www.lcsc.com/datasheet/lcsc_datasheet_2206010030_UNI-ROYAL-Uniroyal-Elec-0603WAJ0105T5E_C26098.pdf" TargetMode="External"/><Relationship Id="rId122" Type="http://schemas.openxmlformats.org/officeDocument/2006/relationships/hyperlink" Target="https://jlcpcb.com/partdetail/C18679" TargetMode="External"/><Relationship Id="rId123" Type="http://schemas.openxmlformats.org/officeDocument/2006/relationships/hyperlink" Target="https://www.lcsc.com/datasheet/lcsc_datasheet_2206010145_UNI-ROYAL-Uniroyal-Elec-0603WAJ0225T5E_C18679.pdf" TargetMode="External"/><Relationship Id="rId124" Type="http://schemas.openxmlformats.org/officeDocument/2006/relationships/hyperlink" Target="https://jlcpcb.com/partdetail/C403986" TargetMode="External"/><Relationship Id="rId125" Type="http://schemas.openxmlformats.org/officeDocument/2006/relationships/hyperlink" Target="https://wmsc.lcsc.com/wmsc/upload/file/pdf/v2/lcsc/2304140030_FH--Guangdong-Fenghua-Advanced-Tech-RS-03L225JJT_C403986.pdf" TargetMode="External"/><Relationship Id="rId126" Type="http://schemas.openxmlformats.org/officeDocument/2006/relationships/hyperlink" Target="https://jlcpcb.com/partdetail/C18679" TargetMode="External"/><Relationship Id="rId127" Type="http://schemas.openxmlformats.org/officeDocument/2006/relationships/hyperlink" Target="https://www.lcsc.com/datasheet/lcsc_datasheet_2206010145_UNI-ROYAL-Uniroyal-Elec-0603WAJ0225T5E_C18679.pdf" TargetMode="External"/><Relationship Id="rId128" Type="http://schemas.openxmlformats.org/officeDocument/2006/relationships/hyperlink" Target="https://jlcpcb.com/partdetail/C1525253" TargetMode="External"/><Relationship Id="rId129" Type="http://schemas.openxmlformats.org/officeDocument/2006/relationships/hyperlink" Target="https://jlcpcb.com/api/file/downloadByFileSystemAccessId/8589033743424368640" TargetMode="External"/><Relationship Id="rId130" Type="http://schemas.openxmlformats.org/officeDocument/2006/relationships/hyperlink" Target="https://jlcpcb.com/partdetail/C898949" TargetMode="External"/><Relationship Id="rId131" Type="http://schemas.openxmlformats.org/officeDocument/2006/relationships/hyperlink" Target="https://jlcpcb.com/api/file/downloadByFileSystemAccessId/8588917274006720512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B3:AJ104"/>
  <sheetViews>
    <sheetView workbookViewId="0" showGridLines="0" defaultGridColor="1">
      <pane topLeftCell="A4" xSplit="0" ySplit="3" activePane="bottomLeft" state="frozen"/>
    </sheetView>
  </sheetViews>
  <sheetFormatPr defaultColWidth="16.6667" defaultRowHeight="19.9" customHeight="1" outlineLevelRow="0" outlineLevelCol="0"/>
  <cols>
    <col min="1" max="1" width="13.0625" style="1" customWidth="1"/>
    <col min="2" max="2" width="36.4141" style="1" customWidth="1"/>
    <col min="3" max="3" width="41.3906" style="1" customWidth="1"/>
    <col min="4" max="4" width="38.6719" style="1" customWidth="1"/>
    <col min="5" max="5" width="11.9766" style="1" customWidth="1"/>
    <col min="6" max="7" width="17.1328" style="1" customWidth="1"/>
    <col min="8" max="8" width="26.6797" style="1" customWidth="1"/>
    <col min="9" max="9" width="115.172" style="1" customWidth="1"/>
    <col min="10" max="11" width="14.0781" style="1" customWidth="1"/>
    <col min="12" max="12" width="16.6797" style="1" customWidth="1"/>
    <col min="13" max="14" width="14.0781" style="1" customWidth="1"/>
    <col min="15" max="15" width="10.0703" style="1" customWidth="1"/>
    <col min="16" max="16" width="7.70312" style="1" customWidth="1"/>
    <col min="17" max="17" width="10.3672" style="1" customWidth="1"/>
    <col min="18" max="18" width="12.4062" style="1" customWidth="1"/>
    <col min="19" max="19" width="7.70312" style="1" customWidth="1"/>
    <col min="20" max="20" width="9.64844" style="1" customWidth="1"/>
    <col min="21" max="22" width="9.82812" style="1" customWidth="1"/>
    <col min="23" max="23" width="10.6953" style="1" customWidth="1"/>
    <col min="24" max="24" width="8.54688" style="1" customWidth="1"/>
    <col min="25" max="25" width="16.6875" style="1" customWidth="1"/>
    <col min="26" max="28" width="16.6719" style="1" customWidth="1"/>
    <col min="29" max="30" width="13.9453" style="1" customWidth="1"/>
    <col min="31" max="31" width="16.6719" style="1" customWidth="1"/>
    <col min="32" max="32" width="24.6953" style="1" customWidth="1"/>
    <col min="33" max="33" width="34.6484" style="1" customWidth="1"/>
    <col min="34" max="34" width="24.6172" style="1" customWidth="1"/>
    <col min="35" max="35" width="39.5312" style="1" customWidth="1"/>
    <col min="36" max="36" width="118.641" style="1" customWidth="1"/>
    <col min="37" max="16384" width="16.6719" style="1" customWidth="1"/>
  </cols>
  <sheetData>
    <row r="1" ht="53.75" customHeight="1"/>
    <row r="2" ht="48.3" customHeight="1">
      <c r="B2" t="s" s="2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ht="42.1" customHeight="1">
      <c r="B3" t="s" s="3">
        <v>1</v>
      </c>
      <c r="C3" t="s" s="3">
        <v>2</v>
      </c>
      <c r="D3" t="s" s="3">
        <v>3</v>
      </c>
      <c r="E3" t="s" s="3">
        <v>4</v>
      </c>
      <c r="F3" t="s" s="3">
        <v>5</v>
      </c>
      <c r="G3" t="s" s="3">
        <v>6</v>
      </c>
      <c r="H3" t="s" s="3">
        <v>7</v>
      </c>
      <c r="I3" t="s" s="4">
        <v>8</v>
      </c>
      <c r="J3" t="s" s="3">
        <v>9</v>
      </c>
      <c r="K3" t="s" s="3">
        <v>10</v>
      </c>
      <c r="L3" t="s" s="3">
        <v>11</v>
      </c>
      <c r="M3" t="s" s="3">
        <v>12</v>
      </c>
      <c r="N3" t="s" s="3">
        <v>13</v>
      </c>
      <c r="O3" t="s" s="3">
        <v>14</v>
      </c>
      <c r="P3" t="s" s="3">
        <v>15</v>
      </c>
      <c r="Q3" t="s" s="3">
        <v>16</v>
      </c>
      <c r="R3" t="s" s="3">
        <v>17</v>
      </c>
      <c r="S3" t="s" s="3">
        <v>18</v>
      </c>
      <c r="T3" t="s" s="3">
        <v>19</v>
      </c>
      <c r="U3" t="s" s="3">
        <v>20</v>
      </c>
      <c r="V3" t="s" s="3">
        <v>21</v>
      </c>
      <c r="W3" t="s" s="3">
        <v>22</v>
      </c>
      <c r="X3" t="s" s="3">
        <v>23</v>
      </c>
      <c r="Y3" t="s" s="3">
        <v>24</v>
      </c>
      <c r="Z3" t="s" s="3">
        <v>25</v>
      </c>
      <c r="AA3" t="s" s="3">
        <v>26</v>
      </c>
      <c r="AB3" t="s" s="3">
        <v>27</v>
      </c>
      <c r="AC3" t="s" s="3">
        <v>28</v>
      </c>
      <c r="AD3" t="s" s="3">
        <v>29</v>
      </c>
      <c r="AE3" t="s" s="3">
        <v>30</v>
      </c>
      <c r="AF3" t="s" s="3">
        <v>31</v>
      </c>
      <c r="AG3" t="s" s="3">
        <v>32</v>
      </c>
      <c r="AH3" t="s" s="5">
        <v>33</v>
      </c>
      <c r="AI3" t="s" s="5">
        <v>34</v>
      </c>
      <c r="AJ3" t="s" s="3">
        <v>35</v>
      </c>
    </row>
    <row r="4" ht="18.9" customHeight="1">
      <c r="B4" t="str" s="6" cm="1">
        <f t="array" ref="B4">E4&amp;"_"&amp;G4</f>
        <v>SLK_BRD_80x100</v>
      </c>
      <c r="C4" t="str" s="7" cm="1">
        <f t="array" ref="C4">$G4&amp;IF($E4="LED"," LED","")&amp;IF($R4="",""," ")&amp;$R4&amp;IF($H4="",""," ")&amp;$H4&amp;IF($S4="",""," ")&amp;$S4&amp;IF($T4="",""," ")&amp;$T4&amp;IF($U4="",""," ")&amp;$U4&amp;IF($X4="",""," ")&amp;$X4&amp;IF($X4="","","mcd")</f>
        <v>BRD_80x100 Board Outline &amp; Milling</v>
      </c>
      <c r="D4" t="str" s="7" cm="1">
        <f t="array" ref="D4">B4&amp;" "&amp;$G4&amp;" "&amp;E4&amp;IF($R4="",""," ")&amp;$R4&amp;IF($H4="",""," ")&amp;$H4&amp;IF($S4="",""," ")&amp;$S4&amp;IF($T4="",""," ")&amp;$T4&amp;IF($U4="",""," ")&amp;$U4&amp;IF($X4="",""," ")&amp;$X4&amp;IF($X4="","","mcd")</f>
        <v>SLK_BRD_80x100 BRD_80x100 SLK Board Outline &amp; Milling</v>
      </c>
      <c r="E4" t="s" s="8">
        <v>39</v>
      </c>
      <c r="F4" t="s" s="8">
        <v>40</v>
      </c>
      <c r="G4" t="str" s="9" cm="1">
        <f t="array" ref="G4">J4</f>
        <v>BRD_80x100</v>
      </c>
      <c r="H4" t="s" s="8">
        <v>42</v>
      </c>
      <c r="I4" t="s" s="10">
        <v>43</v>
      </c>
      <c r="J4" t="s" s="8">
        <v>44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9"/>
      <c r="AA4" s="9"/>
      <c r="AB4" s="9"/>
      <c r="AC4" t="str" s="11" cm="1">
        <f t="array" ref="AC4">IF(ISBLANK(AB4),"",HYPERLINK("https://jlcpcb.com/partdetail/"&amp;$AB4,$AB4))</f>
      </c>
      <c r="AD4" s="12">
        <v>10</v>
      </c>
      <c r="AE4" t="s" s="8">
        <v>45</v>
      </c>
      <c r="AF4" s="6"/>
      <c r="AG4" s="9"/>
      <c r="AH4" t="s" s="13">
        <v>46</v>
      </c>
      <c r="AI4" t="s" s="14">
        <v>47</v>
      </c>
      <c r="AJ4" s="9"/>
    </row>
    <row r="5" ht="18.9" customHeight="1">
      <c r="B5" t="str" s="15" cm="1">
        <f t="array" ref="B5">E5&amp;"_"&amp;G5</f>
        <v>SLK_BRD_100x50</v>
      </c>
      <c r="C5" t="str" s="16" cm="1">
        <f t="array" ref="C5">$G5&amp;IF($E5="LED"," LED","")&amp;IF($R5="",""," ")&amp;$R5&amp;IF($H5="",""," ")&amp;$H5&amp;IF($S5="",""," ")&amp;$S5&amp;IF($T5="",""," ")&amp;$T5&amp;IF($U5="",""," ")&amp;$U5&amp;IF($X5="",""," ")&amp;$X5&amp;IF($X5="","","mcd")</f>
        <v>BRD_100x50 Board Outline &amp; Milling</v>
      </c>
      <c r="D5" t="str" s="16" cm="1">
        <f t="array" ref="D5">$G5&amp;" "&amp;E5&amp;IF($R5="",""," ")&amp;$R5&amp;IF($H5="",""," ")&amp;$H5&amp;IF($S5="",""," ")&amp;$S5&amp;IF($T5="",""," ")&amp;$T5&amp;IF($U5="",""," ")&amp;$U5&amp;IF($X5="",""," ")&amp;$X5&amp;IF($X5="","","mcd")</f>
        <v>BRD_100x50 SLK Board Outline &amp; Milling</v>
      </c>
      <c r="E5" t="s" s="17">
        <v>39</v>
      </c>
      <c r="F5" t="s" s="17">
        <v>40</v>
      </c>
      <c r="G5" t="str" s="18" cm="1">
        <f t="array" ref="G5">J5</f>
        <v>BRD_100x50</v>
      </c>
      <c r="H5" t="s" s="17">
        <v>42</v>
      </c>
      <c r="I5" t="s" s="19">
        <v>52</v>
      </c>
      <c r="J5" t="s" s="17">
        <v>53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  <c r="AA5" s="18"/>
      <c r="AB5" s="18"/>
      <c r="AC5" t="str" s="20" cm="1">
        <f t="array" ref="AC5">IF(ISBLANK(AB5),"",HYPERLINK("https://jlcpcb.com/partdetail/"&amp;$AB5,$AB5))</f>
      </c>
      <c r="AD5" s="21">
        <v>10</v>
      </c>
      <c r="AE5" t="s" s="17">
        <v>45</v>
      </c>
      <c r="AF5" s="15"/>
      <c r="AG5" s="18"/>
      <c r="AH5" t="s" s="22">
        <v>46</v>
      </c>
      <c r="AI5" t="s" s="23">
        <v>54</v>
      </c>
      <c r="AJ5" s="18"/>
    </row>
    <row r="6" ht="18.9" customHeight="1">
      <c r="B6" t="str" s="15" cm="1">
        <f t="array" ref="B6">E6&amp;"_"&amp;G6</f>
        <v>SLK_BRD_100x25x2</v>
      </c>
      <c r="C6" t="str" s="16" cm="1">
        <f t="array" ref="C6">$G6&amp;IF($E6="LED"," LED","")&amp;IF($R6="",""," ")&amp;$R6&amp;IF($H6="",""," ")&amp;$H6&amp;IF($S6="",""," ")&amp;$S6&amp;IF($T6="",""," ")&amp;$T6&amp;IF($U6="",""," ")&amp;$U6&amp;IF($X6="",""," ")&amp;$X6&amp;IF($X6="","","mcd")</f>
        <v>BRD_100x25x2 Board Outline &amp; Milling</v>
      </c>
      <c r="D6" t="str" s="16" cm="1">
        <f t="array" ref="D6">$G6&amp;" "&amp;E6&amp;IF($R6="",""," ")&amp;$R6&amp;IF($H6="",""," ")&amp;$H6&amp;IF($S6="",""," ")&amp;$S6&amp;IF($T6="",""," ")&amp;$T6&amp;IF($U6="",""," ")&amp;$U6&amp;IF($X6="",""," ")&amp;$X6&amp;IF($X6="","","mcd")</f>
        <v>BRD_100x25x2 SLK Board Outline &amp; Milling</v>
      </c>
      <c r="E6" t="s" s="17">
        <v>39</v>
      </c>
      <c r="F6" t="s" s="17">
        <v>40</v>
      </c>
      <c r="G6" t="str" s="18" cm="1">
        <f t="array" ref="G6">J6</f>
        <v>BRD_100x25x2</v>
      </c>
      <c r="H6" t="s" s="17">
        <v>42</v>
      </c>
      <c r="I6" t="s" s="19">
        <v>52</v>
      </c>
      <c r="J6" t="s" s="17">
        <v>59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8"/>
      <c r="AA6" s="18"/>
      <c r="AB6" s="18"/>
      <c r="AC6" t="str" s="20" cm="1">
        <f t="array" ref="AC6">IF(ISBLANK(AB6),"",HYPERLINK("https://jlcpcb.com/partdetail/"&amp;$AB6,$AB6))</f>
      </c>
      <c r="AD6" s="21">
        <v>10</v>
      </c>
      <c r="AE6" t="s" s="17">
        <v>45</v>
      </c>
      <c r="AF6" s="15"/>
      <c r="AG6" s="18"/>
      <c r="AH6" t="s" s="22">
        <v>46</v>
      </c>
      <c r="AI6" t="s" s="23">
        <v>60</v>
      </c>
      <c r="AJ6" s="18"/>
    </row>
    <row r="7" ht="18.9" customHeight="1">
      <c r="B7" t="str" s="15" cm="1">
        <f t="array" ref="B7">E7&amp;"_"&amp;G7</f>
        <v>SLK_BRD_100x75</v>
      </c>
      <c r="C7" t="str" s="16" cm="1">
        <f t="array" ref="C7">$G7&amp;IF($E7="LED"," LED","")&amp;IF($R7="",""," ")&amp;$R7&amp;IF($H7="",""," ")&amp;$H7&amp;IF($S7="",""," ")&amp;$S7&amp;IF($T7="",""," ")&amp;$T7&amp;IF($U7="",""," ")&amp;$U7&amp;IF($X7="",""," ")&amp;$X7&amp;IF($X7="","","mcd")</f>
        <v>BRD_100x75 Board Outline &amp; Milling</v>
      </c>
      <c r="D7" t="str" s="16" cm="1">
        <f t="array" ref="D7">$G7&amp;" "&amp;E7&amp;IF($R7="",""," ")&amp;$R7&amp;IF($H7="",""," ")&amp;$H7&amp;IF($S7="",""," ")&amp;$S7&amp;IF($T7="",""," ")&amp;$T7&amp;IF($U7="",""," ")&amp;$U7&amp;IF($X7="",""," ")&amp;$X7&amp;IF($X7="","","mcd")</f>
        <v>BRD_100x75 SLK Board Outline &amp; Milling</v>
      </c>
      <c r="E7" t="s" s="17">
        <v>39</v>
      </c>
      <c r="F7" t="s" s="17">
        <v>40</v>
      </c>
      <c r="G7" t="str" s="18" cm="1">
        <f t="array" ref="G7">J7</f>
        <v>BRD_100x75</v>
      </c>
      <c r="H7" t="s" s="17">
        <v>42</v>
      </c>
      <c r="I7" t="s" s="19">
        <v>52</v>
      </c>
      <c r="J7" t="s" s="17">
        <v>65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  <c r="AA7" s="18"/>
      <c r="AB7" s="18"/>
      <c r="AC7" t="str" s="20" cm="1">
        <f t="array" ref="AC7">IF(ISBLANK(AB7),"",HYPERLINK("https://jlcpcb.com/partdetail/"&amp;$AB7,$AB7))</f>
      </c>
      <c r="AD7" s="21">
        <v>10</v>
      </c>
      <c r="AE7" s="18"/>
      <c r="AF7" s="15"/>
      <c r="AG7" s="18"/>
      <c r="AH7" t="s" s="22">
        <v>46</v>
      </c>
      <c r="AI7" t="s" s="23">
        <v>66</v>
      </c>
      <c r="AJ7" s="18"/>
    </row>
    <row r="8" ht="18.9" customHeight="1">
      <c r="B8" t="str" s="15" cm="1">
        <f t="array" ref="B8">E8&amp;"_"&amp;G8</f>
        <v>SLK_BRD_100x75</v>
      </c>
      <c r="C8" t="str" s="16" cm="1">
        <f t="array" ref="C8">$G8&amp;IF($E8="LED"," LED","")&amp;IF($R8="",""," ")&amp;$R8&amp;IF($H8="",""," ")&amp;$H8&amp;IF($S8="",""," ")&amp;$S8&amp;IF($T8="",""," ")&amp;$T8&amp;IF($U8="",""," ")&amp;$U8&amp;IF($X8="",""," ")&amp;$X8&amp;IF($X8="","","mcd")</f>
        <v>BRD_100x75 Board Outline &amp; Milling</v>
      </c>
      <c r="D8" t="str" s="16" cm="1">
        <f t="array" ref="D8">$G8&amp;" "&amp;E8&amp;IF($R8="",""," ")&amp;$R8&amp;IF($H8="",""," ")&amp;$H8&amp;IF($S8="",""," ")&amp;$S8&amp;IF($T8="",""," ")&amp;$T8&amp;IF($U8="",""," ")&amp;$U8&amp;IF($X8="",""," ")&amp;$X8&amp;IF($X8="","","mcd")</f>
        <v>BRD_100x75 SLK Board Outline &amp; Milling</v>
      </c>
      <c r="E8" t="s" s="17">
        <v>39</v>
      </c>
      <c r="F8" t="s" s="17">
        <v>40</v>
      </c>
      <c r="G8" t="str" s="18" cm="1">
        <f t="array" ref="G8">J8</f>
        <v>BRD_100x75</v>
      </c>
      <c r="H8" t="s" s="17">
        <v>42</v>
      </c>
      <c r="I8" t="s" s="19">
        <v>67</v>
      </c>
      <c r="J8" t="s" s="17">
        <v>65</v>
      </c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8"/>
      <c r="AA8" s="18"/>
      <c r="AB8" s="18"/>
      <c r="AC8" t="str" s="20" cm="1">
        <f t="array" ref="AC8">IF(ISBLANK(AB8),"",HYPERLINK("https://jlcpcb.com/partdetail/"&amp;$AB8,$AB8))</f>
      </c>
      <c r="AD8" s="21">
        <v>10</v>
      </c>
      <c r="AE8" s="18"/>
      <c r="AF8" s="15"/>
      <c r="AG8" s="18"/>
      <c r="AH8" t="s" s="22">
        <v>46</v>
      </c>
      <c r="AI8" t="s" s="23">
        <v>68</v>
      </c>
      <c r="AJ8" s="18"/>
    </row>
    <row r="9" ht="18.9" customHeight="1">
      <c r="B9" t="str" s="15" cm="1">
        <f t="array" ref="B9">E9&amp;"_"&amp;G9</f>
        <v>SLK_BRD_100x100</v>
      </c>
      <c r="C9" t="str" s="16" cm="1">
        <f t="array" ref="C9">$G9&amp;IF($E9="LED"," LED","")&amp;IF($R9="",""," ")&amp;$R9&amp;IF($H9="",""," ")&amp;$H9&amp;IF($S9="",""," ")&amp;$S9&amp;IF($T9="",""," ")&amp;$T9&amp;IF($U9="",""," ")&amp;$U9&amp;IF($X9="",""," ")&amp;$X9&amp;IF($X9="","","mcd")</f>
        <v>BRD_100x100 Board Outline &amp; Milling</v>
      </c>
      <c r="D9" t="str" s="16" cm="1">
        <f t="array" ref="D9">$G9&amp;" "&amp;E9&amp;IF($R9="",""," ")&amp;$R9&amp;IF($H9="",""," ")&amp;$H9&amp;IF($S9="",""," ")&amp;$S9&amp;IF($T9="",""," ")&amp;$T9&amp;IF($U9="",""," ")&amp;$U9&amp;IF($X9="",""," ")&amp;$X9&amp;IF($X9="","","mcd")</f>
        <v>BRD_100x100 SLK Board Outline &amp; Milling</v>
      </c>
      <c r="E9" t="s" s="17">
        <v>39</v>
      </c>
      <c r="F9" t="s" s="17">
        <v>40</v>
      </c>
      <c r="G9" t="str" s="18" cm="1">
        <f t="array" ref="G9">J9</f>
        <v>BRD_100x100</v>
      </c>
      <c r="H9" t="s" s="17">
        <v>42</v>
      </c>
      <c r="I9" t="s" s="19">
        <v>52</v>
      </c>
      <c r="J9" t="s" s="17">
        <v>73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8"/>
      <c r="AA9" s="18"/>
      <c r="AB9" s="18"/>
      <c r="AC9" t="str" s="20" cm="1">
        <f t="array" ref="AC9">IF(ISBLANK(AB9),"",HYPERLINK("https://jlcpcb.com/partdetail/"&amp;$AB9,$AB9))</f>
      </c>
      <c r="AD9" s="21">
        <v>10</v>
      </c>
      <c r="AE9" s="18"/>
      <c r="AF9" s="15"/>
      <c r="AG9" s="18"/>
      <c r="AH9" t="s" s="22">
        <v>46</v>
      </c>
      <c r="AI9" t="s" s="23">
        <v>74</v>
      </c>
      <c r="AJ9" s="18"/>
    </row>
    <row r="10" ht="18.9" customHeight="1">
      <c r="B10" t="str" s="15" cm="1">
        <f t="array" ref="B10">E10&amp;"_"&amp;G10</f>
        <v>SLK_BRD_100x150</v>
      </c>
      <c r="C10" t="str" s="16" cm="1">
        <f t="array" ref="C10">$G10&amp;IF($E10="LED"," LED","")&amp;IF($R10="",""," ")&amp;$R10&amp;IF($H10="",""," ")&amp;$H10&amp;IF($S10="",""," ")&amp;$S10&amp;IF($T10="",""," ")&amp;$T10&amp;IF($U10="",""," ")&amp;$U10&amp;IF($X10="",""," ")&amp;$X10&amp;IF($X10="","","mcd")</f>
        <v>BRD_100x150 Board Outline &amp; Milling</v>
      </c>
      <c r="D10" t="str" s="16" cm="1">
        <f t="array" ref="D10">$G10&amp;" "&amp;E10&amp;IF($R10="",""," ")&amp;$R10&amp;IF($H10="",""," ")&amp;$H10&amp;IF($S10="",""," ")&amp;$S10&amp;IF($T10="",""," ")&amp;$T10&amp;IF($U10="",""," ")&amp;$U10&amp;IF($X10="",""," ")&amp;$X10&amp;IF($X10="","","mcd")</f>
        <v>BRD_100x150 SLK Board Outline &amp; Milling</v>
      </c>
      <c r="E10" t="s" s="17">
        <v>39</v>
      </c>
      <c r="F10" t="s" s="17">
        <v>40</v>
      </c>
      <c r="G10" t="str" s="18" cm="1">
        <f t="array" ref="G10">J10</f>
        <v>BRD_100x150</v>
      </c>
      <c r="H10" t="s" s="17">
        <v>42</v>
      </c>
      <c r="I10" t="s" s="19">
        <v>52</v>
      </c>
      <c r="J10" t="s" s="17">
        <v>79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8"/>
      <c r="AA10" s="18"/>
      <c r="AB10" s="18"/>
      <c r="AC10" t="str" s="20" cm="1">
        <f t="array" ref="AC10">IF(ISBLANK(AB10),"",HYPERLINK("https://jlcpcb.com/partdetail/"&amp;$AB10,$AB10))</f>
      </c>
      <c r="AD10" s="21">
        <v>10</v>
      </c>
      <c r="AE10" s="18"/>
      <c r="AF10" s="15"/>
      <c r="AG10" s="18"/>
      <c r="AH10" t="s" s="22">
        <v>46</v>
      </c>
      <c r="AI10" t="s" s="23">
        <v>80</v>
      </c>
      <c r="AJ10" s="18"/>
    </row>
    <row r="11" ht="18.9" customHeight="1">
      <c r="B11" t="str" s="15" cm="1">
        <f t="array" ref="B11">E11&amp;"_"&amp;G11</f>
        <v>SLK_BRD_100x200</v>
      </c>
      <c r="C11" t="str" s="16" cm="1">
        <f t="array" ref="C11">$G11&amp;IF($E11="LED"," LED","")&amp;IF($R11="",""," ")&amp;$R11&amp;IF($H11="",""," ")&amp;$H11&amp;IF($S11="",""," ")&amp;$S11&amp;IF($T11="",""," ")&amp;$T11&amp;IF($U11="",""," ")&amp;$U11&amp;IF($X11="",""," ")&amp;$X11&amp;IF($X11="","","mcd")</f>
        <v>BRD_100x200 Board Outline &amp; Milling</v>
      </c>
      <c r="D11" t="str" s="16" cm="1">
        <f t="array" ref="D11">$G11&amp;" "&amp;E11&amp;IF($R11="",""," ")&amp;$R11&amp;IF($H11="",""," ")&amp;$H11&amp;IF($S11="",""," ")&amp;$S11&amp;IF($T11="",""," ")&amp;$T11&amp;IF($U11="",""," ")&amp;$U11&amp;IF($X11="",""," ")&amp;$X11&amp;IF($X11="","","mcd")</f>
        <v>BRD_100x200 SLK Board Outline &amp; Milling</v>
      </c>
      <c r="E11" t="s" s="17">
        <v>39</v>
      </c>
      <c r="F11" t="s" s="17">
        <v>40</v>
      </c>
      <c r="G11" t="str" s="18" cm="1">
        <f t="array" ref="G11">J11</f>
        <v>BRD_100x200</v>
      </c>
      <c r="H11" t="s" s="17">
        <v>42</v>
      </c>
      <c r="I11" t="s" s="19">
        <v>52</v>
      </c>
      <c r="J11" t="s" s="17">
        <v>85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8"/>
      <c r="AA11" s="18"/>
      <c r="AB11" s="18"/>
      <c r="AC11" t="str" s="20" cm="1">
        <f t="array" ref="AC11">IF(ISBLANK(AB11),"",HYPERLINK("https://jlcpcb.com/partdetail/"&amp;$AB11,$AB11))</f>
      </c>
      <c r="AD11" s="21">
        <v>10</v>
      </c>
      <c r="AE11" s="18"/>
      <c r="AF11" s="15"/>
      <c r="AG11" s="18"/>
      <c r="AH11" t="s" s="22">
        <v>46</v>
      </c>
      <c r="AI11" t="s" s="23">
        <v>86</v>
      </c>
      <c r="AJ11" s="18"/>
    </row>
    <row r="12" ht="18.9" customHeight="1">
      <c r="B12" t="str" s="15" cm="1">
        <f t="array" ref="B12">E12&amp;"_"&amp;G12</f>
        <v>SLK_DCPower+</v>
      </c>
      <c r="C12" t="str" s="16" cm="1">
        <f t="array" ref="C12">$G12&amp;IF($E12="LED"," LED","")&amp;IF($R12="",""," ")&amp;$R12&amp;IF($H12="",""," ")&amp;$H12&amp;IF($S12="",""," ")&amp;$S12&amp;IF($T12="",""," ")&amp;$T12&amp;IF($U12="",""," ")&amp;$U12&amp;IF($X12="",""," ")&amp;$X12&amp;IF($X12="","","mcd")</f>
        <v>DCPower+ SilkScreen</v>
      </c>
      <c r="D12" t="str" s="16" cm="1">
        <f t="array" ref="D12">$G12&amp;" "&amp;E12&amp;IF($R12="",""," ")&amp;$R12&amp;IF($H12="",""," ")&amp;$H12&amp;IF($S12="",""," ")&amp;$S12&amp;IF($T12="",""," ")&amp;$T12&amp;IF($U12="",""," ")&amp;$U12&amp;IF($X12="",""," ")&amp;$X12&amp;IF($X12="","","mcd")</f>
        <v>DCPower+ SLK SilkScreen</v>
      </c>
      <c r="E12" t="s" s="17">
        <v>39</v>
      </c>
      <c r="F12" t="s" s="17">
        <v>40</v>
      </c>
      <c r="G12" t="str" s="18" cm="1">
        <f t="array" ref="G12">J12</f>
        <v>DCPower+</v>
      </c>
      <c r="H12" t="s" s="17">
        <v>91</v>
      </c>
      <c r="I12" t="s" s="19">
        <v>92</v>
      </c>
      <c r="J12" t="s" s="17">
        <v>93</v>
      </c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8"/>
      <c r="AA12" s="18"/>
      <c r="AB12" s="18"/>
      <c r="AC12" t="str" s="20" cm="1">
        <f t="array" ref="AC12">IF(ISBLANK(AB12),"",HYPERLINK("https://jlcpcb.com/partdetail/"&amp;$AB12,$AB12))</f>
      </c>
      <c r="AD12" s="21">
        <v>10</v>
      </c>
      <c r="AE12" s="18"/>
      <c r="AF12" s="15"/>
      <c r="AG12" s="18"/>
      <c r="AH12" t="s" s="22">
        <v>94</v>
      </c>
      <c r="AI12" t="s" s="23">
        <v>95</v>
      </c>
      <c r="AJ12" s="18"/>
    </row>
    <row r="13" ht="18.9" customHeight="1">
      <c r="B13" t="str" s="15" cm="1">
        <f t="array" ref="B13">E13&amp;"_"&amp;G13</f>
        <v>SLK_DCPower-</v>
      </c>
      <c r="C13" t="str" s="16" cm="1">
        <f t="array" ref="C13">$G13&amp;IF($E13="LED"," LED","")&amp;IF($R13="",""," ")&amp;$R13&amp;IF($H13="",""," ")&amp;$H13&amp;IF($S13="",""," ")&amp;$S13&amp;IF($T13="",""," ")&amp;$T13&amp;IF($U13="",""," ")&amp;$U13&amp;IF($X13="",""," ")&amp;$X13&amp;IF($X13="","","mcd")</f>
        <v>DCPower- SilkScreen</v>
      </c>
      <c r="D13" t="str" s="16" cm="1">
        <f t="array" ref="D13">$G13&amp;" "&amp;E13&amp;IF($R13="",""," ")&amp;$R13&amp;IF($H13="",""," ")&amp;$H13&amp;IF($S13="",""," ")&amp;$S13&amp;IF($T13="",""," ")&amp;$T13&amp;IF($U13="",""," ")&amp;$U13&amp;IF($X13="",""," ")&amp;$X13&amp;IF($X13="","","mcd")</f>
        <v>DCPower- SLK SilkScreen</v>
      </c>
      <c r="E13" t="s" s="17">
        <v>39</v>
      </c>
      <c r="F13" t="s" s="17">
        <v>40</v>
      </c>
      <c r="G13" t="str" s="18" cm="1">
        <f t="array" ref="G13">J13</f>
        <v>DCPower-</v>
      </c>
      <c r="H13" t="s" s="17">
        <v>91</v>
      </c>
      <c r="I13" t="s" s="19">
        <v>92</v>
      </c>
      <c r="J13" t="s" s="17">
        <v>100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8"/>
      <c r="AA13" s="18"/>
      <c r="AB13" s="18"/>
      <c r="AC13" t="str" s="20" cm="1">
        <f t="array" ref="AC13">IF(ISBLANK(AB13),"",HYPERLINK("https://jlcpcb.com/partdetail/"&amp;$AB13,$AB13))</f>
      </c>
      <c r="AD13" s="21">
        <v>10</v>
      </c>
      <c r="AE13" s="18"/>
      <c r="AF13" s="15"/>
      <c r="AG13" s="18"/>
      <c r="AH13" t="s" s="22">
        <v>101</v>
      </c>
      <c r="AI13" t="s" s="23">
        <v>102</v>
      </c>
      <c r="AJ13" s="18"/>
    </row>
    <row r="14" ht="18.9" customHeight="1">
      <c r="B14" t="str" s="15" cm="1">
        <f t="array" ref="B14">E14&amp;"_"&amp;G14</f>
        <v>SLK_CA65</v>
      </c>
      <c r="C14" t="str" s="16" cm="1">
        <f t="array" ref="C14">$G14&amp;IF($E14="LED"," LED","")&amp;IF($R14="",""," ")&amp;$R14&amp;IF($H14="",""," ")&amp;$H14&amp;IF($S14="",""," ")&amp;$S14&amp;IF($T14="",""," ")&amp;$T14&amp;IF($U14="",""," ")&amp;$U14&amp;IF($X14="",""," ")&amp;$X14&amp;IF($X14="","","mcd")</f>
        <v>CA65 SilkScreen</v>
      </c>
      <c r="D14" t="str" s="16" cm="1">
        <f t="array" ref="D14">$G14&amp;" "&amp;E14&amp;IF($R14="",""," ")&amp;$R14&amp;IF($H14="",""," ")&amp;$H14&amp;IF($S14="",""," ")&amp;$S14&amp;IF($T14="",""," ")&amp;$T14&amp;IF($U14="",""," ")&amp;$U14&amp;IF($X14="",""," ")&amp;$X14&amp;IF($X14="","","mcd")</f>
        <v>CA65 SLK SilkScreen</v>
      </c>
      <c r="E14" t="s" s="17">
        <v>39</v>
      </c>
      <c r="F14" t="s" s="17">
        <v>40</v>
      </c>
      <c r="G14" t="str" s="18" cm="1">
        <f t="array" ref="G14">J14</f>
        <v>CA65</v>
      </c>
      <c r="H14" t="s" s="17">
        <v>91</v>
      </c>
      <c r="I14" t="s" s="19">
        <v>107</v>
      </c>
      <c r="J14" t="s" s="17">
        <v>108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8"/>
      <c r="AA14" s="18"/>
      <c r="AB14" s="18"/>
      <c r="AC14" t="str" s="20" cm="1">
        <f t="array" ref="AC14">IF(ISBLANK(AB14),"",HYPERLINK("https://jlcpcb.com/partdetail/"&amp;$AB14,$AB14))</f>
      </c>
      <c r="AD14" s="21">
        <v>10</v>
      </c>
      <c r="AE14" s="18"/>
      <c r="AF14" s="15"/>
      <c r="AG14" s="18"/>
      <c r="AH14" t="s" s="22">
        <v>109</v>
      </c>
      <c r="AI14" t="s" s="23">
        <v>110</v>
      </c>
      <c r="AJ14" s="18"/>
    </row>
    <row r="15" ht="18.9" customHeight="1">
      <c r="B15" t="str" s="15" cm="1">
        <f t="array" ref="B15">E15&amp;"_"&amp;G15</f>
        <v>SLK_CC-by-sa</v>
      </c>
      <c r="C15" t="str" s="16" cm="1">
        <f t="array" ref="C15">$G15&amp;IF($E15="LED"," LED","")&amp;IF($R15="",""," ")&amp;$R15&amp;IF($H15="",""," ")&amp;$H15&amp;IF($S15="",""," ")&amp;$S15&amp;IF($T15="",""," ")&amp;$T15&amp;IF($U15="",""," ")&amp;$U15&amp;IF($X15="",""," ")&amp;$X15&amp;IF($X15="","","mcd")</f>
        <v>CC-by-sa SilkScreen</v>
      </c>
      <c r="D15" t="str" s="16" cm="1">
        <f t="array" ref="D15">$G15&amp;" "&amp;E15&amp;IF($R15="",""," ")&amp;$R15&amp;IF($H15="",""," ")&amp;$H15&amp;IF($S15="",""," ")&amp;$S15&amp;IF($T15="",""," ")&amp;$T15&amp;IF($U15="",""," ")&amp;$U15&amp;IF($X15="",""," ")&amp;$X15&amp;IF($X15="","","mcd")</f>
        <v>CC-by-sa SLK SilkScreen</v>
      </c>
      <c r="E15" t="s" s="17">
        <v>39</v>
      </c>
      <c r="F15" t="s" s="17">
        <v>40</v>
      </c>
      <c r="G15" t="str" s="18" cm="1">
        <f t="array" ref="G15">J15</f>
        <v>CC-by-sa</v>
      </c>
      <c r="H15" t="s" s="17">
        <v>91</v>
      </c>
      <c r="I15" t="s" s="19">
        <v>115</v>
      </c>
      <c r="J15" t="s" s="17">
        <v>116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8"/>
      <c r="AA15" s="18"/>
      <c r="AB15" s="18"/>
      <c r="AC15" t="str" s="20" cm="1">
        <f t="array" ref="AC15">IF(ISBLANK(AB15),"",HYPERLINK("https://jlcpcb.com/partdetail/"&amp;$AB15,$AB15))</f>
      </c>
      <c r="AD15" s="21">
        <v>10</v>
      </c>
      <c r="AE15" s="18"/>
      <c r="AF15" s="15"/>
      <c r="AG15" s="18"/>
      <c r="AH15" t="s" s="22">
        <v>117</v>
      </c>
      <c r="AI15" t="s" s="23">
        <v>118</v>
      </c>
      <c r="AJ15" s="18"/>
    </row>
    <row r="16" ht="18.9" customHeight="1">
      <c r="B16" t="str" s="15" cm="1">
        <f t="array" ref="B16">E16&amp;"_"&amp;G16</f>
        <v>SLK_Logo_MRCS</v>
      </c>
      <c r="C16" t="str" s="16" cm="1">
        <f t="array" ref="C16">$G16&amp;IF($E16="LED"," LED","")&amp;IF($R16="",""," ")&amp;$R16&amp;IF($H16="",""," ")&amp;$H16&amp;IF($S16="",""," ")&amp;$S16&amp;IF($T16="",""," ")&amp;$T16&amp;IF($U16="",""," ")&amp;$U16&amp;IF($X16="",""," ")&amp;$X16&amp;IF($X16="","","mcd")</f>
        <v>Logo_MRCS SilkScreen</v>
      </c>
      <c r="D16" t="str" s="16" cm="1">
        <f t="array" ref="D16">$G16&amp;" "&amp;E16&amp;IF($R16="",""," ")&amp;$R16&amp;IF($H16="",""," ")&amp;$H16&amp;IF($S16="",""," ")&amp;$S16&amp;IF($T16="",""," ")&amp;$T16&amp;IF($U16="",""," ")&amp;$U16&amp;IF($X16="",""," ")&amp;$X16&amp;IF($X16="","","mcd")</f>
        <v>Logo_MRCS SLK SilkScreen</v>
      </c>
      <c r="E16" t="s" s="17">
        <v>39</v>
      </c>
      <c r="F16" t="s" s="17">
        <v>40</v>
      </c>
      <c r="G16" t="str" s="18" cm="1">
        <f t="array" ref="G16">J16</f>
        <v>Logo_MRCS</v>
      </c>
      <c r="H16" t="s" s="17">
        <v>91</v>
      </c>
      <c r="I16" t="s" s="19">
        <v>123</v>
      </c>
      <c r="J16" t="s" s="17">
        <v>124</v>
      </c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8"/>
      <c r="AA16" s="18"/>
      <c r="AB16" s="18"/>
      <c r="AC16" t="str" s="20" cm="1">
        <f t="array" ref="AC16">IF(ISBLANK(AB16),"",HYPERLINK("https://jlcpcb.com/partdetail/"&amp;$AB16,$AB16))</f>
      </c>
      <c r="AD16" s="21">
        <v>10</v>
      </c>
      <c r="AE16" s="18"/>
      <c r="AF16" s="15"/>
      <c r="AG16" s="18"/>
      <c r="AH16" t="s" s="22">
        <v>125</v>
      </c>
      <c r="AI16" t="s" s="23">
        <v>126</v>
      </c>
      <c r="AJ16" s="18"/>
    </row>
    <row r="17" ht="18.9" customHeight="1">
      <c r="B17" t="str" s="15" cm="1">
        <f t="array" ref="B17">E17&amp;"_"&amp;G17</f>
        <v>SLK_Logo_SPCoast</v>
      </c>
      <c r="C17" t="str" s="16" cm="1">
        <f t="array" ref="C17">$G17&amp;IF($E17="LED"," LED","")&amp;IF($R17="",""," ")&amp;$R17&amp;IF($H17="",""," ")&amp;$H17&amp;IF($S17="",""," ")&amp;$S17&amp;IF($T17="",""," ")&amp;$T17&amp;IF($U17="",""," ")&amp;$U17&amp;IF($X17="",""," ")&amp;$X17&amp;IF($X17="","","mcd")</f>
        <v>Logo_SPCoast SilkScreen</v>
      </c>
      <c r="D17" t="str" s="16" cm="1">
        <f t="array" ref="D17">$G17&amp;" "&amp;E17&amp;IF($R17="",""," ")&amp;$R17&amp;IF($H17="",""," ")&amp;$H17&amp;IF($S17="",""," ")&amp;$S17&amp;IF($T17="",""," ")&amp;$T17&amp;IF($U17="",""," ")&amp;$U17&amp;IF($X17="",""," ")&amp;$X17&amp;IF($X17="","","mcd")</f>
        <v>Logo_SPCoast SLK SilkScreen</v>
      </c>
      <c r="E17" t="s" s="17">
        <v>39</v>
      </c>
      <c r="F17" t="s" s="17">
        <v>40</v>
      </c>
      <c r="G17" t="str" s="18" cm="1">
        <f t="array" ref="G17">J17</f>
        <v>Logo_SPCoast</v>
      </c>
      <c r="H17" t="s" s="17">
        <v>91</v>
      </c>
      <c r="I17" t="s" s="19">
        <v>131</v>
      </c>
      <c r="J17" t="s" s="17">
        <v>132</v>
      </c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8"/>
      <c r="AA17" s="18"/>
      <c r="AB17" s="18"/>
      <c r="AC17" t="str" s="20" cm="1">
        <f t="array" ref="AC17">IF(ISBLANK(AB17),"",HYPERLINK("https://jlcpcb.com/partdetail/"&amp;$AB17,$AB17))</f>
      </c>
      <c r="AD17" s="21">
        <v>10</v>
      </c>
      <c r="AE17" s="18"/>
      <c r="AF17" s="15"/>
      <c r="AG17" s="18"/>
      <c r="AH17" t="s" s="22">
        <v>133</v>
      </c>
      <c r="AI17" t="s" s="23">
        <v>134</v>
      </c>
      <c r="AJ17" s="18"/>
    </row>
    <row r="18" ht="18.9" customHeight="1">
      <c r="B18" t="str" s="15" cm="1">
        <f t="array" ref="B18">E18&amp;"_"&amp;G18</f>
        <v>SLK_Power_Draw</v>
      </c>
      <c r="C18" t="str" s="16" cm="1">
        <f t="array" ref="C18">$G18&amp;IF($E18="LED"," LED","")&amp;IF($R18="",""," ")&amp;$R18&amp;IF($H18="",""," ")&amp;$H18&amp;IF($S18="",""," ")&amp;$S18&amp;IF($T18="",""," ")&amp;$T18&amp;IF($U18="",""," ")&amp;$U18&amp;IF($X18="",""," ")&amp;$X18&amp;IF($X18="","","mcd")</f>
        <v>Power_Draw SilkScreen</v>
      </c>
      <c r="D18" t="str" s="16" cm="1">
        <f t="array" ref="D18">$G18&amp;" "&amp;E18&amp;IF($R18="",""," ")&amp;$R18&amp;IF($H18="",""," ")&amp;$H18&amp;IF($S18="",""," ")&amp;$S18&amp;IF($T18="",""," ")&amp;$T18&amp;IF($U18="",""," ")&amp;$U18&amp;IF($X18="",""," ")&amp;$X18&amp;IF($X18="","","mcd")</f>
        <v>Power_Draw SLK SilkScreen</v>
      </c>
      <c r="E18" t="s" s="17">
        <v>39</v>
      </c>
      <c r="F18" t="s" s="17">
        <v>40</v>
      </c>
      <c r="G18" t="str" s="18" cm="1">
        <f t="array" ref="G18">J18</f>
        <v>Power_Draw</v>
      </c>
      <c r="H18" t="s" s="17">
        <v>91</v>
      </c>
      <c r="I18" t="s" s="19">
        <v>139</v>
      </c>
      <c r="J18" t="s" s="17">
        <v>140</v>
      </c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24"/>
      <c r="AA18" s="24"/>
      <c r="AB18" s="24"/>
      <c r="AC18" t="str" s="20" cm="1">
        <f t="array" ref="AC18">IF(ISBLANK(AB18),"",HYPERLINK("https://jlcpcb.com/partdetail/"&amp;$AB18,$AB18))</f>
      </c>
      <c r="AD18" s="21">
        <v>10</v>
      </c>
      <c r="AE18" s="18"/>
      <c r="AF18" s="15"/>
      <c r="AG18" s="18"/>
      <c r="AH18" t="s" s="22">
        <v>141</v>
      </c>
      <c r="AI18" t="s" s="23">
        <v>142</v>
      </c>
      <c r="AJ18" s="18"/>
    </row>
    <row r="19" ht="18.9" customHeight="1">
      <c r="B19" t="str" s="15" cm="1">
        <f t="array" ref="B19">E19&amp;"_"&amp;G19</f>
        <v>SLK_Power_Provide</v>
      </c>
      <c r="C19" t="str" s="16" cm="1">
        <f t="array" ref="C19">$G19&amp;IF($E19="LED"," LED","")&amp;IF($R19="",""," ")&amp;$R19&amp;IF($H19="",""," ")&amp;$H19&amp;IF($S19="",""," ")&amp;$S19&amp;IF($T19="",""," ")&amp;$T19&amp;IF($U19="",""," ")&amp;$U19&amp;IF($X19="",""," ")&amp;$X19&amp;IF($X19="","","mcd")</f>
        <v>Power_Provide SilkScreen</v>
      </c>
      <c r="D19" t="str" s="16" cm="1">
        <f t="array" ref="D19">$G19&amp;" "&amp;E19&amp;IF($R19="",""," ")&amp;$R19&amp;IF($H19="",""," ")&amp;$H19&amp;IF($S19="",""," ")&amp;$S19&amp;IF($T19="",""," ")&amp;$T19&amp;IF($U19="",""," ")&amp;$U19&amp;IF($X19="",""," ")&amp;$X19&amp;IF($X19="","","mcd")</f>
        <v>Power_Provide SLK SilkScreen</v>
      </c>
      <c r="E19" t="s" s="17">
        <v>39</v>
      </c>
      <c r="F19" t="s" s="17">
        <v>40</v>
      </c>
      <c r="G19" t="str" s="18" cm="1">
        <f t="array" ref="G19">J19</f>
        <v>Power_Provide</v>
      </c>
      <c r="H19" t="s" s="17">
        <v>91</v>
      </c>
      <c r="I19" t="s" s="19">
        <v>147</v>
      </c>
      <c r="J19" t="s" s="17">
        <v>148</v>
      </c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24"/>
      <c r="AA19" s="24"/>
      <c r="AB19" s="24"/>
      <c r="AC19" t="str" s="20" cm="1">
        <f t="array" ref="AC19">IF(ISBLANK(AB19),"",HYPERLINK("https://jlcpcb.com/partdetail/"&amp;$AB19,$AB19))</f>
      </c>
      <c r="AD19" s="21">
        <v>10</v>
      </c>
      <c r="AE19" s="18"/>
      <c r="AF19" s="15"/>
      <c r="AG19" s="18"/>
      <c r="AH19" t="s" s="22">
        <v>149</v>
      </c>
      <c r="AI19" t="s" s="23">
        <v>150</v>
      </c>
      <c r="AJ19" s="18"/>
    </row>
    <row r="20" ht="18.9" customHeight="1">
      <c r="B20" t="str" s="15" cm="1">
        <f t="array" ref="B20">E20&amp;"_"&amp;G20</f>
        <v>CON_TC2030-NL</v>
      </c>
      <c r="C20" t="str" s="16" cm="1">
        <f t="array" ref="C20">$G20&amp;IF($E20="LED"," LED","")&amp;IF($R20="",""," ")&amp;$R20&amp;IF($H20="",""," ")&amp;$H20&amp;IF($S20="",""," ")&amp;$S20&amp;IF($T20="",""," ")&amp;$T20&amp;IF($U20="",""," ")&amp;$U20&amp;IF($X20="",""," ")&amp;$X20&amp;IF($X20="","","mcd")</f>
        <v>TC2030-NL SilkScreen &amp; Pads</v>
      </c>
      <c r="D20" t="str" s="16" cm="1">
        <f t="array" ref="D20">$G20&amp;" "&amp;E20&amp;IF($R20="",""," ")&amp;$R20&amp;IF($H20="",""," ")&amp;$H20&amp;IF($S20="",""," ")&amp;$S20&amp;IF($T20="",""," ")&amp;$T20&amp;IF($U20="",""," ")&amp;$U20&amp;IF($X20="",""," ")&amp;$X20&amp;IF($X20="","","mcd")</f>
        <v>TC2030-NL CON SilkScreen &amp; Pads</v>
      </c>
      <c r="E20" t="s" s="17">
        <v>154</v>
      </c>
      <c r="F20" t="s" s="17">
        <v>40</v>
      </c>
      <c r="G20" t="str" s="18" cm="1">
        <f t="array" ref="G20">J20</f>
        <v>TC2030-NL</v>
      </c>
      <c r="H20" t="s" s="17">
        <v>156</v>
      </c>
      <c r="I20" t="s" s="19">
        <v>157</v>
      </c>
      <c r="J20" t="str" s="18" cm="1">
        <f t="array" ref="J20">AG20</f>
        <v>TC2030-NL</v>
      </c>
      <c r="K20" s="17"/>
      <c r="L20" s="17"/>
      <c r="M20" s="17"/>
      <c r="N20" s="17"/>
      <c r="O20" t="s" s="17">
        <v>158</v>
      </c>
      <c r="P20" t="s" s="17">
        <v>159</v>
      </c>
      <c r="Q20" t="s" s="17">
        <v>160</v>
      </c>
      <c r="R20" s="17"/>
      <c r="S20" s="17"/>
      <c r="T20" s="17"/>
      <c r="U20" s="17"/>
      <c r="V20" s="17"/>
      <c r="W20" s="17"/>
      <c r="X20" s="17"/>
      <c r="Y20" s="17"/>
      <c r="Z20" s="18"/>
      <c r="AA20" s="18"/>
      <c r="AB20" s="18"/>
      <c r="AC20" t="str" s="20" cm="1">
        <f t="array" ref="AC20">IF(ISBLANK(AB20),"",HYPERLINK("https://jlcpcb.com/partdetail/"&amp;$AB20,$AB20))</f>
      </c>
      <c r="AD20" s="21">
        <v>10</v>
      </c>
      <c r="AE20" s="18"/>
      <c r="AF20" t="s" s="25">
        <v>161</v>
      </c>
      <c r="AG20" t="s" s="17">
        <v>162</v>
      </c>
      <c r="AH20" t="s" s="22">
        <v>163</v>
      </c>
      <c r="AI20" t="s" s="23">
        <v>164</v>
      </c>
      <c r="AJ20" s="18"/>
    </row>
    <row r="21" ht="18.9" customHeight="1">
      <c r="B21" t="str" s="15" cm="1">
        <f t="array" ref="B21">E21&amp;"_"&amp;G21</f>
        <v>CON_TC2030-FP</v>
      </c>
      <c r="C21" t="str" s="16" cm="1">
        <f t="array" ref="C21">$G21&amp;IF($E21="LED"," LED","")&amp;IF($R21="",""," ")&amp;$R21&amp;IF($H21="",""," ")&amp;$H21&amp;IF($S21="",""," ")&amp;$S21&amp;IF($T21="",""," ")&amp;$T21&amp;IF($U21="",""," ")&amp;$U21&amp;IF($X21="",""," ")&amp;$X21&amp;IF($X21="","","mcd")</f>
        <v>TC2030-FP SilkScreen &amp; Pads</v>
      </c>
      <c r="D21" t="str" s="16" cm="1">
        <f t="array" ref="D21">$G21&amp;" "&amp;E21&amp;IF($R21="",""," ")&amp;$R21&amp;IF($H21="",""," ")&amp;$H21&amp;IF($S21="",""," ")&amp;$S21&amp;IF($T21="",""," ")&amp;$T21&amp;IF($U21="",""," ")&amp;$U21&amp;IF($X21="",""," ")&amp;$X21&amp;IF($X21="","","mcd")</f>
        <v>TC2030-FP CON SilkScreen &amp; Pads</v>
      </c>
      <c r="E21" t="s" s="17">
        <v>154</v>
      </c>
      <c r="F21" t="s" s="17">
        <v>40</v>
      </c>
      <c r="G21" t="str" s="18" cm="1">
        <f t="array" ref="G21">J21</f>
        <v>TC2030-FP</v>
      </c>
      <c r="H21" t="s" s="17">
        <v>156</v>
      </c>
      <c r="I21" t="s" s="19">
        <v>169</v>
      </c>
      <c r="J21" t="str" s="18" cm="1">
        <f t="array" ref="J21">AG21</f>
        <v>TC2030-FP</v>
      </c>
      <c r="K21" s="17"/>
      <c r="L21" s="17"/>
      <c r="M21" s="17"/>
      <c r="N21" s="17"/>
      <c r="O21" t="s" s="17">
        <v>170</v>
      </c>
      <c r="P21" t="s" s="17">
        <v>159</v>
      </c>
      <c r="Q21" t="s" s="17">
        <v>160</v>
      </c>
      <c r="R21" s="17"/>
      <c r="S21" s="17"/>
      <c r="T21" s="17"/>
      <c r="U21" s="17"/>
      <c r="V21" s="17"/>
      <c r="W21" s="17"/>
      <c r="X21" s="17"/>
      <c r="Y21" s="17"/>
      <c r="Z21" s="18"/>
      <c r="AA21" s="18"/>
      <c r="AB21" s="18"/>
      <c r="AC21" t="str" s="20" cm="1">
        <f t="array" ref="AC21">IF(ISBLANK(AB21),"",HYPERLINK("https://jlcpcb.com/partdetail/"&amp;$AB21,$AB21))</f>
      </c>
      <c r="AD21" s="21">
        <v>10</v>
      </c>
      <c r="AE21" s="18"/>
      <c r="AF21" t="s" s="25">
        <v>161</v>
      </c>
      <c r="AG21" t="s" s="17">
        <v>171</v>
      </c>
      <c r="AH21" t="s" s="22">
        <v>163</v>
      </c>
      <c r="AI21" t="s" s="23">
        <v>172</v>
      </c>
      <c r="AJ21" s="18"/>
    </row>
    <row r="22" ht="18.9" customHeight="1">
      <c r="B22" t="str" s="15" cm="1">
        <f t="array" ref="B22">E22&amp;"_"&amp;G22</f>
        <v>CON_TC2050-NL</v>
      </c>
      <c r="C22" t="str" s="16" cm="1">
        <f t="array" ref="C22">$G22&amp;IF($E22="LED"," LED","")&amp;IF($R22="",""," ")&amp;$R22&amp;IF($H22="",""," ")&amp;$H22&amp;IF($S22="",""," ")&amp;$S22&amp;IF($T22="",""," ")&amp;$T22&amp;IF($U22="",""," ")&amp;$U22&amp;IF($X22="",""," ")&amp;$X22&amp;IF($X22="","","mcd")</f>
        <v>TC2050-NL SilkScreen &amp; Pads</v>
      </c>
      <c r="D22" t="str" s="16" cm="1">
        <f t="array" ref="D22">$G22&amp;" "&amp;E22&amp;IF($R22="",""," ")&amp;$R22&amp;IF($H22="",""," ")&amp;$H22&amp;IF($S22="",""," ")&amp;$S22&amp;IF($T22="",""," ")&amp;$T22&amp;IF($U22="",""," ")&amp;$U22&amp;IF($X22="",""," ")&amp;$X22&amp;IF($X22="","","mcd")</f>
        <v>TC2050-NL CON SilkScreen &amp; Pads</v>
      </c>
      <c r="E22" t="s" s="17">
        <v>154</v>
      </c>
      <c r="F22" t="s" s="17">
        <v>40</v>
      </c>
      <c r="G22" t="str" s="18" cm="1">
        <f t="array" ref="G22">J22</f>
        <v>TC2050-NL</v>
      </c>
      <c r="H22" t="s" s="17">
        <v>156</v>
      </c>
      <c r="I22" t="s" s="19">
        <v>177</v>
      </c>
      <c r="J22" t="str" s="18" cm="1">
        <f t="array" ref="J22">AG22</f>
        <v>TC2050-NL</v>
      </c>
      <c r="K22" s="17"/>
      <c r="L22" s="17"/>
      <c r="M22" s="17"/>
      <c r="N22" s="17"/>
      <c r="O22" t="s" s="17">
        <v>158</v>
      </c>
      <c r="P22" t="s" s="17">
        <v>178</v>
      </c>
      <c r="Q22" t="s" s="17">
        <v>160</v>
      </c>
      <c r="R22" s="17"/>
      <c r="S22" s="17"/>
      <c r="T22" s="17"/>
      <c r="U22" s="17"/>
      <c r="V22" s="17"/>
      <c r="W22" s="17"/>
      <c r="X22" s="17"/>
      <c r="Y22" s="17"/>
      <c r="Z22" s="18"/>
      <c r="AA22" s="18"/>
      <c r="AB22" s="18"/>
      <c r="AC22" t="str" s="20" cm="1">
        <f t="array" ref="AC22">IF(ISBLANK(AB22),"",HYPERLINK("https://jlcpcb.com/partdetail/"&amp;$AB22,$AB22))</f>
      </c>
      <c r="AD22" s="21">
        <v>10</v>
      </c>
      <c r="AE22" s="18"/>
      <c r="AF22" t="s" s="25">
        <v>161</v>
      </c>
      <c r="AG22" t="s" s="17">
        <v>179</v>
      </c>
      <c r="AH22" t="s" s="22">
        <v>180</v>
      </c>
      <c r="AI22" t="s" s="23">
        <v>181</v>
      </c>
      <c r="AJ22" s="18"/>
    </row>
    <row r="23" ht="18.9" customHeight="1">
      <c r="B23" t="str" s="15" cm="1">
        <f t="array" ref="B23">E23&amp;"_"&amp;G23</f>
        <v>CON_TC2050-FP</v>
      </c>
      <c r="C23" t="str" s="16" cm="1">
        <f t="array" ref="C23">$G23&amp;IF($E23="LED"," LED","")&amp;IF($R23="",""," ")&amp;$R23&amp;IF($H23="",""," ")&amp;$H23&amp;IF($S23="",""," ")&amp;$S23&amp;IF($T23="",""," ")&amp;$T23&amp;IF($U23="",""," ")&amp;$U23&amp;IF($X23="",""," ")&amp;$X23&amp;IF($X23="","","mcd")</f>
        <v>TC2050-FP SilkScreen &amp; Pads</v>
      </c>
      <c r="D23" t="str" s="16" cm="1">
        <f t="array" ref="D23">$G23&amp;" "&amp;E23&amp;IF($R23="",""," ")&amp;$R23&amp;IF($H23="",""," ")&amp;$H23&amp;IF($S23="",""," ")&amp;$S23&amp;IF($T23="",""," ")&amp;$T23&amp;IF($U23="",""," ")&amp;$U23&amp;IF($X23="",""," ")&amp;$X23&amp;IF($X23="","","mcd")</f>
        <v>TC2050-FP CON SilkScreen &amp; Pads</v>
      </c>
      <c r="E23" t="s" s="17">
        <v>154</v>
      </c>
      <c r="F23" t="s" s="17">
        <v>40</v>
      </c>
      <c r="G23" t="str" s="18" cm="1">
        <f t="array" ref="G23">J23</f>
        <v>TC2050-FP</v>
      </c>
      <c r="H23" t="s" s="17">
        <v>156</v>
      </c>
      <c r="I23" t="s" s="19">
        <v>186</v>
      </c>
      <c r="J23" t="str" s="18" cm="1">
        <f t="array" ref="J23">AG23</f>
        <v>TC2050-FP</v>
      </c>
      <c r="K23" s="17"/>
      <c r="L23" s="17"/>
      <c r="M23" s="17"/>
      <c r="N23" s="17"/>
      <c r="O23" t="s" s="17">
        <v>170</v>
      </c>
      <c r="P23" t="s" s="17">
        <v>178</v>
      </c>
      <c r="Q23" t="s" s="17">
        <v>160</v>
      </c>
      <c r="R23" s="17"/>
      <c r="S23" s="17"/>
      <c r="T23" s="17"/>
      <c r="U23" s="17"/>
      <c r="V23" s="17"/>
      <c r="W23" s="17"/>
      <c r="X23" s="17"/>
      <c r="Y23" s="17"/>
      <c r="Z23" s="18"/>
      <c r="AA23" s="18"/>
      <c r="AB23" s="18"/>
      <c r="AC23" t="str" s="20" cm="1">
        <f t="array" ref="AC23">IF(ISBLANK(AB23),"",HYPERLINK("https://jlcpcb.com/partdetail/"&amp;$AB23,$AB23))</f>
      </c>
      <c r="AD23" s="21">
        <v>10</v>
      </c>
      <c r="AE23" s="18"/>
      <c r="AF23" t="s" s="25">
        <v>161</v>
      </c>
      <c r="AG23" t="s" s="17">
        <v>187</v>
      </c>
      <c r="AH23" t="s" s="22">
        <v>180</v>
      </c>
      <c r="AI23" t="s" s="23">
        <v>188</v>
      </c>
      <c r="AJ23" s="18"/>
    </row>
    <row r="24" ht="18.9" customHeight="1">
      <c r="B24" t="str" s="15" cm="1">
        <f t="array" ref="B24">E24&amp;"_"&amp;G24</f>
        <v>CON_TC2070-FP</v>
      </c>
      <c r="C24" t="str" s="16" cm="1">
        <f t="array" ref="C24">$G24&amp;IF($E24="LED"," LED","")&amp;IF($R24="",""," ")&amp;$R24&amp;IF($H24="",""," ")&amp;$H24&amp;IF($S24="",""," ")&amp;$S24&amp;IF($T24="",""," ")&amp;$T24&amp;IF($U24="",""," ")&amp;$U24&amp;IF($X24="",""," ")&amp;$X24&amp;IF($X24="","","mcd")</f>
        <v>TC2070-FP SilkScreen &amp; Pads</v>
      </c>
      <c r="D24" t="str" s="16" cm="1">
        <f t="array" ref="D24">$G24&amp;" "&amp;E24&amp;IF($R24="",""," ")&amp;$R24&amp;IF($H24="",""," ")&amp;$H24&amp;IF($S24="",""," ")&amp;$S24&amp;IF($T24="",""," ")&amp;$T24&amp;IF($U24="",""," ")&amp;$U24&amp;IF($X24="",""," ")&amp;$X24&amp;IF($X24="","","mcd")</f>
        <v>TC2070-FP CON SilkScreen &amp; Pads</v>
      </c>
      <c r="E24" t="s" s="17">
        <v>154</v>
      </c>
      <c r="F24" t="s" s="17">
        <v>40</v>
      </c>
      <c r="G24" t="str" s="18" cm="1">
        <f t="array" ref="G24">J24</f>
        <v>TC2070-FP</v>
      </c>
      <c r="H24" t="s" s="17">
        <v>156</v>
      </c>
      <c r="I24" t="s" s="19">
        <v>193</v>
      </c>
      <c r="J24" t="str" s="18" cm="1">
        <f t="array" ref="J24">AG24</f>
        <v>TC2070-FP</v>
      </c>
      <c r="K24" s="17"/>
      <c r="L24" s="17"/>
      <c r="M24" s="17"/>
      <c r="N24" s="17"/>
      <c r="O24" t="s" s="17">
        <v>170</v>
      </c>
      <c r="P24" t="s" s="17">
        <v>194</v>
      </c>
      <c r="Q24" t="s" s="17">
        <v>160</v>
      </c>
      <c r="R24" s="17"/>
      <c r="S24" s="17"/>
      <c r="T24" s="17"/>
      <c r="U24" s="17"/>
      <c r="V24" s="17"/>
      <c r="W24" s="17"/>
      <c r="X24" s="17"/>
      <c r="Y24" s="17"/>
      <c r="Z24" s="18"/>
      <c r="AA24" s="18"/>
      <c r="AB24" s="18"/>
      <c r="AC24" t="str" s="20" cm="1">
        <f t="array" ref="AC24">IF(ISBLANK(AB24),"",HYPERLINK("https://jlcpcb.com/partdetail/"&amp;$AB24,$AB24))</f>
      </c>
      <c r="AD24" s="21">
        <v>10</v>
      </c>
      <c r="AE24" s="18"/>
      <c r="AF24" t="s" s="25">
        <v>161</v>
      </c>
      <c r="AG24" t="s" s="17">
        <v>195</v>
      </c>
      <c r="AH24" t="s" s="22">
        <v>196</v>
      </c>
      <c r="AI24" t="s" s="23">
        <v>197</v>
      </c>
      <c r="AJ24" s="18"/>
    </row>
    <row r="25" ht="18.9" customHeight="1">
      <c r="B25" t="str" s="15" cm="1">
        <f t="array" ref="B25">E25&amp;"_"&amp;G25</f>
        <v>SWI_EDG104S</v>
      </c>
      <c r="C25" t="str" s="16" cm="1">
        <f t="array" ref="C25">$G25&amp;IF($E25="LED"," LED","")&amp;IF($R25="",""," ")&amp;$R25&amp;IF($H25="",""," ")&amp;$H25&amp;IF($S25="",""," ")&amp;$S25&amp;IF($T25="",""," ")&amp;$T25&amp;IF($U25="",""," ")&amp;$U25&amp;IF($X25="",""," ")&amp;$X25&amp;IF($X25="","","mcd")</f>
        <v>EDG104S SPSTx4 DIP</v>
      </c>
      <c r="D25" t="str" s="16" cm="1">
        <f t="array" ref="D25">$G25&amp;" "&amp;E25&amp;IF($R25="",""," ")&amp;$R25&amp;IF($H25="",""," ")&amp;$H25&amp;IF($S25="",""," ")&amp;$S25&amp;IF($T25="",""," ")&amp;$T25&amp;IF($U25="",""," ")&amp;$U25&amp;IF($X25="",""," ")&amp;$X25&amp;IF($X25="","","mcd")</f>
        <v>EDG104S SWI SPSTx4 DIP</v>
      </c>
      <c r="E25" t="s" s="17">
        <v>201</v>
      </c>
      <c r="F25" t="s" s="19">
        <v>202</v>
      </c>
      <c r="G25" t="str" s="18" cm="1">
        <f t="array" ref="G25">J25</f>
        <v>EDG104S</v>
      </c>
      <c r="H25" t="s" s="17">
        <v>204</v>
      </c>
      <c r="I25" t="s" s="19">
        <v>205</v>
      </c>
      <c r="J25" t="str" s="18" cm="1">
        <f t="array" ref="J25">AG25</f>
        <v>EDG104S</v>
      </c>
      <c r="K25" s="17"/>
      <c r="L25" s="17"/>
      <c r="M25" s="17"/>
      <c r="N25" t="s" s="17">
        <v>206</v>
      </c>
      <c r="O25" t="s" s="17">
        <v>207</v>
      </c>
      <c r="P25" t="s" s="17">
        <v>208</v>
      </c>
      <c r="Q25" t="s" s="17">
        <v>160</v>
      </c>
      <c r="R25" s="17"/>
      <c r="S25" s="17"/>
      <c r="T25" s="17"/>
      <c r="U25" s="17"/>
      <c r="V25" s="17"/>
      <c r="W25" s="17"/>
      <c r="X25" s="17"/>
      <c r="Y25" s="17"/>
      <c r="Z25" s="24"/>
      <c r="AA25" s="24"/>
      <c r="AB25" t="s" s="19">
        <v>209</v>
      </c>
      <c r="AC25" t="str" s="20" cm="1">
        <f t="array" ref="AC25">IF(ISBLANK(AB25),"",HYPERLINK("https://jlcpcb.com/partdetail/"&amp;$AB25,$AB25))</f>
        <v>C840579</v>
      </c>
      <c r="AD25" s="21">
        <v>10</v>
      </c>
      <c r="AE25" t="s" s="17">
        <v>211</v>
      </c>
      <c r="AF25" t="s" s="25">
        <v>212</v>
      </c>
      <c r="AG25" t="s" s="17">
        <v>213</v>
      </c>
      <c r="AH25" t="s" s="22">
        <v>214</v>
      </c>
      <c r="AI25" t="s" s="23">
        <v>214</v>
      </c>
      <c r="AJ25" t="s" s="17">
        <v>215</v>
      </c>
    </row>
    <row r="26" ht="18.9" customHeight="1">
      <c r="B26" t="str" s="15" cm="1">
        <f t="array" ref="B26">E26&amp;"_"&amp;G26</f>
        <v>SWI_6x6x6mm_PTH</v>
      </c>
      <c r="C26" t="str" s="16" cm="1">
        <f t="array" ref="C26">$G26&amp;IF($E26="LED"," LED","")&amp;IF($R26="",""," ")&amp;$R26&amp;IF($H26="",""," ")&amp;$H26&amp;IF($S26="",""," ")&amp;$S26&amp;IF($T26="",""," ")&amp;$T26&amp;IF($U26="",""," ")&amp;$U26&amp;IF($X26="",""," ")&amp;$X26&amp;IF($X26="","","mcd")</f>
        <v>6x6x6mm_PTH SPSTx1 6mm Momentary</v>
      </c>
      <c r="D26" t="str" s="16" cm="1">
        <f t="array" ref="D26">$G26&amp;" "&amp;E26&amp;IF($R26="",""," ")&amp;$R26&amp;IF($H26="",""," ")&amp;$H26&amp;IF($S26="",""," ")&amp;$S26&amp;IF($T26="",""," ")&amp;$T26&amp;IF($U26="",""," ")&amp;$U26&amp;IF($X26="",""," ")&amp;$X26&amp;IF($X26="","","mcd")</f>
        <v>6x6x6mm_PTH SWI SPSTx1 6mm Momentary</v>
      </c>
      <c r="E26" t="s" s="17">
        <v>201</v>
      </c>
      <c r="F26" t="s" s="19">
        <v>202</v>
      </c>
      <c r="G26" t="str" s="18" cm="1">
        <f t="array" ref="G26">J26</f>
        <v>6x6x6mm_PTH</v>
      </c>
      <c r="H26" t="s" s="17">
        <v>220</v>
      </c>
      <c r="I26" t="s" s="19">
        <v>221</v>
      </c>
      <c r="J26" t="s" s="19">
        <v>219</v>
      </c>
      <c r="K26" s="17"/>
      <c r="L26" s="17"/>
      <c r="M26" s="17"/>
      <c r="N26" t="s" s="17">
        <v>222</v>
      </c>
      <c r="O26" t="s" s="17">
        <v>202</v>
      </c>
      <c r="P26" t="s" s="17">
        <v>223</v>
      </c>
      <c r="Q26" s="17"/>
      <c r="R26" s="17"/>
      <c r="S26" s="17"/>
      <c r="T26" s="17"/>
      <c r="U26" s="17"/>
      <c r="V26" s="17"/>
      <c r="W26" s="17"/>
      <c r="X26" s="17"/>
      <c r="Y26" s="17"/>
      <c r="Z26" s="24"/>
      <c r="AA26" s="24"/>
      <c r="AB26" t="s" s="19">
        <v>224</v>
      </c>
      <c r="AC26" t="str" s="20" cm="1">
        <f t="array" ref="AC26">IF(ISBLANK(AB26),"",HYPERLINK("https://jlcpcb.com/partdetail/"&amp;$AB26,$AB26))</f>
        <v>C5340138</v>
      </c>
      <c r="AD26" s="21">
        <v>10</v>
      </c>
      <c r="AE26" t="s" s="17">
        <v>211</v>
      </c>
      <c r="AF26" t="s" s="26">
        <v>226</v>
      </c>
      <c r="AG26" t="s" s="19">
        <v>227</v>
      </c>
      <c r="AH26" t="s" s="22">
        <v>228</v>
      </c>
      <c r="AI26" t="s" s="23">
        <v>229</v>
      </c>
      <c r="AJ26" t="s" s="17">
        <v>230</v>
      </c>
    </row>
    <row r="27" ht="18.9" customHeight="1">
      <c r="B27" t="str" s="15" cm="1">
        <f t="array" ref="B27">E27&amp;"_"&amp;G27</f>
        <v>SWI_6x6x6mm_SMD</v>
      </c>
      <c r="C27" t="str" s="16" cm="1">
        <f t="array" ref="C27">$G27&amp;IF($E27="LED"," LED","")&amp;IF($R27="",""," ")&amp;$R27&amp;IF($H27="",""," ")&amp;$H27&amp;IF($S27="",""," ")&amp;$S27&amp;IF($T27="",""," ")&amp;$T27&amp;IF($U27="",""," ")&amp;$U27&amp;IF($X27="",""," ")&amp;$X27&amp;IF($X27="","","mcd")</f>
        <v>6x6x6mm_SMD SPSTx1 6mm Momentary</v>
      </c>
      <c r="D27" t="str" s="16" cm="1">
        <f t="array" ref="D27">$G27&amp;" "&amp;E27&amp;IF($R27="",""," ")&amp;$R27&amp;IF($H27="",""," ")&amp;$H27&amp;IF($S27="",""," ")&amp;$S27&amp;IF($T27="",""," ")&amp;$T27&amp;IF($U27="",""," ")&amp;$U27&amp;IF($X27="",""," ")&amp;$X27&amp;IF($X27="","","mcd")</f>
        <v>6x6x6mm_SMD SWI SPSTx1 6mm Momentary</v>
      </c>
      <c r="E27" t="s" s="17">
        <v>201</v>
      </c>
      <c r="F27" t="s" s="17">
        <v>5</v>
      </c>
      <c r="G27" t="str" s="18" cm="1">
        <f t="array" ref="G27">J27</f>
        <v>6x6x6mm_SMD</v>
      </c>
      <c r="H27" t="s" s="17">
        <v>220</v>
      </c>
      <c r="I27" t="s" s="19">
        <v>235</v>
      </c>
      <c r="J27" t="s" s="19">
        <v>234</v>
      </c>
      <c r="K27" s="17"/>
      <c r="L27" s="17"/>
      <c r="M27" s="17"/>
      <c r="N27" t="s" s="17">
        <v>222</v>
      </c>
      <c r="O27" t="s" s="17">
        <v>5</v>
      </c>
      <c r="P27" t="s" s="17">
        <v>223</v>
      </c>
      <c r="Q27" s="17"/>
      <c r="R27" s="17"/>
      <c r="S27" s="17"/>
      <c r="T27" s="17"/>
      <c r="U27" s="17"/>
      <c r="V27" s="17"/>
      <c r="W27" s="17"/>
      <c r="X27" s="17"/>
      <c r="Y27" s="17"/>
      <c r="Z27" s="24"/>
      <c r="AA27" s="24"/>
      <c r="AB27" t="s" s="19">
        <v>236</v>
      </c>
      <c r="AC27" t="str" s="20" cm="1">
        <f t="array" ref="AC27">IF(ISBLANK(AB27),"",HYPERLINK("https://jlcpcb.com/partdetail/"&amp;$AB27,$AB27))</f>
        <v>C5340123</v>
      </c>
      <c r="AD27" s="21">
        <v>10</v>
      </c>
      <c r="AE27" t="s" s="17">
        <v>211</v>
      </c>
      <c r="AF27" t="s" s="26">
        <v>226</v>
      </c>
      <c r="AG27" t="s" s="19">
        <v>238</v>
      </c>
      <c r="AH27" t="s" s="22">
        <v>228</v>
      </c>
      <c r="AI27" t="s" s="23">
        <v>239</v>
      </c>
      <c r="AJ27" t="s" s="17">
        <v>240</v>
      </c>
    </row>
    <row r="28" ht="18.9" customHeight="1">
      <c r="B28" t="str" s="15" cm="1">
        <f t="array" ref="B28">E28&amp;"_"&amp;G28</f>
        <v>CON_DCJ0202</v>
      </c>
      <c r="C28" t="str" s="16" cm="1">
        <f t="array" ref="C28">$G28&amp;IF($E28="LED"," LED","")&amp;IF($R28="",""," ")&amp;$R28&amp;IF($H28="",""," ")&amp;$H28&amp;IF($S28="",""," ")&amp;$S28&amp;IF($T28="",""," ")&amp;$T28&amp;IF($U28="",""," ")&amp;$U28&amp;IF($X28="",""," ")&amp;$X28&amp;IF($X28="","","mcd")</f>
        <v>DCJ0202 Power Connector</v>
      </c>
      <c r="D28" t="str" s="16" cm="1">
        <f t="array" ref="D28">$G28&amp;" "&amp;E28&amp;IF($R28="",""," ")&amp;$R28&amp;IF($H28="",""," ")&amp;$H28&amp;IF($S28="",""," ")&amp;$S28&amp;IF($T28="",""," ")&amp;$T28&amp;IF($U28="",""," ")&amp;$U28&amp;IF($X28="",""," ")&amp;$X28&amp;IF($X28="","","mcd")</f>
        <v>DCJ0202 CON Power Connector</v>
      </c>
      <c r="E28" t="s" s="17">
        <v>154</v>
      </c>
      <c r="F28" t="s" s="19">
        <v>202</v>
      </c>
      <c r="G28" t="str" s="18" cm="1">
        <f t="array" ref="G28">J28</f>
        <v>DCJ0202</v>
      </c>
      <c r="H28" t="s" s="17">
        <v>245</v>
      </c>
      <c r="I28" t="s" s="19">
        <v>246</v>
      </c>
      <c r="J28" t="str" s="18" cm="1">
        <f t="array" ref="J28">AG28</f>
        <v>DCJ0202</v>
      </c>
      <c r="K28" s="17"/>
      <c r="L28" s="17"/>
      <c r="M28" s="17"/>
      <c r="N28" s="17"/>
      <c r="O28" s="17"/>
      <c r="P28" t="s" s="17">
        <v>247</v>
      </c>
      <c r="Q28" s="17"/>
      <c r="R28" s="17"/>
      <c r="S28" s="17"/>
      <c r="T28" s="17"/>
      <c r="U28" s="17"/>
      <c r="V28" s="17"/>
      <c r="W28" s="17"/>
      <c r="X28" s="17"/>
      <c r="Y28" s="17"/>
      <c r="Z28" s="18"/>
      <c r="AA28" s="18"/>
      <c r="AB28" s="18"/>
      <c r="AC28" t="str" s="20" cm="1">
        <f t="array" ref="AC28">IF(ISBLANK(AB28),"",HYPERLINK("https://jlcpcb.com/partdetail/"&amp;$AB28,$AB28))</f>
      </c>
      <c r="AD28" s="21">
        <v>10</v>
      </c>
      <c r="AE28" t="s" s="17">
        <v>211</v>
      </c>
      <c r="AF28" s="15"/>
      <c r="AG28" t="s" s="17">
        <v>248</v>
      </c>
      <c r="AH28" t="s" s="22">
        <v>249</v>
      </c>
      <c r="AI28" t="s" s="23">
        <v>250</v>
      </c>
      <c r="AJ28" s="18"/>
    </row>
    <row r="29" ht="18.9" customHeight="1">
      <c r="B29" t="str" s="15" cm="1">
        <f t="array" ref="B29">E29&amp;"_"&amp;G29</f>
        <v>CON_1x02-0.100</v>
      </c>
      <c r="C29" t="str" s="16" cm="1">
        <f t="array" ref="C29">$G29&amp;IF($E29="LED"," LED","")&amp;IF($R29="",""," ")&amp;$R29&amp;IF($H29="",""," ")&amp;$H29&amp;IF($S29="",""," ")&amp;$S29&amp;IF($T29="",""," ")&amp;$T29&amp;IF($U29="",""," ")&amp;$U29&amp;IF($X29="",""," ")&amp;$X29&amp;IF($X29="","","mcd")</f>
        <v>1x02-0.100 Male Header</v>
      </c>
      <c r="D29" t="str" s="16" cm="1">
        <f t="array" ref="D29">$G29&amp;" "&amp;E29&amp;IF($R29="",""," ")&amp;$R29&amp;IF($H29="",""," ")&amp;$H29&amp;IF($S29="",""," ")&amp;$S29&amp;IF($T29="",""," ")&amp;$T29&amp;IF($U29="",""," ")&amp;$U29&amp;IF($X29="",""," ")&amp;$X29&amp;IF($X29="","","mcd")</f>
        <v>1x02-0.100 CON Male Header</v>
      </c>
      <c r="E29" t="s" s="17">
        <v>154</v>
      </c>
      <c r="F29" t="s" s="19">
        <v>202</v>
      </c>
      <c r="G29" t="str" s="18" cm="1">
        <f t="array" ref="G29">J29</f>
        <v>1x02-0.100</v>
      </c>
      <c r="H29" t="s" s="17">
        <v>255</v>
      </c>
      <c r="I29" t="s" s="19">
        <v>256</v>
      </c>
      <c r="J29" t="s" s="17">
        <v>257</v>
      </c>
      <c r="K29" s="17"/>
      <c r="L29" s="17"/>
      <c r="M29" s="17"/>
      <c r="N29" s="17"/>
      <c r="O29" s="17"/>
      <c r="P29" t="s" s="17">
        <v>258</v>
      </c>
      <c r="Q29" t="s" s="17">
        <v>259</v>
      </c>
      <c r="R29" s="17"/>
      <c r="S29" s="17"/>
      <c r="T29" s="17"/>
      <c r="U29" s="17"/>
      <c r="V29" s="17"/>
      <c r="W29" s="17"/>
      <c r="X29" s="17"/>
      <c r="Y29" s="17"/>
      <c r="Z29" s="18"/>
      <c r="AA29" s="18"/>
      <c r="AB29" s="18"/>
      <c r="AC29" t="str" s="20" cm="1">
        <f t="array" ref="AC29">IF(ISBLANK(AB29),"",HYPERLINK("https://jlcpcb.com/partdetail/"&amp;$AB29,$AB29))</f>
      </c>
      <c r="AD29" s="21">
        <v>10</v>
      </c>
      <c r="AE29" t="s" s="17">
        <v>211</v>
      </c>
      <c r="AF29" s="15"/>
      <c r="AG29" s="18"/>
      <c r="AH29" t="s" s="22">
        <v>260</v>
      </c>
      <c r="AI29" t="s" s="23">
        <v>261</v>
      </c>
      <c r="AJ29" s="18"/>
    </row>
    <row r="30" ht="18.9" customHeight="1">
      <c r="B30" t="str" s="15" cm="1">
        <f t="array" ref="B30">E30&amp;"_"&amp;G30</f>
        <v>CON_1x03-0.100</v>
      </c>
      <c r="C30" t="str" s="16" cm="1">
        <f t="array" ref="C30">$G30&amp;IF($E30="LED"," LED","")&amp;IF($R30="",""," ")&amp;$R30&amp;IF($H30="",""," ")&amp;$H30&amp;IF($S30="",""," ")&amp;$S30&amp;IF($T30="",""," ")&amp;$T30&amp;IF($U30="",""," ")&amp;$U30&amp;IF($X30="",""," ")&amp;$X30&amp;IF($X30="","","mcd")</f>
        <v>1x03-0.100 Male Header</v>
      </c>
      <c r="D30" t="str" s="16" cm="1">
        <f t="array" ref="D30">$G30&amp;" "&amp;E30&amp;IF($R30="",""," ")&amp;$R30&amp;IF($H30="",""," ")&amp;$H30&amp;IF($S30="",""," ")&amp;$S30&amp;IF($T30="",""," ")&amp;$T30&amp;IF($U30="",""," ")&amp;$U30&amp;IF($X30="",""," ")&amp;$X30&amp;IF($X30="","","mcd")</f>
        <v>1x03-0.100 CON Male Header</v>
      </c>
      <c r="E30" t="s" s="17">
        <v>154</v>
      </c>
      <c r="F30" t="s" s="19">
        <v>202</v>
      </c>
      <c r="G30" t="str" s="18" cm="1">
        <f t="array" ref="G30">J30</f>
        <v>1x03-0.100</v>
      </c>
      <c r="H30" t="s" s="17">
        <v>255</v>
      </c>
      <c r="I30" t="s" s="19">
        <v>266</v>
      </c>
      <c r="J30" t="s" s="17">
        <v>267</v>
      </c>
      <c r="K30" s="17"/>
      <c r="L30" s="17"/>
      <c r="M30" s="17"/>
      <c r="N30" s="17"/>
      <c r="O30" s="17"/>
      <c r="P30" t="s" s="17">
        <v>268</v>
      </c>
      <c r="Q30" t="s" s="17">
        <v>259</v>
      </c>
      <c r="R30" s="17"/>
      <c r="S30" s="17"/>
      <c r="T30" s="17"/>
      <c r="U30" s="17"/>
      <c r="V30" s="17"/>
      <c r="W30" s="17"/>
      <c r="X30" s="17"/>
      <c r="Y30" s="17"/>
      <c r="Z30" s="18"/>
      <c r="AA30" s="18"/>
      <c r="AB30" s="18"/>
      <c r="AC30" t="str" s="20" cm="1">
        <f t="array" ref="AC30">IF(ISBLANK(AB30),"",HYPERLINK("https://jlcpcb.com/partdetail/"&amp;$AB30,$AB30))</f>
      </c>
      <c r="AD30" s="21">
        <v>10</v>
      </c>
      <c r="AE30" t="s" s="17">
        <v>211</v>
      </c>
      <c r="AF30" s="15"/>
      <c r="AG30" s="18"/>
      <c r="AH30" t="s" s="22">
        <v>269</v>
      </c>
      <c r="AI30" t="s" s="23">
        <v>270</v>
      </c>
      <c r="AJ30" s="18"/>
    </row>
    <row r="31" ht="18.9" customHeight="1">
      <c r="B31" t="str" s="15" cm="1">
        <f t="array" ref="B31">E31&amp;"_"&amp;G31</f>
        <v>CON_1x04-0.100</v>
      </c>
      <c r="C31" t="str" s="16" cm="1">
        <f t="array" ref="C31">$G31&amp;IF($E31="LED"," LED","")&amp;IF($R31="",""," ")&amp;$R31&amp;IF($H31="",""," ")&amp;$H31&amp;IF($S31="",""," ")&amp;$S31&amp;IF($T31="",""," ")&amp;$T31&amp;IF($U31="",""," ")&amp;$U31&amp;IF($X31="",""," ")&amp;$X31&amp;IF($X31="","","mcd")</f>
        <v>1x04-0.100 Male Header</v>
      </c>
      <c r="D31" t="str" s="16" cm="1">
        <f t="array" ref="D31">$G31&amp;" "&amp;E31&amp;IF($R31="",""," ")&amp;$R31&amp;IF($H31="",""," ")&amp;$H31&amp;IF($S31="",""," ")&amp;$S31&amp;IF($T31="",""," ")&amp;$T31&amp;IF($U31="",""," ")&amp;$U31&amp;IF($X31="",""," ")&amp;$X31&amp;IF($X31="","","mcd")</f>
        <v>1x04-0.100 CON Male Header</v>
      </c>
      <c r="E31" t="s" s="17">
        <v>154</v>
      </c>
      <c r="F31" t="s" s="19">
        <v>202</v>
      </c>
      <c r="G31" t="str" s="18" cm="1">
        <f t="array" ref="G31">J31</f>
        <v>1x04-0.100</v>
      </c>
      <c r="H31" t="s" s="17">
        <v>255</v>
      </c>
      <c r="I31" t="s" s="19">
        <v>275</v>
      </c>
      <c r="J31" t="s" s="17">
        <v>276</v>
      </c>
      <c r="K31" s="17"/>
      <c r="L31" s="17"/>
      <c r="M31" s="17"/>
      <c r="N31" s="17"/>
      <c r="O31" s="17"/>
      <c r="P31" t="s" s="17">
        <v>277</v>
      </c>
      <c r="Q31" t="s" s="17">
        <v>259</v>
      </c>
      <c r="R31" s="17"/>
      <c r="S31" s="17"/>
      <c r="T31" s="17"/>
      <c r="U31" s="17"/>
      <c r="V31" s="17"/>
      <c r="W31" s="17"/>
      <c r="X31" s="17"/>
      <c r="Y31" s="17"/>
      <c r="Z31" s="18"/>
      <c r="AA31" s="18"/>
      <c r="AB31" s="18"/>
      <c r="AC31" t="str" s="20" cm="1">
        <f t="array" ref="AC31">IF(ISBLANK(AB31),"",HYPERLINK("https://jlcpcb.com/partdetail/"&amp;$AB31,$AB31))</f>
      </c>
      <c r="AD31" s="21">
        <v>10</v>
      </c>
      <c r="AE31" t="s" s="17">
        <v>211</v>
      </c>
      <c r="AF31" s="15"/>
      <c r="AG31" s="18"/>
      <c r="AH31" t="s" s="22">
        <v>278</v>
      </c>
      <c r="AI31" t="s" s="23">
        <v>279</v>
      </c>
      <c r="AJ31" s="18"/>
    </row>
    <row r="32" ht="18.9" customHeight="1">
      <c r="B32" t="str" s="15" cm="1">
        <f t="array" ref="B32">E32&amp;"_"&amp;G32</f>
        <v>CON_1x06-0.100</v>
      </c>
      <c r="C32" t="str" s="16" cm="1">
        <f t="array" ref="C32">$G32&amp;IF($E32="LED"," LED","")&amp;IF($R32="",""," ")&amp;$R32&amp;IF($H32="",""," ")&amp;$H32&amp;IF($S32="",""," ")&amp;$S32&amp;IF($T32="",""," ")&amp;$T32&amp;IF($U32="",""," ")&amp;$U32&amp;IF($X32="",""," ")&amp;$X32&amp;IF($X32="","","mcd")</f>
        <v>1x06-0.100 Male Header</v>
      </c>
      <c r="D32" t="str" s="16" cm="1">
        <f t="array" ref="D32">$G32&amp;" "&amp;E32&amp;IF($R32="",""," ")&amp;$R32&amp;IF($H32="",""," ")&amp;$H32&amp;IF($S32="",""," ")&amp;$S32&amp;IF($T32="",""," ")&amp;$T32&amp;IF($U32="",""," ")&amp;$U32&amp;IF($X32="",""," ")&amp;$X32&amp;IF($X32="","","mcd")</f>
        <v>1x06-0.100 CON Male Header</v>
      </c>
      <c r="E32" t="s" s="17">
        <v>154</v>
      </c>
      <c r="F32" t="s" s="19">
        <v>202</v>
      </c>
      <c r="G32" t="str" s="18" cm="1">
        <f t="array" ref="G32">J32</f>
        <v>1x06-0.100</v>
      </c>
      <c r="H32" t="s" s="17">
        <v>255</v>
      </c>
      <c r="I32" t="s" s="19">
        <v>284</v>
      </c>
      <c r="J32" t="s" s="17">
        <v>285</v>
      </c>
      <c r="K32" s="17"/>
      <c r="L32" s="17"/>
      <c r="M32" s="17"/>
      <c r="N32" s="17"/>
      <c r="O32" s="17"/>
      <c r="P32" t="s" s="17">
        <v>286</v>
      </c>
      <c r="Q32" t="s" s="17">
        <v>259</v>
      </c>
      <c r="R32" s="17"/>
      <c r="S32" s="17"/>
      <c r="T32" s="17"/>
      <c r="U32" s="17"/>
      <c r="V32" s="17"/>
      <c r="W32" s="17"/>
      <c r="X32" s="17"/>
      <c r="Y32" s="17"/>
      <c r="Z32" s="18"/>
      <c r="AA32" s="18"/>
      <c r="AB32" s="18"/>
      <c r="AC32" t="str" s="20" cm="1">
        <f t="array" ref="AC32">IF(ISBLANK(AB32),"",HYPERLINK("https://jlcpcb.com/partdetail/"&amp;$AB32,$AB32))</f>
      </c>
      <c r="AD32" s="21">
        <v>10</v>
      </c>
      <c r="AE32" t="s" s="17">
        <v>211</v>
      </c>
      <c r="AF32" s="15"/>
      <c r="AG32" s="18"/>
      <c r="AH32" t="s" s="22">
        <v>287</v>
      </c>
      <c r="AI32" t="s" s="23">
        <v>288</v>
      </c>
      <c r="AJ32" s="18"/>
    </row>
    <row r="33" ht="18.9" customHeight="1">
      <c r="B33" t="str" s="15" cm="1">
        <f t="array" ref="B33">E33&amp;"_"&amp;G33</f>
        <v>CON_FTDI-1x6-0.100</v>
      </c>
      <c r="C33" t="str" s="16" cm="1">
        <f t="array" ref="C33">$G33&amp;IF($E33="LED"," LED","")&amp;IF($R33="",""," ")&amp;$R33&amp;IF($H33="",""," ")&amp;$H33&amp;IF($S33="",""," ")&amp;$S33&amp;IF($T33="",""," ")&amp;$T33&amp;IF($U33="",""," ")&amp;$U33&amp;IF($X33="",""," ")&amp;$X33&amp;IF($X33="","","mcd")</f>
        <v>FTDI-1x6-0.100 Male Header</v>
      </c>
      <c r="D33" t="str" s="16" cm="1">
        <f t="array" ref="D33">$G33&amp;" "&amp;E33&amp;IF($R33="",""," ")&amp;$R33&amp;IF($H33="",""," ")&amp;$H33&amp;IF($S33="",""," ")&amp;$S33&amp;IF($T33="",""," ")&amp;$T33&amp;IF($U33="",""," ")&amp;$U33&amp;IF($X33="",""," ")&amp;$X33&amp;IF($X33="","","mcd")</f>
        <v>FTDI-1x6-0.100 CON Male Header</v>
      </c>
      <c r="E33" t="s" s="17">
        <v>154</v>
      </c>
      <c r="F33" t="s" s="19">
        <v>202</v>
      </c>
      <c r="G33" t="str" s="18" cm="1">
        <f t="array" ref="G33">J33</f>
        <v>FTDI-1x6-0.100</v>
      </c>
      <c r="H33" t="s" s="17">
        <v>255</v>
      </c>
      <c r="I33" t="s" s="19">
        <v>293</v>
      </c>
      <c r="J33" t="s" s="17">
        <v>294</v>
      </c>
      <c r="K33" s="17"/>
      <c r="L33" s="17"/>
      <c r="M33" s="17"/>
      <c r="N33" s="17"/>
      <c r="O33" s="17"/>
      <c r="P33" t="s" s="17">
        <v>286</v>
      </c>
      <c r="Q33" t="s" s="17">
        <v>259</v>
      </c>
      <c r="R33" s="17"/>
      <c r="S33" s="17"/>
      <c r="T33" s="17"/>
      <c r="U33" s="17"/>
      <c r="V33" s="17"/>
      <c r="W33" s="17"/>
      <c r="X33" s="17"/>
      <c r="Y33" s="17"/>
      <c r="Z33" s="18"/>
      <c r="AA33" s="18"/>
      <c r="AB33" s="18"/>
      <c r="AC33" t="str" s="20" cm="1">
        <f t="array" ref="AC33">IF(ISBLANK(AB33),"",HYPERLINK("https://jlcpcb.com/partdetail/"&amp;$AB33,$AB33))</f>
      </c>
      <c r="AD33" s="21">
        <v>10</v>
      </c>
      <c r="AE33" t="s" s="17">
        <v>211</v>
      </c>
      <c r="AF33" s="15"/>
      <c r="AG33" s="18"/>
      <c r="AH33" t="s" s="22">
        <v>295</v>
      </c>
      <c r="AI33" t="s" s="23">
        <v>296</v>
      </c>
      <c r="AJ33" s="18"/>
    </row>
    <row r="34" ht="18.9" customHeight="1">
      <c r="B34" t="str" s="15" cm="1">
        <f t="array" ref="B34">E34&amp;"_"&amp;G34</f>
        <v>CON_M5-1x6-0.100</v>
      </c>
      <c r="C34" t="str" s="16" cm="1">
        <f t="array" ref="C34">$G34&amp;IF($E34="LED"," LED","")&amp;IF($R34="",""," ")&amp;$R34&amp;IF($H34="",""," ")&amp;$H34&amp;IF($S34="",""," ")&amp;$S34&amp;IF($T34="",""," ")&amp;$T34&amp;IF($U34="",""," ")&amp;$U34&amp;IF($X34="",""," ")&amp;$X34&amp;IF($X34="","","mcd")</f>
        <v>M5-1x6-0.100 Female Header</v>
      </c>
      <c r="D34" t="str" s="16" cm="1">
        <f t="array" ref="D34">$G34&amp;" "&amp;E34&amp;IF($R34="",""," ")&amp;$R34&amp;IF($H34="",""," ")&amp;$H34&amp;IF($S34="",""," ")&amp;$S34&amp;IF($T34="",""," ")&amp;$T34&amp;IF($U34="",""," ")&amp;$U34&amp;IF($X34="",""," ")&amp;$X34&amp;IF($X34="","","mcd")</f>
        <v>M5-1x6-0.100 CON Female Header</v>
      </c>
      <c r="E34" t="s" s="17">
        <v>154</v>
      </c>
      <c r="F34" t="s" s="19">
        <v>202</v>
      </c>
      <c r="G34" t="str" s="18" cm="1">
        <f t="array" ref="G34">J34</f>
        <v>M5-1x6-0.100</v>
      </c>
      <c r="H34" t="s" s="17">
        <v>301</v>
      </c>
      <c r="I34" t="s" s="19">
        <v>302</v>
      </c>
      <c r="J34" t="s" s="17">
        <v>303</v>
      </c>
      <c r="K34" s="17"/>
      <c r="L34" s="17"/>
      <c r="M34" s="17"/>
      <c r="N34" s="17"/>
      <c r="O34" s="17"/>
      <c r="P34" t="s" s="17">
        <v>286</v>
      </c>
      <c r="Q34" t="s" s="17">
        <v>259</v>
      </c>
      <c r="R34" s="17"/>
      <c r="S34" s="17"/>
      <c r="T34" s="17"/>
      <c r="U34" s="17"/>
      <c r="V34" s="17"/>
      <c r="W34" s="17"/>
      <c r="X34" s="17"/>
      <c r="Y34" s="17"/>
      <c r="Z34" s="18"/>
      <c r="AA34" s="18"/>
      <c r="AB34" s="18"/>
      <c r="AC34" t="str" s="20" cm="1">
        <f t="array" ref="AC34">IF(ISBLANK(AB34),"",HYPERLINK("https://jlcpcb.com/partdetail/"&amp;$AB34,$AB34))</f>
      </c>
      <c r="AD34" s="21">
        <v>10</v>
      </c>
      <c r="AE34" t="s" s="17">
        <v>211</v>
      </c>
      <c r="AF34" s="15"/>
      <c r="AG34" s="18"/>
      <c r="AH34" t="s" s="22">
        <v>304</v>
      </c>
      <c r="AI34" t="s" s="23">
        <v>305</v>
      </c>
      <c r="AJ34" s="18"/>
    </row>
    <row r="35" ht="18.9" customHeight="1">
      <c r="B35" t="str" s="15" cm="1">
        <f t="array" ref="B35">E35&amp;"_"&amp;G35</f>
        <v>CON_SSD1306-1x4-0.100</v>
      </c>
      <c r="C35" t="str" s="16" cm="1">
        <f t="array" ref="C35">$G35&amp;IF($E35="LED"," LED","")&amp;IF($R35="",""," ")&amp;$R35&amp;IF($H35="",""," ")&amp;$H35&amp;IF($S35="",""," ")&amp;$S35&amp;IF($T35="",""," ")&amp;$T35&amp;IF($U35="",""," ")&amp;$U35&amp;IF($X35="",""," ")&amp;$X35&amp;IF($X35="","","mcd")</f>
        <v>SSD1306-1x4-0.100 Male Header</v>
      </c>
      <c r="D35" t="str" s="16" cm="1">
        <f t="array" ref="D35">$G35&amp;" "&amp;E35&amp;IF($R35="",""," ")&amp;$R35&amp;IF($H35="",""," ")&amp;$H35&amp;IF($S35="",""," ")&amp;$S35&amp;IF($T35="",""," ")&amp;$T35&amp;IF($U35="",""," ")&amp;$U35&amp;IF($X35="",""," ")&amp;$X35&amp;IF($X35="","","mcd")</f>
        <v>SSD1306-1x4-0.100 CON Male Header</v>
      </c>
      <c r="E35" t="s" s="17">
        <v>154</v>
      </c>
      <c r="F35" t="s" s="19">
        <v>202</v>
      </c>
      <c r="G35" t="str" s="18" cm="1">
        <f t="array" ref="G35">J35</f>
        <v>SSD1306-1x4-0.100</v>
      </c>
      <c r="H35" t="s" s="17">
        <v>255</v>
      </c>
      <c r="I35" t="s" s="19">
        <v>310</v>
      </c>
      <c r="J35" t="s" s="17">
        <v>311</v>
      </c>
      <c r="K35" s="17"/>
      <c r="L35" s="17"/>
      <c r="M35" s="17"/>
      <c r="N35" s="17"/>
      <c r="O35" s="17"/>
      <c r="P35" t="s" s="17">
        <v>277</v>
      </c>
      <c r="Q35" t="s" s="17">
        <v>259</v>
      </c>
      <c r="R35" s="17"/>
      <c r="S35" s="17"/>
      <c r="T35" s="17"/>
      <c r="U35" s="17"/>
      <c r="V35" s="17"/>
      <c r="W35" s="17"/>
      <c r="X35" s="17"/>
      <c r="Y35" s="17"/>
      <c r="Z35" s="18"/>
      <c r="AA35" s="18"/>
      <c r="AB35" s="18"/>
      <c r="AC35" t="str" s="20" cm="1">
        <f t="array" ref="AC35">IF(ISBLANK(AB35),"",HYPERLINK("https://jlcpcb.com/partdetail/"&amp;$AB35,$AB35))</f>
      </c>
      <c r="AD35" s="21">
        <v>10</v>
      </c>
      <c r="AE35" t="s" s="17">
        <v>211</v>
      </c>
      <c r="AF35" s="15"/>
      <c r="AG35" s="18"/>
      <c r="AH35" t="s" s="22">
        <v>312</v>
      </c>
      <c r="AI35" t="s" s="23">
        <v>313</v>
      </c>
      <c r="AJ35" s="18"/>
    </row>
    <row r="36" ht="18.9" customHeight="1">
      <c r="B36" t="str" s="15" cm="1">
        <f t="array" ref="B36">E36&amp;"_"&amp;G36</f>
        <v>MCU_WT32-ETH01</v>
      </c>
      <c r="C36" t="str" s="16" cm="1">
        <f t="array" ref="C36">$G36&amp;IF($E36="LED"," LED","")&amp;IF($R36="",""," ")&amp;$R36&amp;IF($H36="",""," ")&amp;$H36&amp;IF($S36="",""," ")&amp;$S36&amp;IF($T36="",""," ")&amp;$T36&amp;IF($U36="",""," ")&amp;$U36&amp;IF($X36="",""," ")&amp;$X36&amp;IF($X36="","","mcd")</f>
        <v>WT32-ETH01 ESP32</v>
      </c>
      <c r="D36" t="str" s="16" cm="1">
        <f t="array" ref="D36">$G36&amp;" "&amp;E36&amp;IF($R36="",""," ")&amp;$R36&amp;IF($H36="",""," ")&amp;$H36&amp;IF($S36="",""," ")&amp;$S36&amp;IF($T36="",""," ")&amp;$T36&amp;IF($U36="",""," ")&amp;$U36&amp;IF($X36="",""," ")&amp;$X36&amp;IF($X36="","","mcd")</f>
        <v>WT32-ETH01 MCU ESP32</v>
      </c>
      <c r="E36" t="s" s="17">
        <v>317</v>
      </c>
      <c r="F36" t="s" s="19">
        <v>202</v>
      </c>
      <c r="G36" t="str" s="18" cm="1">
        <f t="array" ref="G36">J36</f>
        <v>WT32-ETH01</v>
      </c>
      <c r="H36" t="s" s="17">
        <v>319</v>
      </c>
      <c r="I36" t="s" s="19">
        <v>320</v>
      </c>
      <c r="J36" t="str" s="18" cm="1">
        <f t="array" ref="J36">AG36</f>
        <v>WT32-ETH01</v>
      </c>
      <c r="K36" s="17"/>
      <c r="L36" s="17"/>
      <c r="M36" s="17"/>
      <c r="N36" s="17"/>
      <c r="O36" s="17"/>
      <c r="P36" t="s" s="17">
        <v>321</v>
      </c>
      <c r="Q36" t="s" s="17">
        <v>322</v>
      </c>
      <c r="R36" s="17"/>
      <c r="S36" s="17"/>
      <c r="T36" s="17"/>
      <c r="U36" s="17"/>
      <c r="V36" s="17"/>
      <c r="W36" s="17"/>
      <c r="X36" s="17"/>
      <c r="Y36" s="17"/>
      <c r="Z36" s="18"/>
      <c r="AA36" s="18"/>
      <c r="AB36" s="18"/>
      <c r="AC36" t="str" s="20" cm="1">
        <f t="array" ref="AC36">IF(ISBLANK(AB36),"",HYPERLINK("https://jlcpcb.com/partdetail/"&amp;$AB36,$AB36))</f>
      </c>
      <c r="AD36" s="21">
        <v>10</v>
      </c>
      <c r="AE36" t="s" s="17">
        <v>211</v>
      </c>
      <c r="AF36" t="s" s="25">
        <v>323</v>
      </c>
      <c r="AG36" t="s" s="17">
        <v>320</v>
      </c>
      <c r="AH36" t="s" s="22">
        <v>324</v>
      </c>
      <c r="AI36" t="s" s="23">
        <v>324</v>
      </c>
      <c r="AJ36" t="s" s="17">
        <v>325</v>
      </c>
    </row>
    <row r="37" ht="18.9" customHeight="1">
      <c r="B37" t="str" s="15" cm="1">
        <f t="array" ref="B37">E37&amp;"_"&amp;G37</f>
        <v>MCU_ESP32-DevKit_V1</v>
      </c>
      <c r="C37" t="str" s="16" cm="1">
        <f t="array" ref="C37">$G37&amp;IF($E37="LED"," LED","")&amp;IF($R37="",""," ")&amp;$R37&amp;IF($H37="",""," ")&amp;$H37&amp;IF($S37="",""," ")&amp;$S37&amp;IF($T37="",""," ")&amp;$T37&amp;IF($U37="",""," ")&amp;$U37&amp;IF($X37="",""," ")&amp;$X37&amp;IF($X37="","","mcd")</f>
        <v>ESP32-DevKit_V1 ESP32</v>
      </c>
      <c r="D37" t="str" s="16" cm="1">
        <f t="array" ref="D37">$G37&amp;" "&amp;E37&amp;IF($R37="",""," ")&amp;$R37&amp;IF($H37="",""," ")&amp;$H37&amp;IF($S37="",""," ")&amp;$S37&amp;IF($T37="",""," ")&amp;$T37&amp;IF($U37="",""," ")&amp;$U37&amp;IF($X37="",""," ")&amp;$X37&amp;IF($X37="","","mcd")</f>
        <v>ESP32-DevKit_V1 MCU ESP32</v>
      </c>
      <c r="E37" t="s" s="17">
        <v>317</v>
      </c>
      <c r="F37" t="s" s="19">
        <v>202</v>
      </c>
      <c r="G37" t="str" s="18" cm="1">
        <f t="array" ref="G37">J37</f>
        <v>ESP32-DevKit_V1</v>
      </c>
      <c r="H37" t="s" s="17">
        <v>319</v>
      </c>
      <c r="I37" t="s" s="19">
        <v>330</v>
      </c>
      <c r="J37" t="str" s="18" cm="1">
        <f t="array" ref="J37">AG37</f>
        <v>ESP32-DevKit_V1</v>
      </c>
      <c r="K37" s="17"/>
      <c r="L37" s="17"/>
      <c r="M37" s="17"/>
      <c r="N37" s="17"/>
      <c r="O37" s="17"/>
      <c r="P37" t="s" s="17">
        <v>331</v>
      </c>
      <c r="Q37" t="s" s="17">
        <v>322</v>
      </c>
      <c r="R37" s="17"/>
      <c r="S37" s="17"/>
      <c r="T37" s="17"/>
      <c r="U37" s="17"/>
      <c r="V37" s="17"/>
      <c r="W37" s="17"/>
      <c r="X37" s="17"/>
      <c r="Y37" s="17"/>
      <c r="Z37" s="18"/>
      <c r="AA37" s="18"/>
      <c r="AB37" s="18"/>
      <c r="AC37" t="str" s="20" cm="1">
        <f t="array" ref="AC37">IF(ISBLANK(AB37),"",HYPERLINK("https://jlcpcb.com/partdetail/"&amp;$AB37,$AB37))</f>
      </c>
      <c r="AD37" s="21">
        <v>10</v>
      </c>
      <c r="AE37" t="s" s="17">
        <v>211</v>
      </c>
      <c r="AF37" t="s" s="25">
        <v>332</v>
      </c>
      <c r="AG37" t="s" s="17">
        <v>333</v>
      </c>
      <c r="AH37" t="s" s="22">
        <v>334</v>
      </c>
      <c r="AI37" t="s" s="23">
        <v>334</v>
      </c>
      <c r="AJ37" t="s" s="17">
        <v>335</v>
      </c>
    </row>
    <row r="38" ht="18.9" customHeight="1">
      <c r="B38" t="str" s="15" cm="1">
        <f t="array" ref="B38">E38&amp;"_"&amp;G38&amp;"_"&amp;H38&amp;"_"&amp;N38&amp;"_"&amp;S38</f>
        <v>CAP_0.01uF_X7R_0603_25V</v>
      </c>
      <c r="C38" t="str" s="16" cm="1">
        <f t="array" ref="C38">$G38&amp;IF($E38="LED"," LED","")&amp;IF($R38="",""," ")&amp;$R38&amp;IF($H38="",""," ")&amp;$H38&amp;IF($S38="",""," ")&amp;$S38&amp;IF($T38="",""," ")&amp;$T38&amp;IF($U38="",""," ")&amp;$U38&amp;IF($X38="",""," ")&amp;$X38&amp;IF($X38="","","mcd")</f>
        <v>0.01uF 10% X7R 25V</v>
      </c>
      <c r="D38" t="str" s="16" cm="1">
        <f t="array" ref="D38">$G38&amp;" "&amp;E38&amp;IF($R38="",""," ")&amp;$R38&amp;IF($H38="",""," ")&amp;$H38&amp;IF($S38="",""," ")&amp;$S38&amp;IF($T38="",""," ")&amp;$T38&amp;IF($U38="",""," ")&amp;$U38&amp;IF($X38="",""," ")&amp;$X38&amp;IF($X38="","","mcd")</f>
        <v>0.01uF CAP 10% X7R 25V</v>
      </c>
      <c r="E38" t="s" s="17">
        <v>339</v>
      </c>
      <c r="F38" t="s" s="17">
        <v>5</v>
      </c>
      <c r="G38" t="str" s="18" cm="1">
        <f t="array" ref="G38">L38</f>
        <v>0.01uF</v>
      </c>
      <c r="H38" t="s" s="17">
        <v>341</v>
      </c>
      <c r="I38" t="s" s="19">
        <v>342</v>
      </c>
      <c r="J38" s="17"/>
      <c r="K38" s="17"/>
      <c r="L38" t="s" s="17">
        <v>343</v>
      </c>
      <c r="M38" s="17"/>
      <c r="N38" t="s" s="17">
        <v>344</v>
      </c>
      <c r="O38" s="17"/>
      <c r="P38" s="17"/>
      <c r="Q38" s="17"/>
      <c r="R38" t="s" s="17">
        <v>345</v>
      </c>
      <c r="S38" t="s" s="17">
        <v>346</v>
      </c>
      <c r="T38" s="17"/>
      <c r="U38" s="17"/>
      <c r="V38" s="17"/>
      <c r="W38" s="17"/>
      <c r="X38" s="17"/>
      <c r="Y38" s="17"/>
      <c r="Z38" s="18"/>
      <c r="AA38" s="18"/>
      <c r="AB38" t="s" s="17">
        <v>347</v>
      </c>
      <c r="AC38" t="str" s="20" cm="1">
        <f t="array" ref="AC38">IF(ISBLANK(AB38),"",HYPERLINK("https://jlcpcb.com/partdetail/"&amp;$AB38,$AB38))</f>
        <v>C1852832</v>
      </c>
      <c r="AD38" s="27">
        <v>1</v>
      </c>
      <c r="AE38" t="s" s="17">
        <v>349</v>
      </c>
      <c r="AF38" t="s" s="25">
        <v>350</v>
      </c>
      <c r="AG38" t="s" s="17">
        <v>351</v>
      </c>
      <c r="AH38" t="s" s="22">
        <v>352</v>
      </c>
      <c r="AI38" t="s" s="23">
        <v>353</v>
      </c>
      <c r="AJ38" t="s" s="17">
        <v>354</v>
      </c>
    </row>
    <row r="39" ht="18.9" customHeight="1">
      <c r="B39" t="str" s="15" cm="1">
        <f t="array" ref="B39">E39&amp;"_"&amp;G39&amp;"_"&amp;H39&amp;"_"&amp;N39&amp;"_"&amp;S39</f>
        <v>CAP_0.01uF_X5R_0603_50V</v>
      </c>
      <c r="C39" t="str" s="16" cm="1">
        <f t="array" ref="C39">$G39&amp;IF($E39="LED"," LED","")&amp;IF($R39="",""," ")&amp;$R39&amp;IF($H39="",""," ")&amp;$H39&amp;IF($S39="",""," ")&amp;$S39&amp;IF($T39="",""," ")&amp;$T39&amp;IF($U39="",""," ")&amp;$U39&amp;IF($X39="",""," ")&amp;$X39&amp;IF($X39="","","mcd")</f>
        <v>0.01uF 10% X5R 50V</v>
      </c>
      <c r="D39" t="str" s="16" cm="1">
        <f t="array" ref="D39">$G39&amp;" "&amp;E39&amp;IF($R39="",""," ")&amp;$R39&amp;IF($H39="",""," ")&amp;$H39&amp;IF($S39="",""," ")&amp;$S39&amp;IF($T39="",""," ")&amp;$T39&amp;IF($U39="",""," ")&amp;$U39&amp;IF($X39="",""," ")&amp;$X39&amp;IF($X39="","","mcd")</f>
        <v>0.01uF CAP 10% X5R 50V</v>
      </c>
      <c r="E39" t="s" s="17">
        <v>339</v>
      </c>
      <c r="F39" t="s" s="17">
        <v>5</v>
      </c>
      <c r="G39" t="str" s="18" cm="1">
        <f t="array" ref="G39">L39</f>
        <v>0.01uF</v>
      </c>
      <c r="H39" t="s" s="17">
        <v>358</v>
      </c>
      <c r="I39" t="s" s="19">
        <v>359</v>
      </c>
      <c r="J39" s="17"/>
      <c r="K39" s="17"/>
      <c r="L39" t="s" s="17">
        <v>343</v>
      </c>
      <c r="M39" s="17"/>
      <c r="N39" t="s" s="17">
        <v>344</v>
      </c>
      <c r="O39" s="17"/>
      <c r="P39" s="17"/>
      <c r="Q39" s="17"/>
      <c r="R39" t="s" s="17">
        <v>345</v>
      </c>
      <c r="S39" t="s" s="17">
        <v>360</v>
      </c>
      <c r="T39" s="17"/>
      <c r="U39" s="17"/>
      <c r="V39" s="17"/>
      <c r="W39" s="17"/>
      <c r="X39" s="17"/>
      <c r="Y39" s="17"/>
      <c r="Z39" s="18"/>
      <c r="AA39" s="18"/>
      <c r="AB39" t="s" s="17">
        <v>361</v>
      </c>
      <c r="AC39" t="str" s="20" cm="1">
        <f t="array" ref="AC39">IF(ISBLANK(AB39),"",HYPERLINK("https://jlcpcb.com/partdetail/"&amp;$AB39,$AB39))</f>
        <v>C3910010</v>
      </c>
      <c r="AD39" s="27">
        <v>2</v>
      </c>
      <c r="AE39" t="s" s="17">
        <v>349</v>
      </c>
      <c r="AF39" t="s" s="25">
        <v>363</v>
      </c>
      <c r="AG39" t="s" s="17">
        <v>364</v>
      </c>
      <c r="AH39" t="s" s="22">
        <v>352</v>
      </c>
      <c r="AI39" t="s" s="23">
        <v>353</v>
      </c>
      <c r="AJ39" t="s" s="17">
        <v>365</v>
      </c>
    </row>
    <row r="40" ht="20.8" customHeight="1">
      <c r="B40" t="str" s="15" cm="1">
        <f t="array" ref="B40">E40&amp;"_"&amp;G40&amp;"_"&amp;H40&amp;"_"&amp;N40&amp;"_"&amp;S40</f>
        <v>CAP_0.01uF_X7R_0603_50V</v>
      </c>
      <c r="C40" t="str" s="16" cm="1">
        <f t="array" ref="C40">$G40&amp;IF($E40="LED"," LED","")&amp;IF($R40="",""," ")&amp;$R40&amp;IF($H40="",""," ")&amp;$H40&amp;IF($S40="",""," ")&amp;$S40&amp;IF($T40="",""," ")&amp;$T40&amp;IF($U40="",""," ")&amp;$U40&amp;IF($X40="",""," ")&amp;$X40&amp;IF($X40="","","mcd")</f>
        <v>0.01uF 10% X7R 50V</v>
      </c>
      <c r="D40" t="str" s="16" cm="1">
        <f t="array" ref="D40">$G40&amp;" "&amp;E40&amp;IF($R40="",""," ")&amp;$R40&amp;IF($H40="",""," ")&amp;$H40&amp;IF($S40="",""," ")&amp;$S40&amp;IF($T40="",""," ")&amp;$T40&amp;IF($U40="",""," ")&amp;$U40&amp;IF($X40="",""," ")&amp;$X40&amp;IF($X40="","","mcd")</f>
        <v>0.01uF CAP 10% X7R 50V</v>
      </c>
      <c r="E40" t="s" s="17">
        <v>339</v>
      </c>
      <c r="F40" t="s" s="17">
        <v>5</v>
      </c>
      <c r="G40" t="str" s="18" cm="1">
        <f t="array" ref="G40">L40</f>
        <v>0.01uF</v>
      </c>
      <c r="H40" t="s" s="17">
        <v>341</v>
      </c>
      <c r="I40" t="s" s="19">
        <v>369</v>
      </c>
      <c r="J40" s="17"/>
      <c r="K40" s="17"/>
      <c r="L40" t="s" s="17">
        <v>343</v>
      </c>
      <c r="M40" s="17"/>
      <c r="N40" t="s" s="17">
        <v>344</v>
      </c>
      <c r="O40" s="17"/>
      <c r="P40" s="17"/>
      <c r="Q40" s="17"/>
      <c r="R40" t="s" s="17">
        <v>345</v>
      </c>
      <c r="S40" t="s" s="17">
        <v>360</v>
      </c>
      <c r="T40" s="17"/>
      <c r="U40" s="17"/>
      <c r="V40" s="17"/>
      <c r="W40" s="17"/>
      <c r="X40" s="17"/>
      <c r="Y40" s="17"/>
      <c r="Z40" s="18"/>
      <c r="AA40" s="18"/>
      <c r="AB40" t="s" s="17">
        <v>370</v>
      </c>
      <c r="AC40" t="str" s="20" cm="1">
        <f t="array" ref="AC40">IF(ISBLANK(AB40),"",HYPERLINK("https://jlcpcb.com/partdetail/"&amp;$AB40,$AB40))</f>
        <v>C100042</v>
      </c>
      <c r="AD40" s="27">
        <v>3</v>
      </c>
      <c r="AE40" t="s" s="17">
        <v>211</v>
      </c>
      <c r="AF40" t="s" s="25">
        <v>350</v>
      </c>
      <c r="AG40" t="s" s="17">
        <v>372</v>
      </c>
      <c r="AH40" t="s" s="22">
        <v>352</v>
      </c>
      <c r="AI40" t="s" s="23">
        <v>353</v>
      </c>
      <c r="AJ40" t="s" s="17">
        <v>373</v>
      </c>
    </row>
    <row r="41" ht="18.9" customHeight="1">
      <c r="B41" t="str" s="15" cm="1">
        <f t="array" ref="B41">E41&amp;"_"&amp;G41&amp;"_"&amp;H41&amp;"_"&amp;N41&amp;"_"&amp;S41</f>
        <v>CAP_0.1uF_X5R_0603_25V</v>
      </c>
      <c r="C41" t="str" s="16" cm="1">
        <f t="array" ref="C41">$G41&amp;IF($E41="LED"," LED","")&amp;IF($R41="",""," ")&amp;$R41&amp;IF($H41="",""," ")&amp;$H41&amp;IF($S41="",""," ")&amp;$S41&amp;IF($T41="",""," ")&amp;$T41&amp;IF($U41="",""," ")&amp;$U41&amp;IF($X41="",""," ")&amp;$X41&amp;IF($X41="","","mcd")</f>
        <v>0.1uF 10% X5R 25V</v>
      </c>
      <c r="D41" t="str" s="16" cm="1">
        <f t="array" ref="D41">$G41&amp;" "&amp;E41&amp;IF($R41="",""," ")&amp;$R41&amp;IF($H41="",""," ")&amp;$H41&amp;IF($S41="",""," ")&amp;$S41&amp;IF($T41="",""," ")&amp;$T41&amp;IF($U41="",""," ")&amp;$U41&amp;IF($X41="",""," ")&amp;$X41&amp;IF($X41="","","mcd")</f>
        <v>0.1uF CAP 10% X5R 25V</v>
      </c>
      <c r="E41" t="s" s="17">
        <v>339</v>
      </c>
      <c r="F41" t="s" s="17">
        <v>5</v>
      </c>
      <c r="G41" t="str" s="18" cm="1">
        <f t="array" ref="G41">L41</f>
        <v>0.1uF</v>
      </c>
      <c r="H41" t="s" s="17">
        <v>358</v>
      </c>
      <c r="I41" t="s" s="19">
        <v>378</v>
      </c>
      <c r="J41" s="17"/>
      <c r="K41" s="17"/>
      <c r="L41" t="s" s="17">
        <v>379</v>
      </c>
      <c r="M41" s="17"/>
      <c r="N41" t="s" s="17">
        <v>344</v>
      </c>
      <c r="O41" s="17"/>
      <c r="P41" s="17"/>
      <c r="Q41" s="17"/>
      <c r="R41" t="s" s="17">
        <v>345</v>
      </c>
      <c r="S41" t="s" s="17">
        <v>346</v>
      </c>
      <c r="T41" s="17"/>
      <c r="U41" s="17"/>
      <c r="V41" s="17"/>
      <c r="W41" s="17"/>
      <c r="X41" s="17"/>
      <c r="Y41" s="17"/>
      <c r="Z41" s="18"/>
      <c r="AA41" s="18"/>
      <c r="AB41" t="s" s="17">
        <v>380</v>
      </c>
      <c r="AC41" t="str" s="20" cm="1">
        <f t="array" ref="AC41">IF(ISBLANK(AB41),"",HYPERLINK("https://jlcpcb.com/partdetail/"&amp;$AB41,$AB41))</f>
        <v>C3853265</v>
      </c>
      <c r="AD41" s="27">
        <v>1</v>
      </c>
      <c r="AE41" t="s" s="17">
        <v>349</v>
      </c>
      <c r="AF41" t="s" s="25">
        <v>363</v>
      </c>
      <c r="AG41" t="s" s="17">
        <v>382</v>
      </c>
      <c r="AH41" t="s" s="22">
        <v>352</v>
      </c>
      <c r="AI41" t="s" s="23">
        <v>353</v>
      </c>
      <c r="AJ41" t="s" s="17">
        <v>365</v>
      </c>
    </row>
    <row r="42" ht="17.35" customHeight="1">
      <c r="B42" t="str" s="15" cm="1">
        <f t="array" ref="B42">E42&amp;"_"&amp;G42&amp;"_"&amp;H42&amp;"_"&amp;N42&amp;"_"&amp;S42</f>
        <v>CAP_0.1uF_X7R_0603_50V</v>
      </c>
      <c r="C42" t="str" s="16" cm="1">
        <f t="array" ref="C42">$G42&amp;IF($E42="LED"," LED","")&amp;IF($R42="",""," ")&amp;$R42&amp;IF($H42="",""," ")&amp;$H42&amp;IF($S42="",""," ")&amp;$S42&amp;IF($T42="",""," ")&amp;$T42&amp;IF($U42="",""," ")&amp;$U42&amp;IF($X42="",""," ")&amp;$X42&amp;IF($X42="","","mcd")</f>
        <v>0.1uF 10% X7R 50V</v>
      </c>
      <c r="D42" t="str" s="16" cm="1">
        <f t="array" ref="D42">$G42&amp;" "&amp;E42&amp;IF($R42="",""," ")&amp;$R42&amp;IF($H42="",""," ")&amp;$H42&amp;IF($S42="",""," ")&amp;$S42&amp;IF($T42="",""," ")&amp;$T42&amp;IF($U42="",""," ")&amp;$U42&amp;IF($X42="",""," ")&amp;$X42&amp;IF($X42="","","mcd")</f>
        <v>0.1uF CAP 10% X7R 50V</v>
      </c>
      <c r="E42" t="s" s="17">
        <v>339</v>
      </c>
      <c r="F42" t="s" s="17">
        <v>5</v>
      </c>
      <c r="G42" t="str" s="18" cm="1">
        <f t="array" ref="G42">L42</f>
        <v>0.1uF</v>
      </c>
      <c r="H42" t="s" s="17">
        <v>341</v>
      </c>
      <c r="I42" t="s" s="19">
        <v>386</v>
      </c>
      <c r="J42" s="17"/>
      <c r="K42" s="17"/>
      <c r="L42" t="s" s="17">
        <v>379</v>
      </c>
      <c r="M42" s="17"/>
      <c r="N42" t="s" s="17">
        <v>344</v>
      </c>
      <c r="O42" s="17"/>
      <c r="P42" s="17"/>
      <c r="Q42" s="17"/>
      <c r="R42" t="s" s="17">
        <v>345</v>
      </c>
      <c r="S42" t="s" s="17">
        <v>360</v>
      </c>
      <c r="T42" s="17"/>
      <c r="U42" s="17"/>
      <c r="V42" s="17"/>
      <c r="W42" s="17"/>
      <c r="X42" s="17"/>
      <c r="Y42" s="17"/>
      <c r="Z42" s="18"/>
      <c r="AA42" s="18"/>
      <c r="AB42" t="s" s="17">
        <v>387</v>
      </c>
      <c r="AC42" t="str" s="20" cm="1">
        <f t="array" ref="AC42">IF(ISBLANK(AB42),"",HYPERLINK("https://jlcpcb.com/partdetail/"&amp;$AB42,$AB42))</f>
        <v>C14663</v>
      </c>
      <c r="AD42" s="27">
        <v>2</v>
      </c>
      <c r="AE42" t="s" s="17">
        <v>211</v>
      </c>
      <c r="AF42" t="s" s="25">
        <v>350</v>
      </c>
      <c r="AG42" t="s" s="17">
        <v>389</v>
      </c>
      <c r="AH42" t="s" s="22">
        <v>352</v>
      </c>
      <c r="AI42" t="s" s="23">
        <v>353</v>
      </c>
      <c r="AJ42" t="s" s="17">
        <v>390</v>
      </c>
    </row>
    <row r="43" ht="18.9" customHeight="1">
      <c r="B43" t="str" s="15" cm="1">
        <f t="array" ref="B43">E43&amp;"_"&amp;G43&amp;"_"&amp;H43&amp;"_"&amp;N43&amp;"_"&amp;S43</f>
        <v>CAP_1uF_X5R_0603_25V</v>
      </c>
      <c r="C43" t="str" s="16" cm="1">
        <f t="array" ref="C43">$G43&amp;IF($E43="LED"," LED","")&amp;IF($R43="",""," ")&amp;$R43&amp;IF($H43="",""," ")&amp;$H43&amp;IF($S43="",""," ")&amp;$S43&amp;IF($T43="",""," ")&amp;$T43&amp;IF($U43="",""," ")&amp;$U43&amp;IF($X43="",""," ")&amp;$X43&amp;IF($X43="","","mcd")</f>
        <v>1uF 10% X5R 25V</v>
      </c>
      <c r="D43" t="str" s="16" cm="1">
        <f t="array" ref="D43">$G43&amp;" "&amp;E43&amp;IF($R43="",""," ")&amp;$R43&amp;IF($H43="",""," ")&amp;$H43&amp;IF($S43="",""," ")&amp;$S43&amp;IF($T43="",""," ")&amp;$T43&amp;IF($U43="",""," ")&amp;$U43&amp;IF($X43="",""," ")&amp;$X43&amp;IF($X43="","","mcd")</f>
        <v>1uF CAP 10% X5R 25V</v>
      </c>
      <c r="E43" t="s" s="17">
        <v>339</v>
      </c>
      <c r="F43" t="s" s="17">
        <v>5</v>
      </c>
      <c r="G43" t="str" s="18" cm="1">
        <f t="array" ref="G43">L43</f>
        <v>1uF</v>
      </c>
      <c r="H43" t="s" s="17">
        <v>358</v>
      </c>
      <c r="I43" t="s" s="19">
        <v>395</v>
      </c>
      <c r="J43" s="17"/>
      <c r="K43" s="17"/>
      <c r="L43" t="s" s="17">
        <v>396</v>
      </c>
      <c r="M43" s="17"/>
      <c r="N43" t="s" s="17">
        <v>344</v>
      </c>
      <c r="O43" s="17"/>
      <c r="P43" s="17"/>
      <c r="Q43" s="17"/>
      <c r="R43" t="s" s="17">
        <v>345</v>
      </c>
      <c r="S43" t="s" s="17">
        <v>346</v>
      </c>
      <c r="T43" s="17"/>
      <c r="U43" s="17"/>
      <c r="V43" s="17"/>
      <c r="W43" s="17"/>
      <c r="X43" s="17"/>
      <c r="Y43" s="17"/>
      <c r="Z43" s="18"/>
      <c r="AA43" s="18"/>
      <c r="AB43" t="s" s="17">
        <v>397</v>
      </c>
      <c r="AC43" t="str" s="20" cm="1">
        <f t="array" ref="AC43">IF(ISBLANK(AB43),"",HYPERLINK("https://jlcpcb.com/partdetail/"&amp;$AB43,$AB43))</f>
        <v>C2169859</v>
      </c>
      <c r="AD43" s="27">
        <v>1</v>
      </c>
      <c r="AE43" t="s" s="17">
        <v>349</v>
      </c>
      <c r="AF43" t="s" s="25">
        <v>399</v>
      </c>
      <c r="AG43" t="s" s="17">
        <v>400</v>
      </c>
      <c r="AH43" t="s" s="22">
        <v>352</v>
      </c>
      <c r="AI43" t="s" s="23">
        <v>353</v>
      </c>
      <c r="AJ43" t="s" s="17">
        <v>401</v>
      </c>
    </row>
    <row r="44" ht="19.5" customHeight="1">
      <c r="B44" t="str" s="15" cm="1">
        <f t="array" ref="B44">E44&amp;"_"&amp;G44&amp;"_"&amp;H44&amp;"_"&amp;N44&amp;"_"&amp;S44</f>
        <v>CAP_1uF_X5R_0603_50V</v>
      </c>
      <c r="C44" t="str" s="16" cm="1">
        <f t="array" ref="C44">$G44&amp;IF($E44="LED"," LED","")&amp;IF($R44="",""," ")&amp;$R44&amp;IF($H44="",""," ")&amp;$H44&amp;IF($S44="",""," ")&amp;$S44&amp;IF($T44="",""," ")&amp;$T44&amp;IF($U44="",""," ")&amp;$U44&amp;IF($X44="",""," ")&amp;$X44&amp;IF($X44="","","mcd")</f>
        <v>1uF 10% X5R 50V</v>
      </c>
      <c r="D44" t="str" s="16" cm="1">
        <f t="array" ref="D44">$G44&amp;" "&amp;E44&amp;IF($R44="",""," ")&amp;$R44&amp;IF($H44="",""," ")&amp;$H44&amp;IF($S44="",""," ")&amp;$S44&amp;IF($T44="",""," ")&amp;$T44&amp;IF($U44="",""," ")&amp;$U44&amp;IF($X44="",""," ")&amp;$X44&amp;IF($X44="","","mcd")</f>
        <v>1uF CAP 10% X5R 50V</v>
      </c>
      <c r="E44" t="s" s="17">
        <v>339</v>
      </c>
      <c r="F44" t="s" s="17">
        <v>5</v>
      </c>
      <c r="G44" t="str" s="18" cm="1">
        <f t="array" ref="G44">L44</f>
        <v>1uF</v>
      </c>
      <c r="H44" t="s" s="17">
        <v>358</v>
      </c>
      <c r="I44" t="s" s="19">
        <v>405</v>
      </c>
      <c r="J44" s="17"/>
      <c r="K44" s="17"/>
      <c r="L44" t="s" s="17">
        <v>396</v>
      </c>
      <c r="M44" s="17"/>
      <c r="N44" t="s" s="17">
        <v>344</v>
      </c>
      <c r="O44" s="17"/>
      <c r="P44" s="17"/>
      <c r="Q44" s="17"/>
      <c r="R44" t="s" s="17">
        <v>345</v>
      </c>
      <c r="S44" t="s" s="17">
        <v>360</v>
      </c>
      <c r="T44" s="17"/>
      <c r="U44" s="17"/>
      <c r="V44" s="17"/>
      <c r="W44" s="17"/>
      <c r="X44" s="17"/>
      <c r="Y44" s="17"/>
      <c r="Z44" s="18"/>
      <c r="AA44" s="18"/>
      <c r="AB44" t="s" s="17">
        <v>406</v>
      </c>
      <c r="AC44" t="str" s="20" cm="1">
        <f t="array" ref="AC44">IF(ISBLANK(AB44),"",HYPERLINK("https://jlcpcb.com/partdetail/"&amp;$AB44,$AB44))</f>
        <v>C15849</v>
      </c>
      <c r="AD44" s="27">
        <v>2</v>
      </c>
      <c r="AE44" t="s" s="17">
        <v>211</v>
      </c>
      <c r="AF44" t="s" s="25">
        <v>408</v>
      </c>
      <c r="AG44" t="s" s="17">
        <v>409</v>
      </c>
      <c r="AH44" t="s" s="22">
        <v>352</v>
      </c>
      <c r="AI44" t="s" s="23">
        <v>353</v>
      </c>
      <c r="AJ44" t="s" s="17">
        <v>410</v>
      </c>
    </row>
    <row r="45" ht="19.5" customHeight="1">
      <c r="B45" t="str" s="15" cm="1">
        <f t="array" ref="B45">E45&amp;"_"&amp;G45&amp;"_"&amp;H45&amp;"_"&amp;N45&amp;"_"&amp;S45</f>
        <v>CAP_10uF_X5R_1206_50V</v>
      </c>
      <c r="C45" t="str" s="16" cm="1">
        <f t="array" ref="C45">$G45&amp;IF($E45="LED"," LED","")&amp;IF($R45="",""," ")&amp;$R45&amp;IF($H45="",""," ")&amp;$H45&amp;IF($S45="",""," ")&amp;$S45&amp;IF($T45="",""," ")&amp;$T45&amp;IF($U45="",""," ")&amp;$U45&amp;IF($X45="",""," ")&amp;$X45&amp;IF($X45="","","mcd")</f>
        <v>10uF 10% X5R 50V</v>
      </c>
      <c r="D45" t="str" s="16" cm="1">
        <f t="array" ref="D45">$G45&amp;" "&amp;E45&amp;IF($R45="",""," ")&amp;$R45&amp;IF($H45="",""," ")&amp;$H45&amp;IF($S45="",""," ")&amp;$S45&amp;IF($T45="",""," ")&amp;$T45&amp;IF($U45="",""," ")&amp;$U45&amp;IF($X45="",""," ")&amp;$X45&amp;IF($X45="","","mcd")</f>
        <v>10uF CAP 10% X5R 50V</v>
      </c>
      <c r="E45" t="s" s="17">
        <v>339</v>
      </c>
      <c r="F45" t="s" s="17">
        <v>5</v>
      </c>
      <c r="G45" t="str" s="18" cm="1">
        <f t="array" ref="G45">L45</f>
        <v>10uF</v>
      </c>
      <c r="H45" t="s" s="17">
        <v>358</v>
      </c>
      <c r="I45" t="s" s="19">
        <v>415</v>
      </c>
      <c r="J45" s="17"/>
      <c r="K45" s="17"/>
      <c r="L45" t="s" s="17">
        <v>416</v>
      </c>
      <c r="M45" s="17"/>
      <c r="N45" t="s" s="17">
        <v>417</v>
      </c>
      <c r="O45" s="17"/>
      <c r="P45" s="17"/>
      <c r="Q45" s="17"/>
      <c r="R45" t="s" s="17">
        <v>345</v>
      </c>
      <c r="S45" t="s" s="17">
        <v>360</v>
      </c>
      <c r="T45" s="17"/>
      <c r="U45" s="17"/>
      <c r="V45" s="17"/>
      <c r="W45" s="17"/>
      <c r="X45" s="17"/>
      <c r="Y45" s="17"/>
      <c r="Z45" s="18"/>
      <c r="AA45" s="18"/>
      <c r="AB45" t="s" s="17">
        <v>418</v>
      </c>
      <c r="AC45" t="str" s="20" cm="1">
        <f t="array" ref="AC45">IF(ISBLANK(AB45),"",HYPERLINK("https://jlcpcb.com/partdetail/"&amp;$AB45,$AB45))</f>
        <v>C13585</v>
      </c>
      <c r="AD45" s="27">
        <v>1</v>
      </c>
      <c r="AE45" t="s" s="17">
        <v>211</v>
      </c>
      <c r="AF45" t="s" s="25">
        <v>408</v>
      </c>
      <c r="AG45" t="s" s="17">
        <v>420</v>
      </c>
      <c r="AH45" t="s" s="22">
        <v>352</v>
      </c>
      <c r="AI45" t="s" s="23">
        <v>421</v>
      </c>
      <c r="AJ45" t="s" s="17">
        <v>422</v>
      </c>
    </row>
    <row r="46" ht="19.5" customHeight="1">
      <c r="B46" t="str" s="15" cm="1">
        <f t="array" ref="B46">E46&amp;"_"&amp;G46&amp;"_"&amp;H46&amp;"_"&amp;N46</f>
        <v>CAP_220uF_Electrolytic_8x10</v>
      </c>
      <c r="C46" t="str" s="16" cm="1">
        <f t="array" ref="C46">$G46&amp;IF($E46="LED"," LED","")&amp;IF($R46="",""," ")&amp;$R46&amp;IF($H46="",""," ")&amp;$H46&amp;IF($S46="",""," ")&amp;$S46&amp;IF($T46="",""," ")&amp;$T46&amp;IF($U46="",""," ")&amp;$U46&amp;IF($X46="",""," ")&amp;$X46&amp;IF($X46="","","mcd")</f>
        <v>220uF 20% Electrolytic 35V</v>
      </c>
      <c r="D46" t="str" s="16" cm="1">
        <f t="array" ref="D46">$G46&amp;" "&amp;E46&amp;IF($R46="",""," ")&amp;$R46&amp;IF($H46="",""," ")&amp;$H46&amp;IF($S46="",""," ")&amp;$S46&amp;IF($T46="",""," ")&amp;$T46&amp;IF($U46="",""," ")&amp;$U46&amp;IF($X46="",""," ")&amp;$X46&amp;IF($X46="","","mcd")</f>
        <v>220uF CAP 20% Electrolytic 35V</v>
      </c>
      <c r="E46" t="s" s="17">
        <v>339</v>
      </c>
      <c r="F46" t="s" s="17">
        <v>5</v>
      </c>
      <c r="G46" t="str" s="18" cm="1">
        <f t="array" ref="G46">L46</f>
        <v>220uF</v>
      </c>
      <c r="H46" t="s" s="17">
        <v>427</v>
      </c>
      <c r="I46" t="s" s="19">
        <v>428</v>
      </c>
      <c r="J46" s="17"/>
      <c r="K46" s="17"/>
      <c r="L46" t="s" s="17">
        <v>429</v>
      </c>
      <c r="M46" s="17"/>
      <c r="N46" t="s" s="17">
        <v>430</v>
      </c>
      <c r="O46" s="17"/>
      <c r="P46" s="17"/>
      <c r="Q46" s="17"/>
      <c r="R46" t="s" s="17">
        <v>431</v>
      </c>
      <c r="S46" t="s" s="17">
        <v>432</v>
      </c>
      <c r="T46" s="17"/>
      <c r="U46" s="17"/>
      <c r="V46" s="17"/>
      <c r="W46" s="17"/>
      <c r="X46" s="17"/>
      <c r="Y46" s="17"/>
      <c r="Z46" s="18"/>
      <c r="AA46" s="18"/>
      <c r="AB46" t="s" s="17">
        <v>433</v>
      </c>
      <c r="AC46" t="str" s="20" cm="1">
        <f t="array" ref="AC46">IF(ISBLANK(AB46),"",HYPERLINK("https://jlcpcb.com/partdetail/"&amp;$AB46,$AB46))</f>
        <v>C136294</v>
      </c>
      <c r="AD46" s="27">
        <v>1</v>
      </c>
      <c r="AE46" t="s" s="17">
        <v>211</v>
      </c>
      <c r="AF46" t="s" s="25">
        <v>435</v>
      </c>
      <c r="AG46" t="s" s="17">
        <v>436</v>
      </c>
      <c r="AH46" t="s" s="22">
        <v>437</v>
      </c>
      <c r="AI46" t="s" s="23">
        <v>438</v>
      </c>
      <c r="AJ46" t="s" s="17">
        <v>439</v>
      </c>
    </row>
    <row r="47" ht="19.5" customHeight="1">
      <c r="B47" t="str" s="15" cm="1">
        <f t="array" ref="B47">E47&amp;"_"&amp;G47&amp;"_"&amp;H47&amp;"_"&amp;N47</f>
        <v>CAP_1000uF_Electrolytic_8x11.5</v>
      </c>
      <c r="C47" t="str" s="16" cm="1">
        <f t="array" ref="C47">$G47&amp;IF($E47="LED"," LED","")&amp;IF($R47="",""," ")&amp;$R47&amp;IF($H47="",""," ")&amp;$H47&amp;IF($S47="",""," ")&amp;$S47&amp;IF($T47="",""," ")&amp;$T47&amp;IF($U47="",""," ")&amp;$U47&amp;IF($X47="",""," ")&amp;$X47&amp;IF($X47="","","mcd")</f>
        <v>1000uF 20% Electrolytic 6.3V</v>
      </c>
      <c r="D47" t="str" s="16" cm="1">
        <f t="array" ref="D47">$G47&amp;" "&amp;E47&amp;IF($R47="",""," ")&amp;$R47&amp;IF($H47="",""," ")&amp;$H47&amp;IF($S47="",""," ")&amp;$S47&amp;IF($T47="",""," ")&amp;$T47&amp;IF($U47="",""," ")&amp;$U47&amp;IF($X47="",""," ")&amp;$X47&amp;IF($X47="","","mcd")</f>
        <v>1000uF CAP 20% Electrolytic 6.3V</v>
      </c>
      <c r="E47" t="s" s="17">
        <v>339</v>
      </c>
      <c r="F47" t="s" s="17">
        <v>202</v>
      </c>
      <c r="G47" t="str" s="18" cm="1">
        <f t="array" ref="G47">L47</f>
        <v>1000uF</v>
      </c>
      <c r="H47" t="s" s="17">
        <v>427</v>
      </c>
      <c r="I47" t="s" s="19">
        <v>444</v>
      </c>
      <c r="J47" s="17"/>
      <c r="K47" s="17"/>
      <c r="L47" t="s" s="17">
        <v>445</v>
      </c>
      <c r="M47" s="17"/>
      <c r="N47" t="s" s="17">
        <v>446</v>
      </c>
      <c r="O47" s="17"/>
      <c r="P47" s="17"/>
      <c r="Q47" s="17"/>
      <c r="R47" t="s" s="17">
        <v>431</v>
      </c>
      <c r="S47" t="s" s="17">
        <v>447</v>
      </c>
      <c r="T47" s="17"/>
      <c r="U47" s="17"/>
      <c r="V47" s="17"/>
      <c r="W47" s="17"/>
      <c r="X47" s="17"/>
      <c r="Y47" s="17"/>
      <c r="Z47" t="s" s="17">
        <v>448</v>
      </c>
      <c r="AA47" t="s" s="17">
        <v>449</v>
      </c>
      <c r="AB47" s="18"/>
      <c r="AC47" t="str" s="20" cm="1">
        <f t="array" ref="AC47">IF(ISBLANK(AB47),"",HYPERLINK("https://jlcpcb.com/partdetail/"&amp;$AB47,$AB47))</f>
      </c>
      <c r="AD47" s="27">
        <v>2</v>
      </c>
      <c r="AE47" s="18"/>
      <c r="AF47" s="15"/>
      <c r="AG47" s="18"/>
      <c r="AH47" t="s" s="22">
        <v>437</v>
      </c>
      <c r="AI47" s="28"/>
      <c r="AJ47" s="18"/>
    </row>
    <row r="48" ht="19.5" customHeight="1">
      <c r="B48" t="str" s="15" cm="1">
        <f t="array" ref="B48">E48&amp;"_"&amp;G48&amp;"_"&amp;H48&amp;"_"&amp;N48</f>
        <v>CAP_1000uF_Electrolytic_10x10.2</v>
      </c>
      <c r="C48" t="str" s="16" cm="1">
        <f t="array" ref="C48">$G48&amp;IF($E48="LED"," LED","")&amp;IF($R48="",""," ")&amp;$R48&amp;IF($H48="",""," ")&amp;$H48&amp;IF($S48="",""," ")&amp;$S48&amp;IF($T48="",""," ")&amp;$T48&amp;IF($U48="",""," ")&amp;$U48&amp;IF($X48="",""," ")&amp;$X48&amp;IF($X48="","","mcd")</f>
        <v>1000uF 20% Electrolytic 16V</v>
      </c>
      <c r="D48" t="str" s="16" cm="1">
        <f t="array" ref="D48">$G48&amp;" "&amp;E48&amp;IF($R48="",""," ")&amp;$R48&amp;IF($H48="",""," ")&amp;$H48&amp;IF($S48="",""," ")&amp;$S48&amp;IF($T48="",""," ")&amp;$T48&amp;IF($U48="",""," ")&amp;$U48&amp;IF($X48="",""," ")&amp;$X48&amp;IF($X48="","","mcd")</f>
        <v>1000uF CAP 20% Electrolytic 16V</v>
      </c>
      <c r="E48" t="s" s="17">
        <v>339</v>
      </c>
      <c r="F48" t="s" s="17">
        <v>5</v>
      </c>
      <c r="G48" t="str" s="18" cm="1">
        <f t="array" ref="G48">L48</f>
        <v>1000uF</v>
      </c>
      <c r="H48" t="s" s="17">
        <v>427</v>
      </c>
      <c r="I48" t="s" s="19">
        <v>453</v>
      </c>
      <c r="J48" s="17"/>
      <c r="K48" s="17"/>
      <c r="L48" t="s" s="17">
        <v>445</v>
      </c>
      <c r="M48" s="17"/>
      <c r="N48" t="s" s="17">
        <v>454</v>
      </c>
      <c r="O48" s="17"/>
      <c r="P48" s="17"/>
      <c r="Q48" s="17"/>
      <c r="R48" t="s" s="17">
        <v>431</v>
      </c>
      <c r="S48" t="s" s="17">
        <v>455</v>
      </c>
      <c r="T48" s="17"/>
      <c r="U48" s="17"/>
      <c r="V48" s="17"/>
      <c r="W48" s="17"/>
      <c r="X48" s="17"/>
      <c r="Y48" s="17"/>
      <c r="Z48" s="29"/>
      <c r="AA48" s="29"/>
      <c r="AB48" t="s" s="30">
        <v>456</v>
      </c>
      <c r="AC48" t="str" s="20" cm="1">
        <f t="array" ref="AC48">IF(ISBLANK(AB48),"",HYPERLINK("https://jlcpcb.com/partdetail/"&amp;$AB48,$AB48))</f>
        <v>C970714</v>
      </c>
      <c r="AD48" s="27">
        <v>1</v>
      </c>
      <c r="AE48" t="s" s="17">
        <v>211</v>
      </c>
      <c r="AF48" t="s" s="25">
        <v>458</v>
      </c>
      <c r="AG48" t="s" s="30">
        <v>459</v>
      </c>
      <c r="AH48" t="s" s="22">
        <v>437</v>
      </c>
      <c r="AI48" t="s" s="23">
        <v>460</v>
      </c>
      <c r="AJ48" t="s" s="17">
        <v>461</v>
      </c>
    </row>
    <row r="49" ht="17.9" customHeight="1">
      <c r="B49" t="str" s="15" cm="1">
        <f t="array" ref="B49">E49&amp;"_"&amp;G49&amp;"_"&amp;N49</f>
        <v>DIO_4.7V_SOD-323</v>
      </c>
      <c r="C49" t="str" s="16" cm="1">
        <f t="array" ref="C49">$G49&amp;IF($E49="LED"," LED","")&amp;IF($R49="",""," ")&amp;$R49&amp;IF($H49="",""," ")&amp;$H49&amp;IF($S49="",""," ")&amp;$S49&amp;IF($T49="",""," ")&amp;$T49&amp;IF($U49="",""," ")&amp;$U49&amp;IF($X49="",""," ")&amp;$X49&amp;IF($X49="","","mcd")</f>
        <v>4.7V zener 4.7V 5mA 200mW</v>
      </c>
      <c r="D49" t="str" s="16" cm="1">
        <f t="array" ref="D49">$G49&amp;" "&amp;E49&amp;IF($R49="",""," ")&amp;$R49&amp;IF($H49="",""," ")&amp;$H49&amp;IF($S49="",""," ")&amp;$S49&amp;IF($T49="",""," ")&amp;$T49&amp;IF($U49="",""," ")&amp;$U49&amp;IF($X49="",""," ")&amp;$X49&amp;IF($X49="","","mcd")</f>
        <v>4.7V DIO zener 4.7V 5mA 200mW</v>
      </c>
      <c r="E49" t="s" s="17">
        <v>465</v>
      </c>
      <c r="F49" t="s" s="17">
        <v>5</v>
      </c>
      <c r="G49" t="str" s="18" cm="1">
        <f t="array" ref="G49">J49</f>
        <v>4.7V</v>
      </c>
      <c r="H49" t="s" s="17">
        <v>467</v>
      </c>
      <c r="I49" t="s" s="31">
        <v>468</v>
      </c>
      <c r="J49" t="s" s="17">
        <v>469</v>
      </c>
      <c r="K49" s="32"/>
      <c r="L49" s="32"/>
      <c r="M49" s="32"/>
      <c r="N49" t="s" s="32">
        <v>470</v>
      </c>
      <c r="O49" s="17"/>
      <c r="P49" s="17"/>
      <c r="Q49" s="17"/>
      <c r="R49" s="17"/>
      <c r="S49" t="s" s="17">
        <v>469</v>
      </c>
      <c r="T49" t="s" s="17">
        <v>471</v>
      </c>
      <c r="U49" t="s" s="17">
        <v>472</v>
      </c>
      <c r="V49" s="17"/>
      <c r="W49" s="17"/>
      <c r="X49" s="17"/>
      <c r="Y49" s="17"/>
      <c r="Z49" s="33"/>
      <c r="AA49" s="33"/>
      <c r="AB49" t="s" s="32">
        <v>473</v>
      </c>
      <c r="AC49" t="str" s="20" cm="1">
        <f t="array" ref="AC49">IF(ISBLANK(AB49),"",HYPERLINK("https://jlcpcb.com/partdetail/"&amp;$AB49,$AB49))</f>
        <v>C353517</v>
      </c>
      <c r="AD49" s="27">
        <v>5</v>
      </c>
      <c r="AE49" t="s" s="17">
        <v>211</v>
      </c>
      <c r="AF49" t="s" s="34">
        <v>475</v>
      </c>
      <c r="AG49" t="s" s="32">
        <v>476</v>
      </c>
      <c r="AH49" t="s" s="25">
        <v>477</v>
      </c>
      <c r="AI49" t="s" s="26">
        <v>478</v>
      </c>
      <c r="AJ49" t="s" s="17">
        <v>479</v>
      </c>
    </row>
    <row r="50" ht="17.9" customHeight="1">
      <c r="B50" t="str" s="15" cm="1">
        <f t="array" ref="B50">E50&amp;"_"&amp;G50&amp;"_"&amp;N50</f>
        <v>DIO_BAT54_SOT-23</v>
      </c>
      <c r="C50" t="str" s="16" cm="1">
        <f t="array" ref="C50">$G50&amp;IF($E50="LED"," LED","")&amp;IF($R50="",""," ")&amp;$R50&amp;IF($H50="",""," ")&amp;$H50&amp;IF($S50="",""," ")&amp;$S50&amp;IF($T50="",""," ")&amp;$T50&amp;IF($U50="",""," ")&amp;$U50&amp;IF($X50="",""," ")&amp;$X50&amp;IF($X50="","","mcd")</f>
        <v>BAT54 single Schottkey 30V</v>
      </c>
      <c r="D50" t="str" s="16" cm="1">
        <f t="array" ref="D50">$G50&amp;" "&amp;E50&amp;IF($R50="",""," ")&amp;$R50&amp;IF($H50="",""," ")&amp;$H50&amp;IF($S50="",""," ")&amp;$S50&amp;IF($T50="",""," ")&amp;$T50&amp;IF($U50="",""," ")&amp;$U50&amp;IF($X50="",""," ")&amp;$X50&amp;IF($X50="","","mcd")</f>
        <v>BAT54 DIO single Schottkey 30V</v>
      </c>
      <c r="E50" t="s" s="17">
        <v>465</v>
      </c>
      <c r="F50" t="s" s="17">
        <v>5</v>
      </c>
      <c r="G50" t="str" s="18" cm="1">
        <f t="array" ref="G50">J50</f>
        <v>BAT54</v>
      </c>
      <c r="H50" t="s" s="17">
        <v>484</v>
      </c>
      <c r="I50" t="s" s="35">
        <v>485</v>
      </c>
      <c r="J50" t="str" s="18" cm="1">
        <f t="array" ref="J50">AG50</f>
        <v>BAT54</v>
      </c>
      <c r="K50" s="17"/>
      <c r="L50" s="17"/>
      <c r="M50" s="17"/>
      <c r="N50" t="s" s="17">
        <v>486</v>
      </c>
      <c r="O50" s="17"/>
      <c r="P50" s="17"/>
      <c r="Q50" s="17"/>
      <c r="R50" s="17"/>
      <c r="S50" t="s" s="17">
        <v>487</v>
      </c>
      <c r="T50" s="17"/>
      <c r="U50" s="17"/>
      <c r="V50" s="17"/>
      <c r="W50" s="17"/>
      <c r="X50" s="17"/>
      <c r="Y50" s="17"/>
      <c r="Z50" s="33"/>
      <c r="AA50" s="33"/>
      <c r="AB50" t="s" s="32">
        <v>488</v>
      </c>
      <c r="AC50" t="str" s="20" cm="1">
        <f t="array" ref="AC50">IF(ISBLANK(AB50),"",HYPERLINK("https://jlcpcb.com/partdetail/"&amp;$AB50,$AB50))</f>
        <v>C5261070</v>
      </c>
      <c r="AD50" s="27">
        <v>5</v>
      </c>
      <c r="AE50" t="s" s="17">
        <v>211</v>
      </c>
      <c r="AF50" t="s" s="25">
        <v>490</v>
      </c>
      <c r="AG50" t="s" s="17">
        <v>491</v>
      </c>
      <c r="AH50" t="s" s="36">
        <v>492</v>
      </c>
      <c r="AI50" t="s" s="37">
        <v>493</v>
      </c>
      <c r="AJ50" t="s" s="17">
        <v>494</v>
      </c>
    </row>
    <row r="51" ht="17.9" customHeight="1">
      <c r="B51" t="str" s="15" cm="1">
        <f t="array" ref="B51">E51&amp;"_"&amp;G51&amp;"_"&amp;N51</f>
        <v>DIO_BAT54A_SOT-23</v>
      </c>
      <c r="C51" t="str" s="16" cm="1">
        <f t="array" ref="C51">$G51&amp;IF($E51="LED"," LED","")&amp;IF($R51="",""," ")&amp;$R51&amp;IF($H51="",""," ")&amp;$H51&amp;IF($S51="",""," ")&amp;$S51&amp;IF($T51="",""," ")&amp;$T51&amp;IF($U51="",""," ")&amp;$U51&amp;IF($X51="",""," ")&amp;$X51&amp;IF($X51="","","mcd")</f>
        <v>BAT54A dual Schottkey common anode 30V</v>
      </c>
      <c r="D51" t="str" s="16" cm="1">
        <f t="array" ref="D51">$G51&amp;" "&amp;E51&amp;IF($R51="",""," ")&amp;$R51&amp;IF($H51="",""," ")&amp;$H51&amp;IF($S51="",""," ")&amp;$S51&amp;IF($T51="",""," ")&amp;$T51&amp;IF($U51="",""," ")&amp;$U51&amp;IF($X51="",""," ")&amp;$X51&amp;IF($X51="","","mcd")</f>
        <v>BAT54A DIO dual Schottkey common anode 30V</v>
      </c>
      <c r="E51" t="s" s="17">
        <v>465</v>
      </c>
      <c r="F51" t="s" s="17">
        <v>5</v>
      </c>
      <c r="G51" t="str" s="18" cm="1">
        <f t="array" ref="G51">J51</f>
        <v>BAT54A</v>
      </c>
      <c r="H51" t="s" s="17">
        <v>499</v>
      </c>
      <c r="I51" t="s" s="35">
        <v>500</v>
      </c>
      <c r="J51" t="str" s="18" cm="1">
        <f t="array" ref="J51">AG51</f>
        <v>BAT54A</v>
      </c>
      <c r="K51" s="17"/>
      <c r="L51" s="17"/>
      <c r="M51" s="17"/>
      <c r="N51" t="s" s="17">
        <v>486</v>
      </c>
      <c r="O51" s="17"/>
      <c r="P51" s="17"/>
      <c r="Q51" s="17"/>
      <c r="R51" s="17"/>
      <c r="S51" t="s" s="17">
        <v>487</v>
      </c>
      <c r="T51" s="17"/>
      <c r="U51" s="17"/>
      <c r="V51" s="17"/>
      <c r="W51" s="17"/>
      <c r="X51" s="17"/>
      <c r="Y51" s="17"/>
      <c r="Z51" s="33"/>
      <c r="AA51" s="33"/>
      <c r="AB51" t="s" s="32">
        <v>501</v>
      </c>
      <c r="AC51" t="str" s="20" cm="1">
        <f t="array" ref="AC51">IF(ISBLANK(AB51),"",HYPERLINK("https://jlcpcb.com/partdetail/"&amp;$AB51,$AB51))</f>
        <v>C2926172</v>
      </c>
      <c r="AD51" s="27">
        <v>5</v>
      </c>
      <c r="AE51" t="s" s="17">
        <v>211</v>
      </c>
      <c r="AF51" t="s" s="25">
        <v>503</v>
      </c>
      <c r="AG51" t="s" s="17">
        <v>504</v>
      </c>
      <c r="AH51" t="s" s="36">
        <v>505</v>
      </c>
      <c r="AI51" t="s" s="37">
        <v>493</v>
      </c>
      <c r="AJ51" t="s" s="17">
        <v>506</v>
      </c>
    </row>
    <row r="52" ht="17.9" customHeight="1">
      <c r="B52" t="str" s="15" cm="1">
        <f t="array" ref="B52">E52&amp;"_"&amp;G52&amp;"_"&amp;N52</f>
        <v>DIO_BAT54S_SOT-23</v>
      </c>
      <c r="C52" t="str" s="16" cm="1">
        <f t="array" ref="C52">$G52&amp;IF($E52="LED"," LED","")&amp;IF($R52="",""," ")&amp;$R52&amp;IF($H52="",""," ")&amp;$H52&amp;IF($S52="",""," ")&amp;$S52&amp;IF($T52="",""," ")&amp;$T52&amp;IF($U52="",""," ")&amp;$U52&amp;IF($X52="",""," ")&amp;$X52&amp;IF($X52="","","mcd")</f>
        <v>BAT54S dual Schottkey series 30V</v>
      </c>
      <c r="D52" t="str" s="16" cm="1">
        <f t="array" ref="D52">$G52&amp;" "&amp;E52&amp;IF($R52="",""," ")&amp;$R52&amp;IF($H52="",""," ")&amp;$H52&amp;IF($S52="",""," ")&amp;$S52&amp;IF($T52="",""," ")&amp;$T52&amp;IF($U52="",""," ")&amp;$U52&amp;IF($X52="",""," ")&amp;$X52&amp;IF($X52="","","mcd")</f>
        <v>BAT54S DIO dual Schottkey series 30V</v>
      </c>
      <c r="E52" t="s" s="17">
        <v>465</v>
      </c>
      <c r="F52" t="s" s="17">
        <v>5</v>
      </c>
      <c r="G52" t="str" s="18" cm="1">
        <f t="array" ref="G52">J52</f>
        <v>BAT54S</v>
      </c>
      <c r="H52" t="s" s="17">
        <v>511</v>
      </c>
      <c r="I52" t="s" s="35">
        <v>512</v>
      </c>
      <c r="J52" t="str" s="18" cm="1">
        <f t="array" ref="J52">AG52</f>
        <v>BAT54S</v>
      </c>
      <c r="K52" s="17"/>
      <c r="L52" s="17"/>
      <c r="M52" s="17"/>
      <c r="N52" t="s" s="17">
        <v>486</v>
      </c>
      <c r="O52" s="17"/>
      <c r="P52" s="17"/>
      <c r="Q52" s="17"/>
      <c r="R52" s="17"/>
      <c r="S52" t="s" s="17">
        <v>487</v>
      </c>
      <c r="T52" s="17"/>
      <c r="U52" s="17"/>
      <c r="V52" s="17"/>
      <c r="W52" s="17"/>
      <c r="X52" s="17"/>
      <c r="Y52" s="17"/>
      <c r="Z52" s="33"/>
      <c r="AA52" s="33"/>
      <c r="AB52" t="s" s="32">
        <v>513</v>
      </c>
      <c r="AC52" t="str" s="20" cm="1">
        <f t="array" ref="AC52">IF(ISBLANK(AB52),"",HYPERLINK("https://jlcpcb.com/partdetail/"&amp;$AB52,$AB52))</f>
        <v>C2926174</v>
      </c>
      <c r="AD52" s="27">
        <v>5</v>
      </c>
      <c r="AE52" t="s" s="17">
        <v>211</v>
      </c>
      <c r="AF52" t="s" s="25">
        <v>503</v>
      </c>
      <c r="AG52" t="s" s="17">
        <v>515</v>
      </c>
      <c r="AH52" t="s" s="36">
        <v>516</v>
      </c>
      <c r="AI52" t="s" s="37">
        <v>493</v>
      </c>
      <c r="AJ52" t="s" s="17">
        <v>517</v>
      </c>
    </row>
    <row r="53" ht="17.9" customHeight="1">
      <c r="B53" t="str" s="15" cm="1">
        <f t="array" ref="B53">E53&amp;"_"&amp;G53&amp;"_"&amp;N53</f>
        <v>DIO_BAT54C_SOT-23</v>
      </c>
      <c r="C53" t="str" s="16" cm="1">
        <f t="array" ref="C53">$G53&amp;IF($E53="LED"," LED","")&amp;IF($R53="",""," ")&amp;$R53&amp;IF($H53="",""," ")&amp;$H53&amp;IF($S53="",""," ")&amp;$S53&amp;IF($T53="",""," ")&amp;$T53&amp;IF($U53="",""," ")&amp;$U53&amp;IF($X53="",""," ")&amp;$X53&amp;IF($X53="","","mcd")</f>
        <v>BAT54C dual Schottkey common cathode 30V</v>
      </c>
      <c r="D53" t="str" s="16" cm="1">
        <f t="array" ref="D53">$G53&amp;" "&amp;E53&amp;IF($R53="",""," ")&amp;$R53&amp;IF($H53="",""," ")&amp;$H53&amp;IF($S53="",""," ")&amp;$S53&amp;IF($T53="",""," ")&amp;$T53&amp;IF($U53="",""," ")&amp;$U53&amp;IF($X53="",""," ")&amp;$X53&amp;IF($X53="","","mcd")</f>
        <v>BAT54C DIO dual Schottkey common cathode 30V</v>
      </c>
      <c r="E53" t="s" s="17">
        <v>465</v>
      </c>
      <c r="F53" t="s" s="17">
        <v>5</v>
      </c>
      <c r="G53" t="str" s="18" cm="1">
        <f t="array" ref="G53">J53</f>
        <v>BAT54C</v>
      </c>
      <c r="H53" t="s" s="17">
        <v>522</v>
      </c>
      <c r="I53" t="s" s="19">
        <v>523</v>
      </c>
      <c r="J53" t="str" s="18" cm="1">
        <f t="array" ref="J53">AG53</f>
        <v>BAT54C</v>
      </c>
      <c r="K53" s="17"/>
      <c r="L53" s="17"/>
      <c r="M53" s="17"/>
      <c r="N53" t="s" s="17">
        <v>486</v>
      </c>
      <c r="O53" s="17"/>
      <c r="P53" s="17"/>
      <c r="Q53" s="17"/>
      <c r="R53" s="17"/>
      <c r="S53" t="s" s="17">
        <v>487</v>
      </c>
      <c r="T53" s="17"/>
      <c r="U53" s="17"/>
      <c r="V53" s="17"/>
      <c r="W53" s="17"/>
      <c r="X53" s="17"/>
      <c r="Y53" s="17"/>
      <c r="Z53" s="24"/>
      <c r="AA53" s="24"/>
      <c r="AB53" t="s" s="19">
        <v>524</v>
      </c>
      <c r="AC53" t="str" s="20" cm="1">
        <f t="array" ref="AC53">IF(ISBLANK(AB53),"",HYPERLINK("https://jlcpcb.com/partdetail/"&amp;$AB53,$AB53))</f>
        <v>C408388</v>
      </c>
      <c r="AD53" s="27">
        <v>1</v>
      </c>
      <c r="AE53" t="s" s="17">
        <v>211</v>
      </c>
      <c r="AF53" t="s" s="25">
        <v>526</v>
      </c>
      <c r="AG53" t="s" s="17">
        <v>527</v>
      </c>
      <c r="AH53" t="s" s="25">
        <v>528</v>
      </c>
      <c r="AI53" t="s" s="37">
        <v>493</v>
      </c>
      <c r="AJ53" t="s" s="17">
        <v>529</v>
      </c>
    </row>
    <row r="54" ht="20.15" customHeight="1">
      <c r="B54" t="str" s="15" cm="1">
        <f t="array" ref="B54">E54&amp;"_"&amp;G54&amp;"_"&amp;N54</f>
        <v>IC_LM358D_SOP-8</v>
      </c>
      <c r="C54" t="str" s="16" cm="1">
        <f t="array" ref="C54">$G54&amp;IF($E54="LED"," LED","")&amp;IF($R54="",""," ")&amp;$R54&amp;IF($H54="",""," ")&amp;$H54&amp;IF($S54="",""," ")&amp;$S54&amp;IF($T54="",""," ")&amp;$T54&amp;IF($U54="",""," ")&amp;$U54&amp;IF($X54="",""," ")&amp;$X54&amp;IF($X54="","","mcd")</f>
        <v>LM358D dual OpAmp ±15V or +30V</v>
      </c>
      <c r="D54" t="str" s="16" cm="1">
        <f t="array" ref="D54">$G54&amp;" "&amp;E54&amp;IF($R54="",""," ")&amp;$R54&amp;IF($H54="",""," ")&amp;$H54&amp;IF($S54="",""," ")&amp;$S54&amp;IF($T54="",""," ")&amp;$T54&amp;IF($U54="",""," ")&amp;$U54&amp;IF($X54="",""," ")&amp;$X54&amp;IF($X54="","","mcd")</f>
        <v>LM358D IC dual OpAmp ±15V or +30V</v>
      </c>
      <c r="E54" t="s" s="17">
        <v>533</v>
      </c>
      <c r="F54" t="s" s="17">
        <v>5</v>
      </c>
      <c r="G54" t="str" s="18" cm="1">
        <f t="array" ref="G54">J54</f>
        <v>LM358D</v>
      </c>
      <c r="H54" t="s" s="17">
        <v>535</v>
      </c>
      <c r="I54" t="s" s="19">
        <v>536</v>
      </c>
      <c r="J54" t="str" s="18" cm="1">
        <f t="array" ref="J54">AG54</f>
        <v>LM358D</v>
      </c>
      <c r="K54" s="17"/>
      <c r="L54" s="17"/>
      <c r="M54" s="17"/>
      <c r="N54" t="s" s="17">
        <v>537</v>
      </c>
      <c r="O54" s="17"/>
      <c r="P54" s="17"/>
      <c r="Q54" s="17"/>
      <c r="R54" s="17"/>
      <c r="S54" t="s" s="17">
        <v>538</v>
      </c>
      <c r="T54" s="17"/>
      <c r="U54" s="17"/>
      <c r="V54" s="17"/>
      <c r="W54" s="17"/>
      <c r="X54" s="17"/>
      <c r="Y54" s="17"/>
      <c r="Z54" s="24"/>
      <c r="AA54" s="24"/>
      <c r="AB54" t="s" s="19">
        <v>539</v>
      </c>
      <c r="AC54" t="str" s="20" cm="1">
        <f t="array" ref="AC54">IF(ISBLANK(AB54),"",HYPERLINK("https://jlcpcb.com/partdetail/"&amp;$AB54,$AB54))</f>
        <v>C2683482</v>
      </c>
      <c r="AD54" s="27">
        <v>1</v>
      </c>
      <c r="AE54" t="s" s="17">
        <v>211</v>
      </c>
      <c r="AF54" t="s" s="25">
        <v>541</v>
      </c>
      <c r="AG54" t="s" s="17">
        <v>542</v>
      </c>
      <c r="AH54" t="s" s="22">
        <v>543</v>
      </c>
      <c r="AI54" t="s" s="23">
        <v>544</v>
      </c>
      <c r="AJ54" t="s" s="17">
        <v>545</v>
      </c>
    </row>
    <row r="55" ht="20.15" customHeight="1">
      <c r="B55" t="str" s="15" cm="1">
        <f t="array" ref="B55">E55&amp;"_"&amp;G55&amp;"_"&amp;N55</f>
        <v>IC_NE556_SOP-14</v>
      </c>
      <c r="C55" t="str" s="16" cm="1">
        <f t="array" ref="C55">$G55&amp;IF($E55="LED"," LED","")&amp;IF($R55="",""," ")&amp;$R55&amp;IF($H55="",""," ")&amp;$H55&amp;IF($S55="",""," ")&amp;$S55&amp;IF($T55="",""," ")&amp;$T55&amp;IF($U55="",""," ")&amp;$U55&amp;IF($X55="",""," ")&amp;$X55&amp;IF($X55="","","mcd")</f>
        <v>NE556 Dual Timer 16V 600mW</v>
      </c>
      <c r="D55" t="str" s="16" cm="1">
        <f t="array" ref="D55">$G55&amp;" "&amp;E55&amp;IF($R55="",""," ")&amp;$R55&amp;IF($H55="",""," ")&amp;$H55&amp;IF($S55="",""," ")&amp;$S55&amp;IF($T55="",""," ")&amp;$T55&amp;IF($U55="",""," ")&amp;$U55&amp;IF($X55="",""," ")&amp;$X55&amp;IF($X55="","","mcd")</f>
        <v>NE556 IC Dual Timer 16V 600mW</v>
      </c>
      <c r="E55" t="s" s="17">
        <v>533</v>
      </c>
      <c r="F55" t="s" s="17">
        <v>5</v>
      </c>
      <c r="G55" t="str" s="18" cm="1">
        <f t="array" ref="G55">J55</f>
        <v>NE556</v>
      </c>
      <c r="H55" t="s" s="17">
        <v>550</v>
      </c>
      <c r="I55" t="s" s="19">
        <v>551</v>
      </c>
      <c r="J55" t="s" s="17">
        <v>552</v>
      </c>
      <c r="K55" s="32"/>
      <c r="L55" s="32"/>
      <c r="M55" s="32"/>
      <c r="N55" t="s" s="32">
        <v>553</v>
      </c>
      <c r="O55" s="17"/>
      <c r="P55" s="17"/>
      <c r="Q55" s="17"/>
      <c r="R55" s="17"/>
      <c r="S55" t="s" s="17">
        <v>455</v>
      </c>
      <c r="T55" s="17"/>
      <c r="U55" t="s" s="17">
        <v>554</v>
      </c>
      <c r="V55" s="17"/>
      <c r="W55" s="17"/>
      <c r="X55" s="17"/>
      <c r="Y55" s="17"/>
      <c r="Z55" s="24"/>
      <c r="AA55" s="24"/>
      <c r="AB55" t="s" s="19">
        <v>555</v>
      </c>
      <c r="AC55" t="str" s="20" cm="1">
        <f t="array" ref="AC55">IF(ISBLANK(AB55),"",HYPERLINK("https://jlcpcb.com/partdetail/"&amp;$AB55,$AB55))</f>
        <v>C5145392</v>
      </c>
      <c r="AD55" s="27">
        <v>5</v>
      </c>
      <c r="AE55" t="s" s="17">
        <v>211</v>
      </c>
      <c r="AF55" t="s" s="34">
        <v>557</v>
      </c>
      <c r="AG55" t="s" s="32">
        <v>558</v>
      </c>
      <c r="AH55" t="s" s="25">
        <v>559</v>
      </c>
      <c r="AI55" t="s" s="26">
        <v>560</v>
      </c>
      <c r="AJ55" t="s" s="17">
        <v>561</v>
      </c>
    </row>
    <row r="56" ht="20.15" customHeight="1">
      <c r="B56" t="str" s="15" cm="1">
        <f t="array" ref="B56">E56&amp;"_"&amp;G56&amp;"_"&amp;N56</f>
        <v>IC_MCP23017_SOIC-28-300mil</v>
      </c>
      <c r="C56" t="str" s="16" cm="1">
        <f t="array" ref="C56">$G56&amp;IF($E56="LED"," LED","")&amp;IF($R56="",""," ")&amp;$R56&amp;IF($H56="",""," ")&amp;$H56&amp;IF($S56="",""," ")&amp;$S56&amp;IF($T56="",""," ")&amp;$T56&amp;IF($U56="",""," ")&amp;$U56&amp;IF($X56="",""," ")&amp;$X56&amp;IF($X56="","","mcd")</f>
        <v>MCP23017 I2C 16-bit I/O Expander</v>
      </c>
      <c r="D56" t="str" s="16" cm="1">
        <f t="array" ref="D56">$G56&amp;" "&amp;E56&amp;IF($R56="",""," ")&amp;$R56&amp;IF($H56="",""," ")&amp;$H56&amp;IF($S56="",""," ")&amp;$S56&amp;IF($T56="",""," ")&amp;$T56&amp;IF($U56="",""," ")&amp;$U56&amp;IF($X56="",""," ")&amp;$X56&amp;IF($X56="","","mcd")</f>
        <v>MCP23017 IC I2C 16-bit I/O Expander</v>
      </c>
      <c r="E56" t="s" s="17">
        <v>533</v>
      </c>
      <c r="F56" t="s" s="17">
        <v>5</v>
      </c>
      <c r="G56" t="str" s="18" cm="1">
        <f t="array" ref="G56">J56</f>
        <v>MCP23017</v>
      </c>
      <c r="H56" t="s" s="17">
        <v>566</v>
      </c>
      <c r="I56" t="s" s="19">
        <v>567</v>
      </c>
      <c r="J56" t="s" s="17">
        <v>568</v>
      </c>
      <c r="K56" s="32"/>
      <c r="L56" s="32"/>
      <c r="M56" s="32"/>
      <c r="N56" t="s" s="32">
        <v>569</v>
      </c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24"/>
      <c r="AA56" s="24"/>
      <c r="AB56" t="s" s="19">
        <v>570</v>
      </c>
      <c r="AC56" t="str" s="20" cm="1">
        <f t="array" ref="AC56">IF(ISBLANK(AB56),"",HYPERLINK("https://jlcpcb.com/partdetail/"&amp;$AB56,$AB56))</f>
        <v>C629440</v>
      </c>
      <c r="AD56" s="27">
        <v>1</v>
      </c>
      <c r="AE56" t="s" s="17">
        <v>211</v>
      </c>
      <c r="AF56" t="s" s="34">
        <v>572</v>
      </c>
      <c r="AG56" t="s" s="32">
        <v>573</v>
      </c>
      <c r="AH56" t="s" s="25">
        <v>574</v>
      </c>
      <c r="AI56" t="s" s="26">
        <v>575</v>
      </c>
      <c r="AJ56" t="s" s="17">
        <v>576</v>
      </c>
    </row>
    <row r="57" ht="20.15" customHeight="1">
      <c r="B57" t="str" s="15" cm="1">
        <f t="array" ref="B57">E57&amp;"_"&amp;G57&amp;"_"&amp;N57</f>
        <v>IC_PCA9685_TSSOP-28</v>
      </c>
      <c r="C57" t="str" s="16" cm="1">
        <f t="array" ref="C57">$G57&amp;IF($E57="LED"," LED","")&amp;IF($R57="",""," ")&amp;$R57&amp;IF($H57="",""," ")&amp;$H57&amp;IF($S57="",""," ")&amp;$S57&amp;IF($T57="",""," ")&amp;$T57&amp;IF($U57="",""," ")&amp;$U57&amp;IF($X57="",""," ")&amp;$X57&amp;IF($X57="","","mcd")</f>
        <v>PCA9685 I2C 16-bit PWM LED Driver</v>
      </c>
      <c r="D57" t="str" s="16" cm="1">
        <f t="array" ref="D57">$G57&amp;" "&amp;E57&amp;IF($R57="",""," ")&amp;$R57&amp;IF($H57="",""," ")&amp;$H57&amp;IF($S57="",""," ")&amp;$S57&amp;IF($T57="",""," ")&amp;$T57&amp;IF($U57="",""," ")&amp;$U57&amp;IF($X57="",""," ")&amp;$X57&amp;IF($X57="","","mcd")</f>
        <v>PCA9685 IC I2C 16-bit PWM LED Driver</v>
      </c>
      <c r="E57" t="s" s="17">
        <v>533</v>
      </c>
      <c r="F57" t="s" s="17">
        <v>5</v>
      </c>
      <c r="G57" t="str" s="18" cm="1">
        <f t="array" ref="G57">J57</f>
        <v>PCA9685</v>
      </c>
      <c r="H57" t="s" s="17">
        <v>581</v>
      </c>
      <c r="I57" t="s" s="19">
        <v>582</v>
      </c>
      <c r="J57" t="s" s="17">
        <v>583</v>
      </c>
      <c r="K57" s="32"/>
      <c r="L57" s="32"/>
      <c r="M57" s="32"/>
      <c r="N57" t="s" s="32">
        <v>584</v>
      </c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24"/>
      <c r="AA57" s="24"/>
      <c r="AB57" t="s" s="19">
        <v>585</v>
      </c>
      <c r="AC57" t="str" s="20" cm="1">
        <f t="array" ref="AC57">IF(ISBLANK(AB57),"",HYPERLINK("https://jlcpcb.com/partdetail/"&amp;$AB57,$AB57))</f>
        <v>C2678753</v>
      </c>
      <c r="AD57" s="27">
        <v>1</v>
      </c>
      <c r="AE57" t="s" s="17">
        <v>211</v>
      </c>
      <c r="AF57" t="s" s="34">
        <v>587</v>
      </c>
      <c r="AG57" t="s" s="32">
        <v>588</v>
      </c>
      <c r="AH57" t="s" s="25">
        <v>589</v>
      </c>
      <c r="AI57" t="s" s="26">
        <v>590</v>
      </c>
      <c r="AJ57" t="s" s="17">
        <v>591</v>
      </c>
    </row>
    <row r="58" ht="19.3" customHeight="1">
      <c r="B58" t="str" s="15" cm="1">
        <f t="array" ref="B58">E58&amp;"_"&amp;G58&amp;"_"&amp;N58&amp;"_"&amp;T58</f>
        <v>LED_Blue_0603_20mA</v>
      </c>
      <c r="C58" t="str" s="16" cm="1">
        <f t="array" ref="C58">$G58&amp;IF($E58="LED"," LED","")&amp;IF($R58="",""," ")&amp;$R58&amp;IF($H58="",""," ")&amp;$H58&amp;IF($S58="",""," ")&amp;$S58&amp;IF($T58="",""," ")&amp;$T58&amp;IF($U58="",""," ")&amp;$U58&amp;IF($X58="",""," ")&amp;$X58&amp;IF($X58="","","mcd")</f>
        <v>Blue LED clear 3.3V 20mA 240mcd</v>
      </c>
      <c r="D58" t="str" s="16" cm="1">
        <f t="array" ref="D58">$G58&amp;" "&amp;E58&amp;IF($R58="",""," ")&amp;$R58&amp;IF($H58="",""," ")&amp;$H58&amp;IF($S58="",""," ")&amp;$S58&amp;IF($T58="",""," ")&amp;$T58&amp;IF($U58="",""," ")&amp;$U58&amp;IF($X58="",""," ")&amp;$X58&amp;IF($X58="","","mcd")</f>
        <v>Blue LED clear 3.3V 20mA 240mcd</v>
      </c>
      <c r="E58" t="s" s="17">
        <v>594</v>
      </c>
      <c r="F58" t="s" s="17">
        <v>5</v>
      </c>
      <c r="G58" t="str" s="18" cm="1">
        <f t="array" ref="G58">J58</f>
        <v>Blue</v>
      </c>
      <c r="H58" t="s" s="17">
        <v>596</v>
      </c>
      <c r="I58" t="s" s="19">
        <v>597</v>
      </c>
      <c r="J58" t="s" s="17">
        <v>598</v>
      </c>
      <c r="K58" s="17"/>
      <c r="L58" s="17"/>
      <c r="M58" s="17"/>
      <c r="N58" t="s" s="17">
        <v>344</v>
      </c>
      <c r="O58" s="17"/>
      <c r="P58" s="17"/>
      <c r="Q58" s="17"/>
      <c r="R58" s="17"/>
      <c r="S58" t="s" s="17">
        <v>599</v>
      </c>
      <c r="T58" t="s" s="17">
        <v>600</v>
      </c>
      <c r="U58" s="17"/>
      <c r="V58" t="s" s="17">
        <v>601</v>
      </c>
      <c r="W58" t="s" s="17">
        <v>602</v>
      </c>
      <c r="X58" t="s" s="17">
        <v>603</v>
      </c>
      <c r="Y58" s="17"/>
      <c r="Z58" s="24"/>
      <c r="AA58" s="24"/>
      <c r="AB58" t="s" s="19">
        <v>604</v>
      </c>
      <c r="AC58" t="str" s="20" cm="1">
        <f t="array" ref="AC58">IF(ISBLANK(AB58),"",HYPERLINK("https://jlcpcb.com/partdetail/"&amp;$AB58,$AB58))</f>
        <v>C965807</v>
      </c>
      <c r="AD58" s="27">
        <v>1</v>
      </c>
      <c r="AE58" t="s" s="17">
        <v>211</v>
      </c>
      <c r="AF58" t="s" s="25">
        <v>606</v>
      </c>
      <c r="AG58" t="s" s="17">
        <v>607</v>
      </c>
      <c r="AH58" t="s" s="22">
        <v>608</v>
      </c>
      <c r="AI58" t="s" s="23">
        <v>609</v>
      </c>
      <c r="AJ58" t="s" s="17">
        <v>610</v>
      </c>
    </row>
    <row r="59" ht="20.95" customHeight="1">
      <c r="B59" t="str" s="15" cm="1">
        <f t="array" ref="B59">E59&amp;"_"&amp;G59&amp;"_"&amp;N59&amp;"_"&amp;T59</f>
        <v>LED_White_0603_20mA</v>
      </c>
      <c r="C59" t="str" s="16" cm="1">
        <f t="array" ref="C59">$G59&amp;IF($E59="LED"," LED","")&amp;IF($R59="",""," ")&amp;$R59&amp;IF($H59="",""," ")&amp;$H59&amp;IF($S59="",""," ")&amp;$S59&amp;IF($T59="",""," ")&amp;$T59&amp;IF($U59="",""," ")&amp;$U59&amp;IF($X59="",""," ")&amp;$X59&amp;IF($X59="","","mcd")</f>
        <v>White LED warm 2.7V 20mA 130mcd</v>
      </c>
      <c r="D59" t="str" s="16" cm="1">
        <f t="array" ref="D59">$G59&amp;" "&amp;E59&amp;IF($R59="",""," ")&amp;$R59&amp;IF($H59="",""," ")&amp;$H59&amp;IF($S59="",""," ")&amp;$S59&amp;IF($T59="",""," ")&amp;$T59&amp;IF($U59="",""," ")&amp;$U59&amp;IF($X59="",""," ")&amp;$X59&amp;IF($X59="","","mcd")</f>
        <v>White LED warm 2.7V 20mA 130mcd</v>
      </c>
      <c r="E59" t="s" s="17">
        <v>594</v>
      </c>
      <c r="F59" t="s" s="17">
        <v>5</v>
      </c>
      <c r="G59" t="str" s="18" cm="1">
        <f t="array" ref="G59">J59</f>
        <v>White</v>
      </c>
      <c r="H59" t="s" s="17">
        <v>614</v>
      </c>
      <c r="I59" t="s" s="19">
        <v>615</v>
      </c>
      <c r="J59" t="s" s="17">
        <v>616</v>
      </c>
      <c r="K59" s="17"/>
      <c r="L59" s="17"/>
      <c r="M59" s="17"/>
      <c r="N59" t="s" s="17">
        <v>344</v>
      </c>
      <c r="O59" s="17"/>
      <c r="P59" s="17"/>
      <c r="Q59" s="17"/>
      <c r="R59" s="17"/>
      <c r="S59" t="s" s="17">
        <v>617</v>
      </c>
      <c r="T59" t="s" s="17">
        <v>600</v>
      </c>
      <c r="U59" s="17"/>
      <c r="V59" t="s" s="17">
        <v>601</v>
      </c>
      <c r="W59" t="s" s="17">
        <v>618</v>
      </c>
      <c r="X59" t="s" s="17">
        <v>619</v>
      </c>
      <c r="Y59" s="17"/>
      <c r="Z59" s="24"/>
      <c r="AA59" s="24"/>
      <c r="AB59" t="s" s="19">
        <v>620</v>
      </c>
      <c r="AC59" t="str" s="20" cm="1">
        <f t="array" ref="AC59">IF(ISBLANK(AB59),"",HYPERLINK("https://jlcpcb.com/partdetail/"&amp;$AB59,$AB59))</f>
        <v>C965808</v>
      </c>
      <c r="AD59" s="27">
        <v>1</v>
      </c>
      <c r="AE59" t="s" s="17">
        <v>211</v>
      </c>
      <c r="AF59" t="s" s="25">
        <v>606</v>
      </c>
      <c r="AG59" t="s" s="17">
        <v>622</v>
      </c>
      <c r="AH59" t="s" s="22">
        <v>608</v>
      </c>
      <c r="AI59" t="s" s="23">
        <v>609</v>
      </c>
      <c r="AJ59" t="s" s="17">
        <v>623</v>
      </c>
    </row>
    <row r="60" ht="18.4" customHeight="1">
      <c r="B60" t="str" s="15" cm="1">
        <f t="array" ref="B60">E60&amp;"_"&amp;G60&amp;"_"&amp;N60&amp;"_"&amp;T60</f>
        <v>LED_Green Emerald_0603_20mA</v>
      </c>
      <c r="C60" t="str" s="16" cm="1">
        <f t="array" ref="C60">$G60&amp;IF($E60="LED"," LED","")&amp;IF($R60="",""," ")&amp;$R60&amp;IF($H60="",""," ")&amp;$H60&amp;IF($S60="",""," ")&amp;$S60&amp;IF($T60="",""," ")&amp;$T60&amp;IF($U60="",""," ")&amp;$U60&amp;IF($X60="",""," ")&amp;$X60&amp;IF($X60="","","mcd")</f>
        <v>Green Emerald LED clear 3.3V 20mA 810mcd</v>
      </c>
      <c r="D60" t="str" s="16" cm="1">
        <f t="array" ref="D60">$G60&amp;" "&amp;E60&amp;IF($R60="",""," ")&amp;$R60&amp;IF($H60="",""," ")&amp;$H60&amp;IF($S60="",""," ")&amp;$S60&amp;IF($T60="",""," ")&amp;$T60&amp;IF($U60="",""," ")&amp;$U60&amp;IF($X60="",""," ")&amp;$X60&amp;IF($X60="","","mcd")</f>
        <v>Green Emerald LED clear 3.3V 20mA 810mcd</v>
      </c>
      <c r="E60" t="s" s="17">
        <v>594</v>
      </c>
      <c r="F60" t="s" s="17">
        <v>5</v>
      </c>
      <c r="G60" t="str" s="18" cm="1">
        <f t="array" ref="G60">J60</f>
        <v>Green Emerald</v>
      </c>
      <c r="H60" t="s" s="17">
        <v>596</v>
      </c>
      <c r="I60" t="s" s="19">
        <v>627</v>
      </c>
      <c r="J60" t="s" s="17">
        <v>628</v>
      </c>
      <c r="K60" s="17"/>
      <c r="L60" s="17"/>
      <c r="M60" s="17"/>
      <c r="N60" t="s" s="17">
        <v>344</v>
      </c>
      <c r="O60" s="17"/>
      <c r="P60" s="17"/>
      <c r="Q60" s="17"/>
      <c r="R60" s="17"/>
      <c r="S60" t="s" s="17">
        <v>599</v>
      </c>
      <c r="T60" t="s" s="17">
        <v>600</v>
      </c>
      <c r="U60" s="17"/>
      <c r="V60" t="s" s="17">
        <v>601</v>
      </c>
      <c r="W60" t="s" s="17">
        <v>629</v>
      </c>
      <c r="X60" t="s" s="17">
        <v>630</v>
      </c>
      <c r="Y60" s="17"/>
      <c r="Z60" s="24"/>
      <c r="AA60" s="24"/>
      <c r="AB60" t="s" s="19">
        <v>631</v>
      </c>
      <c r="AC60" t="str" s="20" cm="1">
        <f t="array" ref="AC60">IF(ISBLANK(AB60),"",HYPERLINK("https://jlcpcb.com/partdetail/"&amp;$AB60,$AB60))</f>
        <v>C965804</v>
      </c>
      <c r="AD60" s="27">
        <v>1</v>
      </c>
      <c r="AE60" t="s" s="17">
        <v>211</v>
      </c>
      <c r="AF60" t="s" s="25">
        <v>606</v>
      </c>
      <c r="AG60" t="s" s="17">
        <v>633</v>
      </c>
      <c r="AH60" t="s" s="22">
        <v>608</v>
      </c>
      <c r="AI60" t="s" s="23">
        <v>609</v>
      </c>
      <c r="AJ60" t="s" s="17">
        <v>634</v>
      </c>
    </row>
    <row r="61" ht="18.9" customHeight="1">
      <c r="B61" t="str" s="15" cm="1">
        <f t="array" ref="B61">E61&amp;"_"&amp;G61&amp;"_"&amp;N61&amp;"_"&amp;T61</f>
        <v>LED_Yellow Green_0603_20mA</v>
      </c>
      <c r="C61" t="str" s="16" cm="1">
        <f t="array" ref="C61">$G61&amp;IF($E61="LED"," LED","")&amp;IF($R61="",""," ")&amp;$R61&amp;IF($H61="",""," ")&amp;$H61&amp;IF($S61="",""," ")&amp;$S61&amp;IF($T61="",""," ")&amp;$T61&amp;IF($U61="",""," ")&amp;$U61&amp;IF($X61="",""," ")&amp;$X61&amp;IF($X61="","","mcd")</f>
        <v>Yellow Green LED clear 2.4V 20mA 240mcd</v>
      </c>
      <c r="D61" t="str" s="16" cm="1">
        <f t="array" ref="D61">$G61&amp;" "&amp;E61&amp;IF($R61="",""," ")&amp;$R61&amp;IF($H61="",""," ")&amp;$H61&amp;IF($S61="",""," ")&amp;$S61&amp;IF($T61="",""," ")&amp;$T61&amp;IF($U61="",""," ")&amp;$U61&amp;IF($X61="",""," ")&amp;$X61&amp;IF($X61="","","mcd")</f>
        <v>Yellow Green LED clear 2.4V 20mA 240mcd</v>
      </c>
      <c r="E61" t="s" s="17">
        <v>594</v>
      </c>
      <c r="F61" t="s" s="17">
        <v>5</v>
      </c>
      <c r="G61" t="str" s="18" cm="1">
        <f t="array" ref="G61">J61</f>
        <v>Yellow Green</v>
      </c>
      <c r="H61" t="s" s="17">
        <v>596</v>
      </c>
      <c r="I61" t="s" s="19">
        <v>638</v>
      </c>
      <c r="J61" t="s" s="17">
        <v>639</v>
      </c>
      <c r="K61" s="17"/>
      <c r="L61" s="17"/>
      <c r="M61" s="17"/>
      <c r="N61" t="s" s="17">
        <v>344</v>
      </c>
      <c r="O61" s="17"/>
      <c r="P61" s="17"/>
      <c r="Q61" s="17"/>
      <c r="R61" s="17"/>
      <c r="S61" t="s" s="17">
        <v>640</v>
      </c>
      <c r="T61" t="s" s="17">
        <v>600</v>
      </c>
      <c r="U61" s="17"/>
      <c r="V61" s="17"/>
      <c r="W61" t="s" s="17">
        <v>641</v>
      </c>
      <c r="X61" t="s" s="17">
        <v>603</v>
      </c>
      <c r="Y61" s="17"/>
      <c r="Z61" s="24"/>
      <c r="AA61" s="24"/>
      <c r="AB61" t="s" s="19">
        <v>642</v>
      </c>
      <c r="AC61" t="str" s="20" cm="1">
        <f t="array" ref="AC61">IF(ISBLANK(AB61),"",HYPERLINK("https://jlcpcb.com/partdetail/"&amp;$AB61,$AB61))</f>
        <v>C965806</v>
      </c>
      <c r="AD61" s="27">
        <v>1</v>
      </c>
      <c r="AE61" t="s" s="17">
        <v>349</v>
      </c>
      <c r="AF61" t="s" s="25">
        <v>606</v>
      </c>
      <c r="AG61" t="s" s="17">
        <v>644</v>
      </c>
      <c r="AH61" t="s" s="22">
        <v>608</v>
      </c>
      <c r="AI61" t="s" s="23">
        <v>609</v>
      </c>
      <c r="AJ61" t="s" s="17">
        <v>645</v>
      </c>
    </row>
    <row r="62" ht="18.9" customHeight="1">
      <c r="B62" t="str" s="15" cm="1">
        <f t="array" ref="B62">E62&amp;"_"&amp;G62&amp;"_"&amp;N62&amp;"_"&amp;T62</f>
        <v>LED_Orange_0603_10mA</v>
      </c>
      <c r="C62" t="str" s="16" cm="1">
        <f t="array" ref="C62">$G62&amp;IF($E62="LED"," LED","")&amp;IF($R62="",""," ")&amp;$R62&amp;IF($H62="",""," ")&amp;$H62&amp;IF($S62="",""," ")&amp;$S62&amp;IF($T62="",""," ")&amp;$T62&amp;IF($U62="",""," ")&amp;$U62&amp;IF($X62="",""," ")&amp;$X62&amp;IF($X62="","","mcd")</f>
        <v>Orange LED clear 2.2V 10mA 70mcd</v>
      </c>
      <c r="D62" t="str" s="16" cm="1">
        <f t="array" ref="D62">$G62&amp;" "&amp;E62&amp;IF($R62="",""," ")&amp;$R62&amp;IF($H62="",""," ")&amp;$H62&amp;IF($S62="",""," ")&amp;$S62&amp;IF($T62="",""," ")&amp;$T62&amp;IF($U62="",""," ")&amp;$U62&amp;IF($X62="",""," ")&amp;$X62&amp;IF($X62="","","mcd")</f>
        <v>Orange LED clear 2.2V 10mA 70mcd</v>
      </c>
      <c r="E62" t="s" s="17">
        <v>594</v>
      </c>
      <c r="F62" t="s" s="17">
        <v>5</v>
      </c>
      <c r="G62" t="str" s="18" cm="1">
        <f t="array" ref="G62">J62</f>
        <v>Orange</v>
      </c>
      <c r="H62" t="s" s="17">
        <v>596</v>
      </c>
      <c r="I62" t="s" s="19">
        <v>649</v>
      </c>
      <c r="J62" t="s" s="17">
        <v>650</v>
      </c>
      <c r="K62" s="17"/>
      <c r="L62" s="17"/>
      <c r="M62" s="17"/>
      <c r="N62" t="s" s="17">
        <v>344</v>
      </c>
      <c r="O62" s="17"/>
      <c r="P62" s="17"/>
      <c r="Q62" s="17"/>
      <c r="R62" s="17"/>
      <c r="S62" t="s" s="17">
        <v>651</v>
      </c>
      <c r="T62" t="s" s="17">
        <v>652</v>
      </c>
      <c r="U62" s="17"/>
      <c r="V62" s="17"/>
      <c r="W62" t="s" s="17">
        <v>653</v>
      </c>
      <c r="X62" t="s" s="17">
        <v>654</v>
      </c>
      <c r="Y62" s="17"/>
      <c r="Z62" s="24"/>
      <c r="AA62" s="24"/>
      <c r="AB62" t="s" s="19">
        <v>655</v>
      </c>
      <c r="AC62" t="str" s="20" cm="1">
        <f t="array" ref="AC62">IF(ISBLANK(AB62),"",HYPERLINK("https://jlcpcb.com/partdetail/"&amp;$AB62,$AB62))</f>
        <v>C22371303</v>
      </c>
      <c r="AD62" s="27">
        <v>1</v>
      </c>
      <c r="AE62" t="s" s="17">
        <v>349</v>
      </c>
      <c r="AF62" t="s" s="25">
        <v>657</v>
      </c>
      <c r="AG62" t="s" s="17">
        <v>658</v>
      </c>
      <c r="AH62" t="s" s="22">
        <v>608</v>
      </c>
      <c r="AI62" t="s" s="23">
        <v>609</v>
      </c>
      <c r="AJ62" t="s" s="17">
        <v>659</v>
      </c>
    </row>
    <row r="63" ht="18.9" customHeight="1">
      <c r="B63" t="str" s="15" cm="1">
        <f t="array" ref="B63">E63&amp;"_"&amp;G63&amp;"_"&amp;N63&amp;"_"&amp;T63</f>
        <v>LED_Orange_0603_20mA</v>
      </c>
      <c r="C63" t="str" s="16" cm="1">
        <f t="array" ref="C63">$G63&amp;IF($E63="LED"," LED","")&amp;IF($R63="",""," ")&amp;$R63&amp;IF($H63="",""," ")&amp;$H63&amp;IF($S63="",""," ")&amp;$S63&amp;IF($T63="",""," ")&amp;$T63&amp;IF($U63="",""," ")&amp;$U63&amp;IF($X63="",""," ")&amp;$X63&amp;IF($X63="","","mcd")</f>
        <v>Orange LED clear 2.3V 20mA 315mcd</v>
      </c>
      <c r="D63" t="str" s="16" cm="1">
        <f t="array" ref="D63">$G63&amp;" "&amp;E63&amp;IF($R63="",""," ")&amp;$R63&amp;IF($H63="",""," ")&amp;$H63&amp;IF($S63="",""," ")&amp;$S63&amp;IF($T63="",""," ")&amp;$T63&amp;IF($U63="",""," ")&amp;$U63&amp;IF($X63="",""," ")&amp;$X63&amp;IF($X63="","","mcd")</f>
        <v>Orange LED clear 2.3V 20mA 315mcd</v>
      </c>
      <c r="E63" t="s" s="17">
        <v>594</v>
      </c>
      <c r="F63" t="s" s="17">
        <v>5</v>
      </c>
      <c r="G63" t="str" s="18" cm="1">
        <f t="array" ref="G63">J63</f>
        <v>Orange</v>
      </c>
      <c r="H63" t="s" s="17">
        <v>596</v>
      </c>
      <c r="I63" t="s" s="19">
        <v>662</v>
      </c>
      <c r="J63" t="s" s="17">
        <v>650</v>
      </c>
      <c r="K63" s="17"/>
      <c r="L63" s="17"/>
      <c r="M63" s="17"/>
      <c r="N63" t="s" s="17">
        <v>344</v>
      </c>
      <c r="O63" s="17"/>
      <c r="P63" s="17"/>
      <c r="Q63" s="17"/>
      <c r="R63" s="17"/>
      <c r="S63" t="s" s="17">
        <v>663</v>
      </c>
      <c r="T63" t="s" s="17">
        <v>600</v>
      </c>
      <c r="U63" s="17"/>
      <c r="V63" s="17"/>
      <c r="W63" s="17"/>
      <c r="X63" t="s" s="17">
        <v>664</v>
      </c>
      <c r="Y63" s="17"/>
      <c r="Z63" s="24"/>
      <c r="AA63" s="24"/>
      <c r="AB63" t="s" s="19">
        <v>665</v>
      </c>
      <c r="AC63" t="str" s="20" cm="1">
        <f t="array" ref="AC63">IF(ISBLANK(AB63),"",HYPERLINK("https://jlcpcb.com/partdetail/"&amp;$AB63,$AB63))</f>
        <v>C965800</v>
      </c>
      <c r="AD63" s="27">
        <v>2</v>
      </c>
      <c r="AE63" t="s" s="17">
        <v>349</v>
      </c>
      <c r="AF63" t="s" s="25">
        <v>606</v>
      </c>
      <c r="AG63" t="s" s="17">
        <v>667</v>
      </c>
      <c r="AH63" t="s" s="22">
        <v>608</v>
      </c>
      <c r="AI63" t="s" s="23">
        <v>609</v>
      </c>
      <c r="AJ63" t="s" s="17">
        <v>668</v>
      </c>
    </row>
    <row r="64" ht="16.4" customHeight="1">
      <c r="B64" t="str" s="15" cm="1">
        <f t="array" ref="B64">E64&amp;"_"&amp;G64&amp;"_"&amp;N64&amp;"_"&amp;T64</f>
        <v>LED_Orange_0603_20mA</v>
      </c>
      <c r="C64" t="str" s="16" cm="1">
        <f t="array" ref="C64">$G64&amp;IF($E64="LED"," LED","")&amp;IF($R64="",""," ")&amp;$R64&amp;IF($H64="",""," ")&amp;$H64&amp;IF($S64="",""," ")&amp;$S64&amp;IF($T64="",""," ")&amp;$T64&amp;IF($U64="",""," ")&amp;$U64&amp;IF($X64="",""," ")&amp;$X64&amp;IF($X64="","","mcd")</f>
        <v>Orange LED clear 2.3V 20mA 315mcd</v>
      </c>
      <c r="D64" t="str" s="16" cm="1">
        <f t="array" ref="D64">$G64&amp;" "&amp;E64&amp;IF($R64="",""," ")&amp;$R64&amp;IF($H64="",""," ")&amp;$H64&amp;IF($S64="",""," ")&amp;$S64&amp;IF($T64="",""," ")&amp;$T64&amp;IF($U64="",""," ")&amp;$U64&amp;IF($X64="",""," ")&amp;$X64&amp;IF($X64="","","mcd")</f>
        <v>Orange LED clear 2.3V 20mA 315mcd</v>
      </c>
      <c r="E64" t="s" s="17">
        <v>594</v>
      </c>
      <c r="F64" t="s" s="17">
        <v>5</v>
      </c>
      <c r="G64" t="str" s="18" cm="1">
        <f t="array" ref="G64">J64</f>
        <v>Orange</v>
      </c>
      <c r="H64" t="s" s="17">
        <v>596</v>
      </c>
      <c r="I64" t="s" s="19">
        <v>662</v>
      </c>
      <c r="J64" t="s" s="17">
        <v>650</v>
      </c>
      <c r="K64" s="17"/>
      <c r="L64" s="17"/>
      <c r="M64" s="17"/>
      <c r="N64" t="s" s="17">
        <v>344</v>
      </c>
      <c r="O64" s="17"/>
      <c r="P64" s="17"/>
      <c r="Q64" s="17"/>
      <c r="R64" s="17"/>
      <c r="S64" t="s" s="17">
        <v>663</v>
      </c>
      <c r="T64" t="s" s="17">
        <v>600</v>
      </c>
      <c r="U64" s="17"/>
      <c r="V64" t="s" s="17">
        <v>601</v>
      </c>
      <c r="W64" t="s" s="17">
        <v>669</v>
      </c>
      <c r="X64" t="s" s="17">
        <v>664</v>
      </c>
      <c r="Y64" s="17"/>
      <c r="Z64" s="24"/>
      <c r="AA64" s="24"/>
      <c r="AB64" t="s" s="19">
        <v>670</v>
      </c>
      <c r="AC64" t="str" s="20" cm="1">
        <f t="array" ref="AC64">IF(ISBLANK(AB64),"",HYPERLINK("https://jlcpcb.com/partdetail/"&amp;$AB64,$AB64))</f>
        <v>C965801</v>
      </c>
      <c r="AD64" s="27">
        <v>3</v>
      </c>
      <c r="AE64" t="s" s="17">
        <v>211</v>
      </c>
      <c r="AF64" t="s" s="25">
        <v>606</v>
      </c>
      <c r="AG64" t="s" s="17">
        <v>672</v>
      </c>
      <c r="AH64" t="s" s="36">
        <v>608</v>
      </c>
      <c r="AI64" t="s" s="23">
        <v>609</v>
      </c>
      <c r="AJ64" t="s" s="17">
        <v>668</v>
      </c>
    </row>
    <row r="65" ht="18.05" customHeight="1">
      <c r="B65" t="str" s="15" cm="1">
        <f t="array" ref="B65">E65&amp;"_"&amp;G65&amp;"_"&amp;N65&amp;"_"&amp;T65</f>
        <v>LED_Yellow_0603_20mA</v>
      </c>
      <c r="C65" t="str" s="16" cm="1">
        <f t="array" ref="C65">$G65&amp;IF($E65="LED"," LED","")&amp;IF($R65="",""," ")&amp;$R65&amp;IF($H65="",""," ")&amp;$H65&amp;IF($S65="",""," ")&amp;$S65&amp;IF($T65="",""," ")&amp;$T65&amp;IF($U65="",""," ")&amp;$U65&amp;IF($X65="",""," ")&amp;$X65&amp;IF($X65="","","mcd")</f>
        <v>Yellow LED clear 2.3V 20mA 450mcd</v>
      </c>
      <c r="D65" t="str" s="16" cm="1">
        <f t="array" ref="D65">$G65&amp;" "&amp;E65&amp;IF($R65="",""," ")&amp;$R65&amp;IF($H65="",""," ")&amp;$H65&amp;IF($S65="",""," ")&amp;$S65&amp;IF($T65="",""," ")&amp;$T65&amp;IF($U65="",""," ")&amp;$U65&amp;IF($X65="",""," ")&amp;$X65&amp;IF($X65="","","mcd")</f>
        <v>Yellow LED clear 2.3V 20mA 450mcd</v>
      </c>
      <c r="E65" t="s" s="17">
        <v>594</v>
      </c>
      <c r="F65" t="s" s="17">
        <v>5</v>
      </c>
      <c r="G65" t="str" s="18" cm="1">
        <f t="array" ref="G65">J65</f>
        <v>Yellow</v>
      </c>
      <c r="H65" t="s" s="17">
        <v>596</v>
      </c>
      <c r="I65" t="s" s="19">
        <v>676</v>
      </c>
      <c r="J65" t="s" s="17">
        <v>677</v>
      </c>
      <c r="K65" s="17"/>
      <c r="L65" s="17"/>
      <c r="M65" s="17"/>
      <c r="N65" t="s" s="17">
        <v>344</v>
      </c>
      <c r="O65" s="17"/>
      <c r="P65" s="17"/>
      <c r="Q65" s="17"/>
      <c r="R65" s="17"/>
      <c r="S65" t="s" s="17">
        <v>663</v>
      </c>
      <c r="T65" t="s" s="17">
        <v>600</v>
      </c>
      <c r="U65" s="17"/>
      <c r="V65" t="s" s="17">
        <v>601</v>
      </c>
      <c r="W65" t="s" s="17">
        <v>678</v>
      </c>
      <c r="X65" t="s" s="17">
        <v>679</v>
      </c>
      <c r="Y65" s="17"/>
      <c r="Z65" s="24"/>
      <c r="AA65" s="24"/>
      <c r="AB65" t="s" s="19">
        <v>680</v>
      </c>
      <c r="AC65" t="str" s="20" cm="1">
        <f t="array" ref="AC65">IF(ISBLANK(AB65),"",HYPERLINK("https://jlcpcb.com/partdetail/"&amp;$AB65,$AB65))</f>
        <v>C965803</v>
      </c>
      <c r="AD65" s="27">
        <v>10</v>
      </c>
      <c r="AE65" t="s" s="17">
        <v>211</v>
      </c>
      <c r="AF65" t="s" s="25">
        <v>606</v>
      </c>
      <c r="AG65" t="s" s="17">
        <v>682</v>
      </c>
      <c r="AH65" t="s" s="36">
        <v>608</v>
      </c>
      <c r="AI65" t="s" s="23">
        <v>609</v>
      </c>
      <c r="AJ65" t="s" s="17">
        <v>683</v>
      </c>
    </row>
    <row r="66" ht="18.9" customHeight="1">
      <c r="B66" t="str" s="15" cm="1">
        <f t="array" ref="B66">E66&amp;"_"&amp;G66&amp;"_"&amp;N66&amp;"_"&amp;T66</f>
        <v>LED_Red_0603_20mA</v>
      </c>
      <c r="C66" t="str" s="16" cm="1">
        <f t="array" ref="C66">$G66&amp;IF($E66="LED"," LED","")&amp;IF($R66="",""," ")&amp;$R66&amp;IF($H66="",""," ")&amp;$H66&amp;IF($S66="",""," ")&amp;$S66&amp;IF($T66="",""," ")&amp;$T66&amp;IF($U66="",""," ")&amp;$U66&amp;IF($X66="",""," ")&amp;$X66&amp;IF($X66="","","mcd")</f>
        <v>Red LED clear 2.2V 20mA 150mcd</v>
      </c>
      <c r="D66" t="str" s="16" cm="1">
        <f t="array" ref="D66">$G66&amp;" "&amp;E66&amp;IF($R66="",""," ")&amp;$R66&amp;IF($H66="",""," ")&amp;$H66&amp;IF($S66="",""," ")&amp;$S66&amp;IF($T66="",""," ")&amp;$T66&amp;IF($U66="",""," ")&amp;$U66&amp;IF($X66="",""," ")&amp;$X66&amp;IF($X66="","","mcd")</f>
        <v>Red LED clear 2.2V 20mA 150mcd</v>
      </c>
      <c r="E66" t="s" s="17">
        <v>594</v>
      </c>
      <c r="F66" t="s" s="17">
        <v>5</v>
      </c>
      <c r="G66" t="str" s="18" cm="1">
        <f t="array" ref="G66">J66</f>
        <v>Red</v>
      </c>
      <c r="H66" t="s" s="17">
        <v>596</v>
      </c>
      <c r="I66" t="s" s="19">
        <v>687</v>
      </c>
      <c r="J66" t="s" s="17">
        <v>688</v>
      </c>
      <c r="K66" s="17"/>
      <c r="L66" s="17"/>
      <c r="M66" s="17"/>
      <c r="N66" t="s" s="17">
        <v>344</v>
      </c>
      <c r="O66" s="17"/>
      <c r="P66" s="17"/>
      <c r="Q66" s="17"/>
      <c r="R66" s="17"/>
      <c r="S66" t="s" s="17">
        <v>651</v>
      </c>
      <c r="T66" t="s" s="17">
        <v>600</v>
      </c>
      <c r="U66" s="17"/>
      <c r="V66" s="17"/>
      <c r="W66" s="17"/>
      <c r="X66" t="s" s="17">
        <v>689</v>
      </c>
      <c r="Y66" s="17"/>
      <c r="Z66" s="24"/>
      <c r="AA66" s="24"/>
      <c r="AB66" t="s" s="19">
        <v>690</v>
      </c>
      <c r="AC66" t="str" s="20" cm="1">
        <f t="array" ref="AC66">IF(ISBLANK(AB66),"",HYPERLINK("https://jlcpcb.com/partdetail/"&amp;$AB66,$AB66))</f>
        <v>C7288939</v>
      </c>
      <c r="AD66" s="27">
        <v>2</v>
      </c>
      <c r="AE66" t="s" s="17">
        <v>349</v>
      </c>
      <c r="AF66" t="s" s="25">
        <v>692</v>
      </c>
      <c r="AG66" t="s" s="17">
        <v>693</v>
      </c>
      <c r="AH66" t="s" s="22">
        <v>608</v>
      </c>
      <c r="AI66" t="s" s="23">
        <v>609</v>
      </c>
      <c r="AJ66" t="s" s="17">
        <v>694</v>
      </c>
    </row>
    <row r="67" ht="18.9" customHeight="1">
      <c r="B67" t="str" s="15" cm="1">
        <f t="array" ref="B67">E67&amp;"_"&amp;G67&amp;"_"&amp;N67&amp;"_"&amp;T67</f>
        <v>LED_Red_0603_20mA</v>
      </c>
      <c r="C67" t="str" s="16" cm="1">
        <f t="array" ref="C67">$G67&amp;IF($E67="LED"," LED","")&amp;IF($R67="",""," ")&amp;$R67&amp;IF($H67="",""," ")&amp;$H67&amp;IF($S67="",""," ")&amp;$S67&amp;IF($T67="",""," ")&amp;$T67&amp;IF($U67="",""," ")&amp;$U67&amp;IF($X67="",""," ")&amp;$X67&amp;IF($X67="","","mcd")</f>
        <v>Red LED clear 2.3V 20mA 330mcd</v>
      </c>
      <c r="D67" t="str" s="16" cm="1">
        <f t="array" ref="D67">$G67&amp;" "&amp;E67&amp;IF($R67="",""," ")&amp;$R67&amp;IF($H67="",""," ")&amp;$H67&amp;IF($S67="",""," ")&amp;$S67&amp;IF($T67="",""," ")&amp;$T67&amp;IF($U67="",""," ")&amp;$U67&amp;IF($X67="",""," ")&amp;$X67&amp;IF($X67="","","mcd")</f>
        <v>Red LED clear 2.3V 20mA 330mcd</v>
      </c>
      <c r="E67" t="s" s="17">
        <v>594</v>
      </c>
      <c r="F67" t="s" s="17">
        <v>5</v>
      </c>
      <c r="G67" t="str" s="18" cm="1">
        <f t="array" ref="G67">J67</f>
        <v>Red</v>
      </c>
      <c r="H67" t="s" s="17">
        <v>596</v>
      </c>
      <c r="I67" t="s" s="19">
        <v>696</v>
      </c>
      <c r="J67" t="s" s="17">
        <v>688</v>
      </c>
      <c r="K67" s="17"/>
      <c r="L67" s="17"/>
      <c r="M67" s="17"/>
      <c r="N67" t="s" s="17">
        <v>344</v>
      </c>
      <c r="O67" s="17"/>
      <c r="P67" s="17"/>
      <c r="Q67" s="17"/>
      <c r="R67" s="17"/>
      <c r="S67" t="s" s="17">
        <v>663</v>
      </c>
      <c r="T67" t="s" s="17">
        <v>600</v>
      </c>
      <c r="U67" s="17"/>
      <c r="V67" s="17"/>
      <c r="W67" s="17"/>
      <c r="X67" t="s" s="17">
        <v>697</v>
      </c>
      <c r="Y67" s="17"/>
      <c r="Z67" s="24"/>
      <c r="AA67" s="24"/>
      <c r="AB67" t="s" s="19">
        <v>698</v>
      </c>
      <c r="AC67" t="str" s="20" cm="1">
        <f t="array" ref="AC67">IF(ISBLANK(AB67),"",HYPERLINK("https://jlcpcb.com/partdetail/"&amp;$AB67,$AB67))</f>
        <v>C965799</v>
      </c>
      <c r="AD67" s="27">
        <v>1</v>
      </c>
      <c r="AE67" t="s" s="17">
        <v>349</v>
      </c>
      <c r="AF67" t="s" s="25">
        <v>606</v>
      </c>
      <c r="AG67" t="s" s="17">
        <v>700</v>
      </c>
      <c r="AH67" t="s" s="22">
        <v>608</v>
      </c>
      <c r="AI67" t="s" s="23">
        <v>609</v>
      </c>
      <c r="AJ67" t="s" s="17">
        <v>701</v>
      </c>
    </row>
    <row r="68" ht="18.05" customHeight="1">
      <c r="B68" t="str" s="15" cm="1">
        <f t="array" ref="B68">E68&amp;"_"&amp;G68&amp;"_"&amp;N68&amp;"_"&amp;T68</f>
        <v>LED_Red_0603_20mA</v>
      </c>
      <c r="C68" t="str" s="16" cm="1">
        <f t="array" ref="C68">$G68&amp;IF($E68="LED"," LED","")&amp;IF($R68="",""," ")&amp;$R68&amp;IF($H68="",""," ")&amp;$H68&amp;IF($S68="",""," ")&amp;$S68&amp;IF($T68="",""," ")&amp;$T68&amp;IF($U68="",""," ")&amp;$U68&amp;IF($X68="",""," ")&amp;$X68&amp;IF($X68="","","mcd")</f>
        <v>Red LED clear 2.4V 20mA 360mcd</v>
      </c>
      <c r="D68" t="str" s="16" cm="1">
        <f t="array" ref="D68">$G68&amp;" "&amp;E68&amp;IF($R68="",""," ")&amp;$R68&amp;IF($H68="",""," ")&amp;$H68&amp;IF($S68="",""," ")&amp;$S68&amp;IF($T68="",""," ")&amp;$T68&amp;IF($U68="",""," ")&amp;$U68&amp;IF($X68="",""," ")&amp;$X68&amp;IF($X68="","","mcd")</f>
        <v>Red LED clear 2.4V 20mA 360mcd</v>
      </c>
      <c r="E68" t="s" s="17">
        <v>594</v>
      </c>
      <c r="F68" t="s" s="17">
        <v>5</v>
      </c>
      <c r="G68" t="str" s="18" cm="1">
        <f t="array" ref="G68">J68</f>
        <v>Red</v>
      </c>
      <c r="H68" t="s" s="17">
        <v>596</v>
      </c>
      <c r="I68" t="s" s="19">
        <v>703</v>
      </c>
      <c r="J68" t="s" s="17">
        <v>688</v>
      </c>
      <c r="K68" s="17"/>
      <c r="L68" s="17"/>
      <c r="M68" s="17"/>
      <c r="N68" t="s" s="17">
        <v>344</v>
      </c>
      <c r="O68" s="17"/>
      <c r="P68" s="17"/>
      <c r="Q68" s="17"/>
      <c r="R68" s="17"/>
      <c r="S68" t="s" s="17">
        <v>640</v>
      </c>
      <c r="T68" t="s" s="17">
        <v>600</v>
      </c>
      <c r="U68" s="17"/>
      <c r="V68" t="s" s="17">
        <v>601</v>
      </c>
      <c r="W68" t="s" s="17">
        <v>704</v>
      </c>
      <c r="X68" t="s" s="17">
        <v>705</v>
      </c>
      <c r="Y68" s="17"/>
      <c r="Z68" s="24"/>
      <c r="AA68" s="24"/>
      <c r="AB68" t="s" s="19">
        <v>706</v>
      </c>
      <c r="AC68" t="str" s="20" cm="1">
        <f t="array" ref="AC68">IF(ISBLANK(AB68),"",HYPERLINK("https://jlcpcb.com/partdetail/"&amp;$AB68,$AB68))</f>
        <v>C965798</v>
      </c>
      <c r="AD68" s="27">
        <v>3</v>
      </c>
      <c r="AE68" t="s" s="17">
        <v>211</v>
      </c>
      <c r="AF68" t="s" s="25">
        <v>606</v>
      </c>
      <c r="AG68" t="s" s="38">
        <v>708</v>
      </c>
      <c r="AH68" t="s" s="36">
        <v>608</v>
      </c>
      <c r="AI68" t="s" s="23">
        <v>609</v>
      </c>
      <c r="AJ68" t="s" s="17">
        <v>709</v>
      </c>
    </row>
    <row r="69" ht="18.05" customHeight="1">
      <c r="B69" t="str" s="15" cm="1">
        <f t="array" ref="B69">E69&amp;"_"&amp;G69&amp;"_"&amp;N69</f>
        <v>LED_WS2812B_SMD5050</v>
      </c>
      <c r="C69" t="str" s="16" cm="1">
        <f t="array" ref="C69">$G69&amp;IF($E69="LED"," LED","")&amp;IF($R69="",""," ")&amp;$R69&amp;IF($H69="",""," ")&amp;$H69&amp;IF($S69="",""," ")&amp;$S69&amp;IF($T69="",""," ")&amp;$T69&amp;IF($U69="",""," ")&amp;$U69&amp;IF($X69="",""," ")&amp;$X69&amp;IF($X69="","","mcd")</f>
        <v>WS2812B LED WS2812B-WS2812B5050 5v 12mA</v>
      </c>
      <c r="D69" t="str" s="16" cm="1">
        <f t="array" ref="D69">$G69&amp;" "&amp;E69&amp;IF($R69="",""," ")&amp;$R69&amp;IF($H69="",""," ")&amp;$H69&amp;IF($S69="",""," ")&amp;$S69&amp;IF($T69="",""," ")&amp;$T69&amp;IF($U69="",""," ")&amp;$U69&amp;IF($X69="",""," ")&amp;$X69&amp;IF($X69="","","mcd")</f>
        <v>WS2812B LED WS2812B-WS2812B5050 5v 12mA</v>
      </c>
      <c r="E69" t="s" s="17">
        <v>594</v>
      </c>
      <c r="F69" t="s" s="17">
        <v>5</v>
      </c>
      <c r="G69" t="str" s="18" cm="1">
        <f t="array" ref="G69">J69</f>
        <v>WS2812B</v>
      </c>
      <c r="H69" t="s" s="17">
        <v>713</v>
      </c>
      <c r="I69" t="s" s="31">
        <v>714</v>
      </c>
      <c r="J69" t="s" s="17">
        <v>715</v>
      </c>
      <c r="K69" s="17"/>
      <c r="L69" s="17"/>
      <c r="M69" s="17"/>
      <c r="N69" t="s" s="17">
        <v>716</v>
      </c>
      <c r="O69" s="17"/>
      <c r="P69" s="17"/>
      <c r="Q69" s="17"/>
      <c r="R69" s="17"/>
      <c r="S69" t="s" s="17">
        <v>717</v>
      </c>
      <c r="T69" t="s" s="17">
        <v>718</v>
      </c>
      <c r="U69" s="17"/>
      <c r="V69" s="17"/>
      <c r="W69" s="17"/>
      <c r="X69" s="17"/>
      <c r="Y69" s="17"/>
      <c r="Z69" s="24"/>
      <c r="AA69" s="24"/>
      <c r="AB69" t="s" s="19">
        <v>719</v>
      </c>
      <c r="AC69" t="str" s="20" cm="1">
        <f t="array" ref="AC69">IF(ISBLANK(AB69),"",HYPERLINK("https://jlcpcb.com/partdetail/"&amp;$AB69,$AB69))</f>
        <v>C2843785</v>
      </c>
      <c r="AD69" s="27">
        <v>1</v>
      </c>
      <c r="AE69" t="s" s="17">
        <v>211</v>
      </c>
      <c r="AF69" t="s" s="25">
        <v>606</v>
      </c>
      <c r="AG69" t="s" s="32">
        <v>721</v>
      </c>
      <c r="AH69" t="s" s="22">
        <v>722</v>
      </c>
      <c r="AI69" t="s" s="23">
        <v>722</v>
      </c>
      <c r="AJ69" t="s" s="17">
        <v>723</v>
      </c>
    </row>
    <row r="70" ht="19" customHeight="1">
      <c r="B70" t="str" s="15" cm="1">
        <f t="array" ref="B70">E70&amp;"_"&amp;G70&amp;"_"&amp;N70</f>
        <v>REG_AMS1117-ADJ_SOT-223-3</v>
      </c>
      <c r="C70" t="str" s="16" cm="1">
        <f t="array" ref="C70">$G70&amp;IF($E70="LED"," LED","")&amp;IF($R70="",""," ")&amp;$R70&amp;IF($H70="",""," ")&amp;$H70&amp;IF($S70="",""," ")&amp;$S70&amp;IF($T70="",""," ")&amp;$T70&amp;IF($U70="",""," ")&amp;$U70&amp;IF($X70="",""," ")&amp;$X70&amp;IF($X70="","","mcd")</f>
        <v>AMS1117-ADJ ADJ 1.25-10.5v 1A</v>
      </c>
      <c r="D70" t="str" s="16" cm="1">
        <f t="array" ref="D70">$G70&amp;" "&amp;E70&amp;IF($R70="",""," ")&amp;$R70&amp;IF($H70="",""," ")&amp;$H70&amp;IF($S70="",""," ")&amp;$S70&amp;IF($T70="",""," ")&amp;$T70&amp;IF($U70="",""," ")&amp;$U70&amp;IF($X70="",""," ")&amp;$X70&amp;IF($X70="","","mcd")</f>
        <v>AMS1117-ADJ REG ADJ 1.25-10.5v 1A</v>
      </c>
      <c r="E70" t="s" s="17">
        <v>727</v>
      </c>
      <c r="F70" t="s" s="17">
        <v>5</v>
      </c>
      <c r="G70" t="str" s="18" cm="1">
        <f t="array" ref="G70">J70</f>
        <v>AMS1117-ADJ</v>
      </c>
      <c r="H70" t="s" s="17">
        <v>729</v>
      </c>
      <c r="I70" t="s" s="31">
        <v>730</v>
      </c>
      <c r="J70" t="str" s="18" cm="1">
        <f t="array" ref="J70">AG70</f>
        <v>AMS1117-ADJ</v>
      </c>
      <c r="K70" s="19"/>
      <c r="L70" s="19"/>
      <c r="M70" s="19"/>
      <c r="N70" t="s" s="19">
        <v>732</v>
      </c>
      <c r="O70" s="17"/>
      <c r="P70" s="17"/>
      <c r="Q70" s="19"/>
      <c r="R70" s="17"/>
      <c r="S70" t="s" s="17">
        <v>733</v>
      </c>
      <c r="T70" t="s" s="32">
        <v>734</v>
      </c>
      <c r="U70" s="32"/>
      <c r="V70" s="32"/>
      <c r="W70" s="32"/>
      <c r="X70" s="17"/>
      <c r="Y70" s="17"/>
      <c r="Z70" s="24"/>
      <c r="AA70" s="24"/>
      <c r="AB70" t="s" s="19">
        <v>735</v>
      </c>
      <c r="AC70" t="str" s="20" cm="1">
        <f t="array" ref="AC70">IF(ISBLANK(AB70),"",HYPERLINK("https://jlcpcb.com/partdetail/"&amp;$AB70,$AB70))</f>
        <v>C5345985</v>
      </c>
      <c r="AD70" s="27">
        <v>10</v>
      </c>
      <c r="AE70" t="s" s="17">
        <v>211</v>
      </c>
      <c r="AF70" t="s" s="26">
        <v>737</v>
      </c>
      <c r="AG70" t="s" s="19">
        <v>731</v>
      </c>
      <c r="AH70" t="s" s="25">
        <v>738</v>
      </c>
      <c r="AI70" t="s" s="23">
        <v>739</v>
      </c>
      <c r="AJ70" t="s" s="17">
        <v>740</v>
      </c>
    </row>
    <row r="71" ht="19" customHeight="1">
      <c r="B71" t="str" s="15" cm="1">
        <f t="array" ref="B71">E71&amp;"_"&amp;G71&amp;"_"&amp;N71</f>
        <v>REG_AMS1117-3.3_SOT-223-3</v>
      </c>
      <c r="C71" t="str" s="16" cm="1">
        <f t="array" ref="C71">$G71&amp;IF($E71="LED"," LED","")&amp;IF($R71="",""," ")&amp;$R71&amp;IF($H71="",""," ")&amp;$H71&amp;IF($S71="",""," ")&amp;$S71&amp;IF($T71="",""," ")&amp;$T71&amp;IF($U71="",""," ")&amp;$U71&amp;IF($X71="",""," ")&amp;$X71&amp;IF($X71="","","mcd")</f>
        <v>AMS1117-3.3 3v3 3v3 1A</v>
      </c>
      <c r="D71" t="str" s="16" cm="1">
        <f t="array" ref="D71">$G71&amp;" "&amp;E71&amp;IF($R71="",""," ")&amp;$R71&amp;IF($H71="",""," ")&amp;$H71&amp;IF($S71="",""," ")&amp;$S71&amp;IF($T71="",""," ")&amp;$T71&amp;IF($U71="",""," ")&amp;$U71&amp;IF($X71="",""," ")&amp;$X71&amp;IF($X71="","","mcd")</f>
        <v>AMS1117-3.3 REG 3v3 3v3 1A</v>
      </c>
      <c r="E71" t="s" s="17">
        <v>727</v>
      </c>
      <c r="F71" t="s" s="17">
        <v>5</v>
      </c>
      <c r="G71" t="str" s="18" cm="1">
        <f t="array" ref="G71">J71</f>
        <v>AMS1117-3.3</v>
      </c>
      <c r="H71" t="s" s="17">
        <v>745</v>
      </c>
      <c r="I71" t="s" s="31">
        <v>746</v>
      </c>
      <c r="J71" t="str" s="18" cm="1">
        <f t="array" ref="J71">AG71</f>
        <v>AMS1117-3.3</v>
      </c>
      <c r="K71" s="19"/>
      <c r="L71" s="19"/>
      <c r="M71" s="19"/>
      <c r="N71" t="s" s="19">
        <v>732</v>
      </c>
      <c r="O71" s="17"/>
      <c r="P71" s="17"/>
      <c r="Q71" s="19"/>
      <c r="R71" s="17"/>
      <c r="S71" t="s" s="17">
        <v>745</v>
      </c>
      <c r="T71" t="s" s="32">
        <v>734</v>
      </c>
      <c r="U71" s="32"/>
      <c r="V71" s="32"/>
      <c r="W71" s="32"/>
      <c r="X71" s="17"/>
      <c r="Y71" s="17"/>
      <c r="Z71" s="24"/>
      <c r="AA71" s="24"/>
      <c r="AB71" t="s" s="19">
        <v>748</v>
      </c>
      <c r="AC71" t="str" s="20" cm="1">
        <f t="array" ref="AC71">IF(ISBLANK(AB71),"",HYPERLINK("https://jlcpcb.com/partdetail/"&amp;$AB71,$AB71))</f>
        <v>C5345982</v>
      </c>
      <c r="AD71" s="27">
        <v>10</v>
      </c>
      <c r="AE71" t="s" s="17">
        <v>211</v>
      </c>
      <c r="AF71" t="s" s="26">
        <v>737</v>
      </c>
      <c r="AG71" t="s" s="19">
        <v>747</v>
      </c>
      <c r="AH71" t="s" s="25">
        <v>738</v>
      </c>
      <c r="AI71" t="s" s="23">
        <v>739</v>
      </c>
      <c r="AJ71" t="s" s="17">
        <v>750</v>
      </c>
    </row>
    <row r="72" ht="19" customHeight="1">
      <c r="B72" t="str" s="15" cm="1">
        <f t="array" ref="B72">E72&amp;"_"&amp;G72&amp;"_"&amp;N72</f>
        <v>REG_AMS1117-5.0_SOT-223-3</v>
      </c>
      <c r="C72" t="str" s="16" cm="1">
        <f t="array" ref="C72">$G72&amp;IF($E72="LED"," LED","")&amp;IF($R72="",""," ")&amp;$R72&amp;IF($H72="",""," ")&amp;$H72&amp;IF($S72="",""," ")&amp;$S72&amp;IF($T72="",""," ")&amp;$T72&amp;IF($U72="",""," ")&amp;$U72&amp;IF($X72="",""," ")&amp;$X72&amp;IF($X72="","","mcd")</f>
        <v>AMS1117-5.0 5v 5v0 1A</v>
      </c>
      <c r="D72" t="str" s="16" cm="1">
        <f t="array" ref="D72">$G72&amp;" "&amp;E72&amp;IF($R72="",""," ")&amp;$R72&amp;IF($H72="",""," ")&amp;$H72&amp;IF($S72="",""," ")&amp;$S72&amp;IF($T72="",""," ")&amp;$T72&amp;IF($U72="",""," ")&amp;$U72&amp;IF($X72="",""," ")&amp;$X72&amp;IF($X72="","","mcd")</f>
        <v>AMS1117-5.0 REG 5v 5v0 1A</v>
      </c>
      <c r="E72" t="s" s="17">
        <v>727</v>
      </c>
      <c r="F72" t="s" s="17">
        <v>5</v>
      </c>
      <c r="G72" t="str" s="18" cm="1">
        <f t="array" ref="G72">J72</f>
        <v>AMS1117-5.0</v>
      </c>
      <c r="H72" t="s" s="17">
        <v>717</v>
      </c>
      <c r="I72" t="s" s="31">
        <v>755</v>
      </c>
      <c r="J72" t="str" s="18" cm="1">
        <f t="array" ref="J72">AG72</f>
        <v>AMS1117-5.0</v>
      </c>
      <c r="K72" s="19"/>
      <c r="L72" s="19"/>
      <c r="M72" s="19"/>
      <c r="N72" t="s" s="19">
        <v>732</v>
      </c>
      <c r="O72" s="17"/>
      <c r="P72" s="17"/>
      <c r="Q72" s="19"/>
      <c r="R72" s="17"/>
      <c r="S72" t="s" s="17">
        <v>757</v>
      </c>
      <c r="T72" t="s" s="32">
        <v>734</v>
      </c>
      <c r="U72" s="32"/>
      <c r="V72" s="32"/>
      <c r="W72" s="32"/>
      <c r="X72" s="17"/>
      <c r="Y72" s="17"/>
      <c r="Z72" s="24"/>
      <c r="AA72" s="24"/>
      <c r="AB72" t="s" s="19">
        <v>758</v>
      </c>
      <c r="AC72" t="str" s="20" cm="1">
        <f t="array" ref="AC72">IF(ISBLANK(AB72),"",HYPERLINK("https://jlcpcb.com/partdetail/"&amp;$AB72,$AB72))</f>
        <v>C5345984</v>
      </c>
      <c r="AD72" s="27">
        <v>1</v>
      </c>
      <c r="AE72" t="s" s="17">
        <v>211</v>
      </c>
      <c r="AF72" t="s" s="26">
        <v>737</v>
      </c>
      <c r="AG72" t="s" s="19">
        <v>756</v>
      </c>
      <c r="AH72" t="s" s="25">
        <v>738</v>
      </c>
      <c r="AI72" t="s" s="23">
        <v>739</v>
      </c>
      <c r="AJ72" t="s" s="17">
        <v>760</v>
      </c>
    </row>
    <row r="73" ht="19" customHeight="1">
      <c r="B73" t="str" s="15" cm="1">
        <f t="array" ref="B73">E73&amp;"_"&amp;G73&amp;"_"&amp;N73</f>
        <v>REG_78L05_TO-220</v>
      </c>
      <c r="C73" t="str" s="16" cm="1">
        <f t="array" ref="C73">$G73&amp;IF($E73="LED"," LED","")&amp;IF($R73="",""," ")&amp;$R73&amp;IF($H73="",""," ")&amp;$H73&amp;IF($S73="",""," ")&amp;$S73&amp;IF($T73="",""," ")&amp;$T73&amp;IF($U73="",""," ")&amp;$U73&amp;IF($X73="",""," ")&amp;$X73&amp;IF($X73="","","mcd")</f>
        <v>78L05 5v</v>
      </c>
      <c r="D73" t="str" s="16" cm="1">
        <f t="array" ref="D73">$G73&amp;" "&amp;E73&amp;IF($R73="",""," ")&amp;$R73&amp;IF($H73="",""," ")&amp;$H73&amp;IF($S73="",""," ")&amp;$S73&amp;IF($T73="",""," ")&amp;$T73&amp;IF($U73="",""," ")&amp;$U73&amp;IF($X73="",""," ")&amp;$X73&amp;IF($X73="","","mcd")</f>
        <v>78L05 REG 5v</v>
      </c>
      <c r="E73" t="s" s="17">
        <v>727</v>
      </c>
      <c r="F73" t="s" s="17">
        <v>202</v>
      </c>
      <c r="G73" t="str" s="18" cm="1">
        <f t="array" ref="G73">J73</f>
        <v>78L05</v>
      </c>
      <c r="H73" t="s" s="17">
        <v>717</v>
      </c>
      <c r="I73" t="s" s="31">
        <v>765</v>
      </c>
      <c r="J73" t="s" s="32">
        <v>766</v>
      </c>
      <c r="K73" s="19"/>
      <c r="L73" s="19"/>
      <c r="M73" s="19"/>
      <c r="N73" t="s" s="19">
        <v>767</v>
      </c>
      <c r="O73" s="17"/>
      <c r="P73" s="17"/>
      <c r="Q73" s="19"/>
      <c r="R73" s="17"/>
      <c r="S73" s="17"/>
      <c r="T73" s="32"/>
      <c r="U73" s="32"/>
      <c r="V73" s="32"/>
      <c r="W73" s="32"/>
      <c r="X73" s="17"/>
      <c r="Y73" s="17"/>
      <c r="Z73" s="24"/>
      <c r="AA73" s="24"/>
      <c r="AB73" s="24"/>
      <c r="AC73" t="str" s="20" cm="1">
        <f t="array" ref="AC73">IF(ISBLANK(AB73),"",HYPERLINK("https://jlcpcb.com/partdetail/"&amp;$AB73,$AB73))</f>
      </c>
      <c r="AD73" s="27">
        <v>10</v>
      </c>
      <c r="AE73" t="s" s="17">
        <v>211</v>
      </c>
      <c r="AF73" s="39"/>
      <c r="AG73" s="24"/>
      <c r="AH73" s="15"/>
      <c r="AI73" s="28"/>
      <c r="AJ73" s="18"/>
    </row>
    <row r="74" ht="19" customHeight="1">
      <c r="B74" t="str" s="15" cm="1">
        <f t="array" ref="B74">E74&amp;"_"&amp;G74&amp;"_"&amp;N74</f>
        <v>RLY_G2RL-2_29x12.7x15.7mm</v>
      </c>
      <c r="C74" t="str" s="16" cm="1">
        <f t="array" ref="C74">$G74&amp;IF($E74="LED"," LED","")&amp;IF($R74="",""," ")&amp;$R74&amp;IF($H74="",""," ")&amp;$H74&amp;IF($S74="",""," ")&amp;$S74&amp;IF($T74="",""," ")&amp;$T74&amp;IF($U74="",""," ")&amp;$U74&amp;IF($X74="",""," ")&amp;$X74&amp;IF($X74="","","mcd")</f>
        <v>G2RL-2 24v DPDT 24v 8A</v>
      </c>
      <c r="D74" t="str" s="16" cm="1">
        <f t="array" ref="D74">$G74&amp;" "&amp;E74&amp;IF($R74="",""," ")&amp;$R74&amp;IF($H74="",""," ")&amp;$H74&amp;IF($S74="",""," ")&amp;$S74&amp;IF($T74="",""," ")&amp;$T74&amp;IF($U74="",""," ")&amp;$U74&amp;IF($X74="",""," ")&amp;$X74&amp;IF($X74="","","mcd")</f>
        <v>G2RL-2 RLY 24v DPDT 24v 8A</v>
      </c>
      <c r="E74" t="s" s="17">
        <v>771</v>
      </c>
      <c r="F74" t="s" s="17">
        <v>202</v>
      </c>
      <c r="G74" t="str" s="18" cm="1">
        <f t="array" ref="G74">J74</f>
        <v>G2RL-2</v>
      </c>
      <c r="H74" t="s" s="17">
        <v>773</v>
      </c>
      <c r="I74" t="s" s="31">
        <v>774</v>
      </c>
      <c r="J74" t="s" s="17">
        <v>775</v>
      </c>
      <c r="K74" s="19"/>
      <c r="L74" s="19"/>
      <c r="M74" s="19"/>
      <c r="N74" t="s" s="19">
        <v>776</v>
      </c>
      <c r="O74" s="17"/>
      <c r="P74" s="17"/>
      <c r="Q74" s="19"/>
      <c r="R74" s="17"/>
      <c r="S74" t="s" s="17">
        <v>777</v>
      </c>
      <c r="T74" t="s" s="32">
        <v>778</v>
      </c>
      <c r="U74" s="32"/>
      <c r="V74" s="32"/>
      <c r="W74" s="32"/>
      <c r="X74" s="17"/>
      <c r="Y74" s="17"/>
      <c r="Z74" s="24"/>
      <c r="AA74" s="24"/>
      <c r="AB74" s="24"/>
      <c r="AC74" t="str" s="20" cm="1">
        <f t="array" ref="AC74">IF(ISBLANK(AB74),"",HYPERLINK("https://jlcpcb.com/partdetail/"&amp;$AB74,$AB74))</f>
      </c>
      <c r="AD74" s="27">
        <v>10</v>
      </c>
      <c r="AE74" t="s" s="17">
        <v>211</v>
      </c>
      <c r="AF74" t="s" s="26">
        <v>779</v>
      </c>
      <c r="AG74" t="s" s="19">
        <v>780</v>
      </c>
      <c r="AH74" t="s" s="25">
        <v>781</v>
      </c>
      <c r="AI74" t="s" s="23">
        <v>782</v>
      </c>
      <c r="AJ74" t="s" s="17">
        <v>783</v>
      </c>
    </row>
    <row r="75" ht="19" customHeight="1">
      <c r="B75" t="str" s="15" cm="1">
        <f t="array" ref="B75">E75&amp;"_"&amp;H75&amp;"_"&amp;T75&amp;"_"&amp;N76&amp;"_"&amp;G75</f>
        <v>Q_NPN_600mA_SOT-23_MMBT2222LT1G</v>
      </c>
      <c r="C75" t="str" s="16" cm="1">
        <f t="array" ref="C75">$G75&amp;IF($E75="LED"," LED","")&amp;IF($R75="",""," ")&amp;$R75&amp;IF($H75="",""," ")&amp;$H75&amp;IF($S75="",""," ")&amp;$S75&amp;IF($T75="",""," ")&amp;$T75&amp;IF($U75="",""," ")&amp;$U75&amp;IF($X75="",""," ")&amp;$X75&amp;IF($X75="","","mcd")</f>
        <v>MMBT2222LT1G NPN 30V 600mA 300mW</v>
      </c>
      <c r="D75" t="str" s="16" cm="1">
        <f t="array" ref="D75">$G75&amp;" "&amp;E75&amp;IF($R75="",""," ")&amp;$R75&amp;IF($H75="",""," ")&amp;$H75&amp;IF($S75="",""," ")&amp;$S75&amp;IF($T75="",""," ")&amp;$T75&amp;IF($U75="",""," ")&amp;$U75&amp;IF($X75="",""," ")&amp;$X75&amp;IF($X75="","","mcd")</f>
        <v>MMBT2222LT1G Q NPN 30V 600mA 300mW</v>
      </c>
      <c r="E75" t="s" s="17">
        <v>787</v>
      </c>
      <c r="F75" t="s" s="17">
        <v>5</v>
      </c>
      <c r="G75" t="str" s="18" cm="1">
        <f t="array" ref="G75">J75</f>
        <v>MMBT2222LT1G</v>
      </c>
      <c r="H75" t="s" s="17">
        <v>789</v>
      </c>
      <c r="I75" t="s" s="31">
        <v>790</v>
      </c>
      <c r="J75" t="str" s="18" cm="1">
        <f t="array" ref="J75">AG75</f>
        <v>MMBT2222LT1G</v>
      </c>
      <c r="K75" s="17"/>
      <c r="L75" s="17"/>
      <c r="M75" s="17"/>
      <c r="N75" t="s" s="17">
        <v>486</v>
      </c>
      <c r="O75" s="17"/>
      <c r="P75" s="17"/>
      <c r="Q75" s="17"/>
      <c r="R75" s="17"/>
      <c r="S75" t="s" s="17">
        <v>487</v>
      </c>
      <c r="T75" t="s" s="32">
        <v>791</v>
      </c>
      <c r="U75" t="s" s="32">
        <v>792</v>
      </c>
      <c r="V75" s="32"/>
      <c r="W75" s="32"/>
      <c r="X75" s="17"/>
      <c r="Y75" s="17"/>
      <c r="Z75" s="24"/>
      <c r="AA75" s="24"/>
      <c r="AB75" s="24"/>
      <c r="AC75" t="str" s="20" cm="1">
        <f t="array" ref="AC75">IF(ISBLANK(AB75),"",HYPERLINK("https://jlcpcb.com/partdetail/"&amp;$AB75,$AB75))</f>
      </c>
      <c r="AD75" s="27">
        <v>10</v>
      </c>
      <c r="AE75" t="s" s="17">
        <v>211</v>
      </c>
      <c r="AF75" t="s" s="25">
        <v>793</v>
      </c>
      <c r="AG75" t="s" s="32">
        <v>794</v>
      </c>
      <c r="AH75" t="s" s="25">
        <v>795</v>
      </c>
      <c r="AI75" t="s" s="23">
        <v>493</v>
      </c>
      <c r="AJ75" s="18"/>
    </row>
    <row r="76" ht="19" customHeight="1">
      <c r="B76" t="str" s="15" cm="1">
        <f t="array" ref="B76">E76&amp;"_"&amp;H76&amp;"_"&amp;T76&amp;"_"&amp;N77&amp;"_"&amp;G76</f>
        <v>Q_NPN_200mA_SOT-23_MMBT3904</v>
      </c>
      <c r="C76" t="str" s="16" cm="1">
        <f t="array" ref="C76">$G76&amp;IF($E76="LED"," LED","")&amp;IF($R76="",""," ")&amp;$R76&amp;IF($H76="",""," ")&amp;$H76&amp;IF($S76="",""," ")&amp;$S76&amp;IF($T76="",""," ")&amp;$T76&amp;IF($U76="",""," ")&amp;$U76&amp;IF($X76="",""," ")&amp;$X76&amp;IF($X76="","","mcd")</f>
        <v>MMBT3904 NPN 40V 200mA 200mW</v>
      </c>
      <c r="D76" t="str" s="16" cm="1">
        <f t="array" ref="D76">$G76&amp;" "&amp;E76&amp;IF($R76="",""," ")&amp;$R76&amp;IF($H76="",""," ")&amp;$H76&amp;IF($S76="",""," ")&amp;$S76&amp;IF($T76="",""," ")&amp;$T76&amp;IF($U76="",""," ")&amp;$U76&amp;IF($X76="",""," ")&amp;$X76&amp;IF($X76="","","mcd")</f>
        <v>MMBT3904 Q NPN 40V 200mA 200mW</v>
      </c>
      <c r="E76" t="s" s="17">
        <v>787</v>
      </c>
      <c r="F76" t="s" s="17">
        <v>5</v>
      </c>
      <c r="G76" t="str" s="18" cm="1">
        <f t="array" ref="G76">J76</f>
        <v>MMBT3904</v>
      </c>
      <c r="H76" t="s" s="17">
        <v>789</v>
      </c>
      <c r="I76" t="s" s="31">
        <v>800</v>
      </c>
      <c r="J76" t="str" s="18" cm="1">
        <f t="array" ref="J76">AG76</f>
        <v>MMBT3904</v>
      </c>
      <c r="K76" s="17"/>
      <c r="L76" s="17"/>
      <c r="M76" s="17"/>
      <c r="N76" t="s" s="17">
        <v>486</v>
      </c>
      <c r="O76" s="17"/>
      <c r="P76" s="17"/>
      <c r="Q76" s="17"/>
      <c r="R76" s="17"/>
      <c r="S76" t="s" s="17">
        <v>801</v>
      </c>
      <c r="T76" t="s" s="32">
        <v>802</v>
      </c>
      <c r="U76" t="s" s="32">
        <v>472</v>
      </c>
      <c r="V76" s="32"/>
      <c r="W76" s="32"/>
      <c r="X76" s="17"/>
      <c r="Y76" s="17"/>
      <c r="Z76" s="24"/>
      <c r="AA76" s="24"/>
      <c r="AB76" t="s" s="19">
        <v>803</v>
      </c>
      <c r="AC76" t="str" s="20" cm="1">
        <f t="array" ref="AC76">IF(ISBLANK(AB76),"",HYPERLINK("https://jlcpcb.com/partdetail/"&amp;$AB76,$AB76))</f>
        <v>C5184404</v>
      </c>
      <c r="AD76" s="27">
        <v>1</v>
      </c>
      <c r="AE76" t="s" s="17">
        <v>211</v>
      </c>
      <c r="AF76" t="s" s="25">
        <v>490</v>
      </c>
      <c r="AG76" t="s" s="32">
        <v>805</v>
      </c>
      <c r="AH76" t="s" s="25">
        <v>795</v>
      </c>
      <c r="AI76" t="s" s="23">
        <v>493</v>
      </c>
      <c r="AJ76" t="s" s="17">
        <v>806</v>
      </c>
    </row>
    <row r="77" ht="19" customHeight="1">
      <c r="B77" t="str" s="15" cm="1">
        <f t="array" ref="B77">E77&amp;"_"&amp;H77&amp;"_"&amp;T77&amp;"_"&amp;N78&amp;"_"&amp;G77</f>
        <v>Q_PNP_500mA_SOT-23_BC807</v>
      </c>
      <c r="C77" t="str" s="16" cm="1">
        <f t="array" ref="C77">$G77&amp;IF($E77="LED"," LED","")&amp;IF($R77="",""," ")&amp;$R77&amp;IF($H77="",""," ")&amp;$H77&amp;IF($S77="",""," ")&amp;$S77&amp;IF($T77="",""," ")&amp;$T77&amp;IF($U77="",""," ")&amp;$U77&amp;IF($X77="",""," ")&amp;$X77&amp;IF($X77="","","mcd")</f>
        <v>BC807 PNP 45V 500mA 300mW</v>
      </c>
      <c r="D77" t="str" s="16" cm="1">
        <f t="array" ref="D77">$G77&amp;" "&amp;E77&amp;IF($R77="",""," ")&amp;$R77&amp;IF($H77="",""," ")&amp;$H77&amp;IF($S77="",""," ")&amp;$S77&amp;IF($T77="",""," ")&amp;$T77&amp;IF($U77="",""," ")&amp;$U77&amp;IF($X77="",""," ")&amp;$X77&amp;IF($X77="","","mcd")</f>
        <v>BC807 Q PNP 45V 500mA 300mW</v>
      </c>
      <c r="E77" t="s" s="17">
        <v>787</v>
      </c>
      <c r="F77" t="s" s="17">
        <v>5</v>
      </c>
      <c r="G77" t="str" s="18" cm="1">
        <f t="array" ref="G77">J77</f>
        <v>BC807</v>
      </c>
      <c r="H77" t="s" s="17">
        <v>811</v>
      </c>
      <c r="I77" t="s" s="31">
        <v>812</v>
      </c>
      <c r="J77" t="s" s="32">
        <v>813</v>
      </c>
      <c r="K77" s="32"/>
      <c r="L77" s="32"/>
      <c r="M77" s="32"/>
      <c r="N77" t="s" s="32">
        <v>486</v>
      </c>
      <c r="O77" s="17"/>
      <c r="P77" s="17"/>
      <c r="Q77" s="17"/>
      <c r="R77" s="17"/>
      <c r="S77" t="s" s="17">
        <v>814</v>
      </c>
      <c r="T77" t="s" s="17">
        <v>815</v>
      </c>
      <c r="U77" t="s" s="17">
        <v>792</v>
      </c>
      <c r="V77" s="17"/>
      <c r="W77" s="17"/>
      <c r="X77" s="17"/>
      <c r="Y77" s="17"/>
      <c r="Z77" s="24"/>
      <c r="AA77" s="24"/>
      <c r="AB77" t="s" s="19">
        <v>816</v>
      </c>
      <c r="AC77" t="str" s="20" cm="1">
        <f t="array" ref="AC77">IF(ISBLANK(AB77),"",HYPERLINK("https://jlcpcb.com/partdetail/"&amp;$AB77,$AB77))</f>
        <v>C5184433</v>
      </c>
      <c r="AD77" s="27">
        <v>1</v>
      </c>
      <c r="AE77" t="s" s="17">
        <v>211</v>
      </c>
      <c r="AF77" t="s" s="25">
        <v>490</v>
      </c>
      <c r="AG77" t="s" s="32">
        <v>818</v>
      </c>
      <c r="AH77" t="s" s="25">
        <v>819</v>
      </c>
      <c r="AI77" t="s" s="23">
        <v>493</v>
      </c>
      <c r="AJ77" t="s" s="17">
        <v>820</v>
      </c>
    </row>
    <row r="78" ht="19" customHeight="1">
      <c r="B78" t="str" s="15" cm="1">
        <f t="array" ref="B78">E78&amp;"_"&amp;H78&amp;"_"&amp;T78&amp;"_"&amp;N79&amp;"_"&amp;G78</f>
        <v>Q_N-FET_300mA_SO-8_2N7002</v>
      </c>
      <c r="C78" t="str" s="16" cm="1">
        <f t="array" ref="C78">$G78&amp;IF($E78="LED"," LED","")&amp;IF($R78="",""," ")&amp;$R78&amp;IF($H78="",""," ")&amp;$H78&amp;IF($S78="",""," ")&amp;$S78&amp;IF($T78="",""," ")&amp;$T78&amp;IF($U78="",""," ")&amp;$U78&amp;IF($X78="",""," ")&amp;$X78&amp;IF($X78="","","mcd")</f>
        <v>2N7002 N-FET 60v 300mA</v>
      </c>
      <c r="D78" t="str" s="16" cm="1">
        <f t="array" ref="D78">$G78&amp;" "&amp;E78&amp;IF($R78="",""," ")&amp;$R78&amp;IF($H78="",""," ")&amp;$H78&amp;IF($S78="",""," ")&amp;$S78&amp;IF($T78="",""," ")&amp;$T78&amp;IF($U78="",""," ")&amp;$U78&amp;IF($X78="",""," ")&amp;$X78&amp;IF($X78="","","mcd")</f>
        <v>2N7002 Q N-FET 60v 300mA</v>
      </c>
      <c r="E78" t="s" s="17">
        <v>787</v>
      </c>
      <c r="F78" t="s" s="17">
        <v>5</v>
      </c>
      <c r="G78" t="str" s="18" cm="1">
        <f t="array" ref="G78">J78</f>
        <v>2N7002</v>
      </c>
      <c r="H78" t="s" s="17">
        <v>825</v>
      </c>
      <c r="I78" t="s" s="19">
        <v>826</v>
      </c>
      <c r="J78" t="str" s="18" cm="1">
        <f t="array" ref="J78">AG78</f>
        <v>2N7002</v>
      </c>
      <c r="K78" s="17"/>
      <c r="L78" s="17"/>
      <c r="M78" s="17"/>
      <c r="N78" t="s" s="17">
        <v>486</v>
      </c>
      <c r="O78" s="17"/>
      <c r="P78" s="17"/>
      <c r="Q78" s="17"/>
      <c r="R78" s="17"/>
      <c r="S78" t="s" s="17">
        <v>827</v>
      </c>
      <c r="T78" t="s" s="17">
        <v>828</v>
      </c>
      <c r="U78" s="17"/>
      <c r="V78" s="17"/>
      <c r="W78" s="17"/>
      <c r="X78" s="17"/>
      <c r="Y78" s="17"/>
      <c r="Z78" s="24"/>
      <c r="AA78" s="24"/>
      <c r="AB78" t="s" s="19">
        <v>829</v>
      </c>
      <c r="AC78" t="str" s="20" cm="1">
        <f t="array" ref="AC78">IF(ISBLANK(AB78),"",HYPERLINK("https://jlcpcb.com/partdetail/"&amp;$AB78,$AB78))</f>
        <v>C5224215</v>
      </c>
      <c r="AD78" s="27">
        <v>1</v>
      </c>
      <c r="AE78" t="s" s="17">
        <v>211</v>
      </c>
      <c r="AF78" t="s" s="25">
        <v>831</v>
      </c>
      <c r="AG78" t="s" s="17">
        <v>832</v>
      </c>
      <c r="AH78" t="s" s="22">
        <v>833</v>
      </c>
      <c r="AI78" t="s" s="23">
        <v>493</v>
      </c>
      <c r="AJ78" t="s" s="17">
        <v>834</v>
      </c>
    </row>
    <row r="79" ht="19" customHeight="1">
      <c r="B79" t="str" s="15" cm="1">
        <f t="array" ref="B79">E79&amp;"_"&amp;H79&amp;"_"&amp;T79&amp;"_"&amp;N80&amp;"_"&amp;G79</f>
        <v>Q_N-FET_10A_SOT-23_DMN4468</v>
      </c>
      <c r="C79" t="str" s="16" cm="1">
        <f t="array" ref="C79">$G79&amp;IF($E79="LED"," LED","")&amp;IF($R79="",""," ")&amp;$R79&amp;IF($H79="",""," ")&amp;$H79&amp;IF($S79="",""," ")&amp;$S79&amp;IF($T79="",""," ")&amp;$T79&amp;IF($U79="",""," ")&amp;$U79&amp;IF($X79="",""," ")&amp;$X79&amp;IF($X79="","","mcd")</f>
        <v>DMN4468 N-FET 30v 10A</v>
      </c>
      <c r="D79" t="str" s="16" cm="1">
        <f t="array" ref="D79">$G79&amp;" "&amp;E79&amp;IF($R79="",""," ")&amp;$R79&amp;IF($H79="",""," ")&amp;$H79&amp;IF($S79="",""," ")&amp;$S79&amp;IF($T79="",""," ")&amp;$T79&amp;IF($U79="",""," ")&amp;$U79&amp;IF($X79="",""," ")&amp;$X79&amp;IF($X79="","","mcd")</f>
        <v>DMN4468 Q N-FET 30v 10A</v>
      </c>
      <c r="E79" t="s" s="17">
        <v>787</v>
      </c>
      <c r="F79" t="s" s="17">
        <v>5</v>
      </c>
      <c r="G79" t="str" s="18" cm="1">
        <f t="array" ref="G79">J79</f>
        <v>DMN4468</v>
      </c>
      <c r="H79" t="s" s="17">
        <v>825</v>
      </c>
      <c r="I79" t="s" s="19">
        <v>839</v>
      </c>
      <c r="J79" t="s" s="17">
        <v>840</v>
      </c>
      <c r="K79" s="17"/>
      <c r="L79" s="17"/>
      <c r="M79" s="17"/>
      <c r="N79" t="s" s="17">
        <v>841</v>
      </c>
      <c r="O79" s="17"/>
      <c r="P79" s="17"/>
      <c r="Q79" s="17"/>
      <c r="R79" s="17"/>
      <c r="S79" t="s" s="17">
        <v>842</v>
      </c>
      <c r="T79" t="s" s="17">
        <v>843</v>
      </c>
      <c r="U79" s="17"/>
      <c r="V79" s="17"/>
      <c r="W79" s="17"/>
      <c r="X79" s="17"/>
      <c r="Y79" s="17"/>
      <c r="Z79" s="24"/>
      <c r="AA79" s="24"/>
      <c r="AB79" t="s" s="19">
        <v>844</v>
      </c>
      <c r="AC79" t="str" s="20" cm="1">
        <f t="array" ref="AC79">IF(ISBLANK(AB79),"",HYPERLINK("https://jlcpcb.com/partdetail/"&amp;$AB79,$AB79))</f>
        <v>C878901</v>
      </c>
      <c r="AD79" s="27">
        <v>1</v>
      </c>
      <c r="AE79" t="s" s="17">
        <v>211</v>
      </c>
      <c r="AF79" t="s" s="25">
        <v>846</v>
      </c>
      <c r="AG79" t="s" s="17">
        <v>847</v>
      </c>
      <c r="AH79" t="s" s="22">
        <v>848</v>
      </c>
      <c r="AI79" t="s" s="23">
        <v>849</v>
      </c>
      <c r="AJ79" t="s" s="17">
        <v>850</v>
      </c>
    </row>
    <row r="80" ht="19" customHeight="1">
      <c r="B80" t="str" s="15" cm="1">
        <f t="array" ref="B80">E80&amp;"_"&amp;H80&amp;"_"&amp;T80&amp;"_"&amp;N81&amp;"_"&amp;G80</f>
        <v>Q_P-FET_2.3A_0603_2301V</v>
      </c>
      <c r="C80" t="str" s="16" cm="1">
        <f t="array" ref="C80">$G80&amp;IF($E80="LED"," LED","")&amp;IF($R80="",""," ")&amp;$R80&amp;IF($H80="",""," ")&amp;$H80&amp;IF($S80="",""," ")&amp;$S80&amp;IF($T80="",""," ")&amp;$T80&amp;IF($U80="",""," ")&amp;$U80&amp;IF($X80="",""," ")&amp;$X80&amp;IF($X80="","","mcd")</f>
        <v>2301V P-FET 20V 2.3A</v>
      </c>
      <c r="D80" t="str" s="16" cm="1">
        <f t="array" ref="D80">$G80&amp;" "&amp;E80&amp;IF($R80="",""," ")&amp;$R80&amp;IF($H80="",""," ")&amp;$H80&amp;IF($S80="",""," ")&amp;$S80&amp;IF($T80="",""," ")&amp;$T80&amp;IF($U80="",""," ")&amp;$U80&amp;IF($X80="",""," ")&amp;$X80&amp;IF($X80="","","mcd")</f>
        <v>2301V Q P-FET 20V 2.3A</v>
      </c>
      <c r="E80" t="s" s="17">
        <v>787</v>
      </c>
      <c r="F80" t="s" s="17">
        <v>5</v>
      </c>
      <c r="G80" t="str" s="18" cm="1">
        <f t="array" ref="G80">J80</f>
        <v>2301V</v>
      </c>
      <c r="H80" t="s" s="17">
        <v>855</v>
      </c>
      <c r="I80" t="s" s="31">
        <v>856</v>
      </c>
      <c r="J80" t="str" s="18" cm="1">
        <f t="array" ref="J80">AG80</f>
        <v>2301V</v>
      </c>
      <c r="K80" s="17"/>
      <c r="L80" s="17"/>
      <c r="M80" s="17"/>
      <c r="N80" t="s" s="17">
        <v>486</v>
      </c>
      <c r="O80" s="17"/>
      <c r="P80" s="17"/>
      <c r="Q80" s="17"/>
      <c r="R80" s="17"/>
      <c r="S80" t="s" s="17">
        <v>857</v>
      </c>
      <c r="T80" t="s" s="17">
        <v>858</v>
      </c>
      <c r="U80" s="17"/>
      <c r="V80" s="17"/>
      <c r="W80" s="17"/>
      <c r="X80" s="17"/>
      <c r="Y80" s="17"/>
      <c r="Z80" s="24"/>
      <c r="AA80" s="24"/>
      <c r="AB80" t="s" s="19">
        <v>859</v>
      </c>
      <c r="AC80" t="str" s="20" cm="1">
        <f t="array" ref="AC80">IF(ISBLANK(AB80),"",HYPERLINK("https://jlcpcb.com/partdetail/"&amp;$AB80,$AB80))</f>
        <v>C7499856</v>
      </c>
      <c r="AD80" s="27">
        <v>1</v>
      </c>
      <c r="AE80" t="s" s="17">
        <v>211</v>
      </c>
      <c r="AF80" t="s" s="34">
        <v>861</v>
      </c>
      <c r="AG80" t="s" s="32">
        <v>862</v>
      </c>
      <c r="AH80" t="s" s="25">
        <v>863</v>
      </c>
      <c r="AI80" t="s" s="23">
        <v>493</v>
      </c>
      <c r="AJ80" t="s" s="17">
        <v>864</v>
      </c>
    </row>
    <row r="81" ht="18.9" customHeight="1">
      <c r="B81" t="str" s="15" cm="1">
        <f t="array" ref="B81">E81&amp;"_"&amp;R81&amp;"_"&amp;U81&amp;"_"&amp;N81&amp;"_"&amp;G81</f>
        <v>RES_5%_100mW_0603_200</v>
      </c>
      <c r="C81" t="str" s="16" cm="1">
        <f t="array" ref="C81">$G81&amp;IF($E81="LED"," LED","")&amp;IF($R81="",""," ")&amp;$R81&amp;IF($H81="",""," ")&amp;$H81&amp;IF($S81="",""," ")&amp;$S81&amp;IF($T81="",""," ")&amp;$T81&amp;IF($U81="",""," ")&amp;$U81&amp;IF($X81="",""," ")&amp;$X81&amp;IF($X81="","","mcd")</f>
        <v>200 5% thick film 75V 100mW</v>
      </c>
      <c r="D81" t="str" s="16" cm="1">
        <f t="array" ref="D81">$G81&amp;" "&amp;E81&amp;IF($R81="",""," ")&amp;$R81&amp;IF($H81="",""," ")&amp;$H81&amp;IF($S81="",""," ")&amp;$S81&amp;IF($T81="",""," ")&amp;$T81&amp;IF($U81="",""," ")&amp;$U81&amp;IF($X81="",""," ")&amp;$X81&amp;IF($X81="","","mcd")</f>
        <v>200 RES 5% thick film 75V 100mW</v>
      </c>
      <c r="E81" t="s" s="17">
        <v>868</v>
      </c>
      <c r="F81" t="s" s="17">
        <v>5</v>
      </c>
      <c r="G81" t="str" s="18" cm="1">
        <f t="array" ref="G81">K81</f>
        <v>200</v>
      </c>
      <c r="H81" t="s" s="17">
        <v>870</v>
      </c>
      <c r="I81" t="s" s="19">
        <v>871</v>
      </c>
      <c r="J81" s="17"/>
      <c r="K81" t="s" s="17">
        <v>872</v>
      </c>
      <c r="L81" s="17"/>
      <c r="M81" s="17"/>
      <c r="N81" t="s" s="17">
        <v>344</v>
      </c>
      <c r="O81" s="17"/>
      <c r="P81" s="17"/>
      <c r="Q81" s="17"/>
      <c r="R81" t="s" s="17">
        <v>873</v>
      </c>
      <c r="S81" t="s" s="17">
        <v>874</v>
      </c>
      <c r="T81" s="17"/>
      <c r="U81" t="s" s="17">
        <v>875</v>
      </c>
      <c r="V81" s="17"/>
      <c r="W81" s="17"/>
      <c r="X81" s="17"/>
      <c r="Y81" s="17"/>
      <c r="Z81" s="24"/>
      <c r="AA81" s="24"/>
      <c r="AB81" t="s" s="19">
        <v>876</v>
      </c>
      <c r="AC81" t="str" s="20" cm="1">
        <f t="array" ref="AC81">IF(ISBLANK(AB81),"",HYPERLINK("https://jlcpcb.com/partdetail/"&amp;$AB81,$AB81))</f>
        <v>C2907123</v>
      </c>
      <c r="AD81" s="27">
        <v>1</v>
      </c>
      <c r="AE81" t="s" s="17">
        <v>349</v>
      </c>
      <c r="AF81" t="s" s="25">
        <v>878</v>
      </c>
      <c r="AG81" t="s" s="17">
        <v>879</v>
      </c>
      <c r="AH81" t="s" s="22">
        <v>880</v>
      </c>
      <c r="AI81" t="s" s="23">
        <v>881</v>
      </c>
      <c r="AJ81" t="s" s="17">
        <v>882</v>
      </c>
    </row>
    <row r="82" ht="18.9" customHeight="1">
      <c r="B82" t="str" s="40" cm="1">
        <f t="array" ref="B82">E82&amp;"_"&amp;R82&amp;"_"&amp;U82&amp;"_"&amp;N82&amp;"_"&amp;G82</f>
        <v>RES_1%_100mW_0603_220</v>
      </c>
      <c r="C82" t="str" s="16" cm="1">
        <f t="array" ref="C82">$G82&amp;IF($E82="LED"," LED","")&amp;IF($R82="",""," ")&amp;$R82&amp;IF($H82="",""," ")&amp;$H82&amp;IF($S82="",""," ")&amp;$S82&amp;IF($T82="",""," ")&amp;$T82&amp;IF($U82="",""," ")&amp;$U82&amp;IF($X82="",""," ")&amp;$X82&amp;IF($X82="","","mcd")</f>
        <v>220 1% thick film 150V 100mW</v>
      </c>
      <c r="D82" t="str" s="16" cm="1">
        <f t="array" ref="D82">$G82&amp;" "&amp;E82&amp;IF($R82="",""," ")&amp;$R82&amp;IF($H82="",""," ")&amp;$H82&amp;IF($S82="",""," ")&amp;$S82&amp;IF($T82="",""," ")&amp;$T82&amp;IF($U82="",""," ")&amp;$U82&amp;IF($X82="",""," ")&amp;$X82&amp;IF($X82="","","mcd")</f>
        <v>220 RES 1% thick film 150V 100mW</v>
      </c>
      <c r="E82" t="s" s="17">
        <v>868</v>
      </c>
      <c r="F82" t="s" s="17">
        <v>5</v>
      </c>
      <c r="G82" t="str" s="18" cm="1">
        <f t="array" ref="G82">K82</f>
        <v>220</v>
      </c>
      <c r="H82" t="s" s="17">
        <v>870</v>
      </c>
      <c r="I82" t="s" s="19">
        <v>887</v>
      </c>
      <c r="J82" s="17"/>
      <c r="K82" t="s" s="17">
        <v>888</v>
      </c>
      <c r="L82" s="17"/>
      <c r="M82" s="17"/>
      <c r="N82" t="s" s="17">
        <v>344</v>
      </c>
      <c r="O82" s="17"/>
      <c r="P82" s="17"/>
      <c r="Q82" s="17"/>
      <c r="R82" t="s" s="17">
        <v>889</v>
      </c>
      <c r="S82" t="s" s="17">
        <v>890</v>
      </c>
      <c r="T82" s="17"/>
      <c r="U82" t="s" s="17">
        <v>875</v>
      </c>
      <c r="V82" s="17"/>
      <c r="W82" s="17"/>
      <c r="X82" s="17"/>
      <c r="Y82" s="17"/>
      <c r="Z82" s="24"/>
      <c r="AA82" s="24"/>
      <c r="AB82" t="s" s="19">
        <v>891</v>
      </c>
      <c r="AC82" t="str" s="20" cm="1">
        <f t="array" ref="AC82">IF(ISBLANK(AB82),"",HYPERLINK("https://jlcpcb.com/partdetail/"&amp;$AB82,$AB82))</f>
        <v>C5842375</v>
      </c>
      <c r="AD82" s="27">
        <v>2</v>
      </c>
      <c r="AE82" t="s" s="17">
        <v>349</v>
      </c>
      <c r="AF82" t="s" s="25">
        <v>350</v>
      </c>
      <c r="AG82" t="s" s="17">
        <v>893</v>
      </c>
      <c r="AH82" t="s" s="22">
        <v>880</v>
      </c>
      <c r="AI82" t="s" s="23">
        <v>881</v>
      </c>
      <c r="AJ82" t="s" s="17">
        <v>894</v>
      </c>
    </row>
    <row r="83" ht="18.9" customHeight="1">
      <c r="B83" t="str" s="40" cm="1">
        <f t="array" ref="B83">E83&amp;"_"&amp;R83&amp;"_"&amp;U83&amp;"_"&amp;N83&amp;"_"&amp;G83</f>
        <v>RES_5%_100mW_0603_220</v>
      </c>
      <c r="C83" t="str" s="16" cm="1">
        <f t="array" ref="C83">$G83&amp;IF($E83="LED"," LED","")&amp;IF($R83="",""," ")&amp;$R83&amp;IF($H83="",""," ")&amp;$H83&amp;IF($S83="",""," ")&amp;$S83&amp;IF($T83="",""," ")&amp;$T83&amp;IF($U83="",""," ")&amp;$U83&amp;IF($X83="",""," ")&amp;$X83&amp;IF($X83="","","mcd")</f>
        <v>220 5% thick film 75V 100mW</v>
      </c>
      <c r="D83" t="str" s="16" cm="1">
        <f t="array" ref="D83">$G83&amp;" "&amp;E83&amp;IF($R83="",""," ")&amp;$R83&amp;IF($H83="",""," ")&amp;$H83&amp;IF($S83="",""," ")&amp;$S83&amp;IF($T83="",""," ")&amp;$T83&amp;IF($U83="",""," ")&amp;$U83&amp;IF($X83="",""," ")&amp;$X83&amp;IF($X83="","","mcd")</f>
        <v>220 RES 5% thick film 75V 100mW</v>
      </c>
      <c r="E83" t="s" s="17">
        <v>868</v>
      </c>
      <c r="F83" t="s" s="17">
        <v>5</v>
      </c>
      <c r="G83" t="str" s="18" cm="1">
        <f t="array" ref="G83">K83</f>
        <v>220</v>
      </c>
      <c r="H83" t="s" s="17">
        <v>870</v>
      </c>
      <c r="I83" t="s" s="19">
        <v>898</v>
      </c>
      <c r="J83" s="17"/>
      <c r="K83" t="s" s="17">
        <v>888</v>
      </c>
      <c r="L83" s="17"/>
      <c r="M83" s="17"/>
      <c r="N83" t="s" s="17">
        <v>344</v>
      </c>
      <c r="O83" s="17"/>
      <c r="P83" s="17"/>
      <c r="Q83" s="17"/>
      <c r="R83" t="s" s="17">
        <v>873</v>
      </c>
      <c r="S83" t="s" s="17">
        <v>874</v>
      </c>
      <c r="T83" s="17"/>
      <c r="U83" t="s" s="17">
        <v>875</v>
      </c>
      <c r="V83" s="17"/>
      <c r="W83" s="17"/>
      <c r="X83" s="17"/>
      <c r="Y83" s="17"/>
      <c r="Z83" s="24"/>
      <c r="AA83" s="24"/>
      <c r="AB83" t="s" s="19">
        <v>899</v>
      </c>
      <c r="AC83" t="str" s="20" cm="1">
        <f t="array" ref="AC83">IF(ISBLANK(AB83),"",HYPERLINK("https://jlcpcb.com/partdetail/"&amp;$AB83,$AB83))</f>
        <v>C1226</v>
      </c>
      <c r="AD83" s="27">
        <v>3</v>
      </c>
      <c r="AE83" t="s" s="17">
        <v>211</v>
      </c>
      <c r="AF83" t="s" s="25">
        <v>901</v>
      </c>
      <c r="AG83" t="s" s="17">
        <v>902</v>
      </c>
      <c r="AH83" t="s" s="36">
        <v>880</v>
      </c>
      <c r="AI83" t="s" s="23">
        <v>881</v>
      </c>
      <c r="AJ83" t="s" s="17">
        <v>903</v>
      </c>
    </row>
    <row r="84" ht="18.9" customHeight="1">
      <c r="B84" t="str" s="40" cm="1">
        <f t="array" ref="B84">E84&amp;"_"&amp;R84&amp;"_"&amp;U84&amp;"_"&amp;N84&amp;"_"&amp;G84</f>
        <v>RES_5%_100mW_0603_330</v>
      </c>
      <c r="C84" t="str" s="16" cm="1">
        <f t="array" ref="C84">$G84&amp;IF($E84="LED"," LED","")&amp;IF($R84="",""," ")&amp;$R84&amp;IF($H84="",""," ")&amp;$H84&amp;IF($S84="",""," ")&amp;$S84&amp;IF($T84="",""," ")&amp;$T84&amp;IF($U84="",""," ")&amp;$U84&amp;IF($X84="",""," ")&amp;$X84&amp;IF($X84="","","mcd")</f>
        <v>330 5% thick film 75V 100mW</v>
      </c>
      <c r="D84" t="str" s="16" cm="1">
        <f t="array" ref="D84">$G84&amp;" "&amp;E84&amp;IF($R84="",""," ")&amp;$R84&amp;IF($H84="",""," ")&amp;$H84&amp;IF($S84="",""," ")&amp;$S84&amp;IF($T84="",""," ")&amp;$T84&amp;IF($U84="",""," ")&amp;$U84&amp;IF($X84="",""," ")&amp;$X84&amp;IF($X84="","","mcd")</f>
        <v>330 RES 5% thick film 75V 100mW</v>
      </c>
      <c r="E84" t="s" s="17">
        <v>868</v>
      </c>
      <c r="F84" t="s" s="17">
        <v>5</v>
      </c>
      <c r="G84" t="str" s="18" cm="1">
        <f t="array" ref="G84">K84</f>
        <v>330</v>
      </c>
      <c r="H84" t="s" s="17">
        <v>870</v>
      </c>
      <c r="I84" t="s" s="19">
        <v>908</v>
      </c>
      <c r="J84" s="17"/>
      <c r="K84" t="s" s="17">
        <v>697</v>
      </c>
      <c r="L84" s="17"/>
      <c r="M84" s="17"/>
      <c r="N84" t="s" s="17">
        <v>344</v>
      </c>
      <c r="O84" s="17"/>
      <c r="P84" s="17"/>
      <c r="Q84" s="17"/>
      <c r="R84" t="s" s="17">
        <v>873</v>
      </c>
      <c r="S84" t="s" s="17">
        <v>874</v>
      </c>
      <c r="T84" s="17"/>
      <c r="U84" t="s" s="17">
        <v>875</v>
      </c>
      <c r="V84" s="17"/>
      <c r="W84" s="17"/>
      <c r="X84" s="17"/>
      <c r="Y84" s="17"/>
      <c r="Z84" s="24"/>
      <c r="AA84" s="24"/>
      <c r="AB84" t="s" s="19">
        <v>909</v>
      </c>
      <c r="AC84" t="str" s="20" cm="1">
        <f t="array" ref="AC84">IF(ISBLANK(AB84),"",HYPERLINK("https://jlcpcb.com/partdetail/"&amp;$AB84,$AB84))</f>
        <v>C25231</v>
      </c>
      <c r="AD84" s="27">
        <v>1</v>
      </c>
      <c r="AE84" t="s" s="17">
        <v>211</v>
      </c>
      <c r="AF84" t="s" s="25">
        <v>901</v>
      </c>
      <c r="AG84" t="s" s="17">
        <v>911</v>
      </c>
      <c r="AH84" t="s" s="36">
        <v>880</v>
      </c>
      <c r="AI84" t="s" s="23">
        <v>881</v>
      </c>
      <c r="AJ84" t="s" s="17">
        <v>912</v>
      </c>
    </row>
    <row r="85" ht="18.9" customHeight="1">
      <c r="B85" t="str" s="40" cm="1">
        <f t="array" ref="B85">E85&amp;"_"&amp;R85&amp;"_"&amp;U85&amp;"_"&amp;N85&amp;"_"&amp;G85</f>
        <v>RES_5%_100mW_0603_470</v>
      </c>
      <c r="C85" t="str" s="16" cm="1">
        <f t="array" ref="C85">$G85&amp;IF($E85="LED"," LED","")&amp;IF($R85="",""," ")&amp;$R85&amp;IF($H85="",""," ")&amp;$H85&amp;IF($S85="",""," ")&amp;$S85&amp;IF($T85="",""," ")&amp;$T85&amp;IF($U85="",""," ")&amp;$U85&amp;IF($X85="",""," ")&amp;$X85&amp;IF($X85="","","mcd")</f>
        <v>470 5% thick film 75V 100mW</v>
      </c>
      <c r="D85" t="str" s="16" cm="1">
        <f t="array" ref="D85">$G85&amp;" "&amp;E85&amp;IF($R85="",""," ")&amp;$R85&amp;IF($H85="",""," ")&amp;$H85&amp;IF($S85="",""," ")&amp;$S85&amp;IF($T85="",""," ")&amp;$T85&amp;IF($U85="",""," ")&amp;$U85&amp;IF($X85="",""," ")&amp;$X85&amp;IF($X85="","","mcd")</f>
        <v>470 RES 5% thick film 75V 100mW</v>
      </c>
      <c r="E85" t="s" s="17">
        <v>868</v>
      </c>
      <c r="F85" t="s" s="17">
        <v>5</v>
      </c>
      <c r="G85" t="str" s="18" cm="1">
        <f t="array" ref="G85">K85</f>
        <v>470</v>
      </c>
      <c r="H85" t="s" s="17">
        <v>870</v>
      </c>
      <c r="I85" t="s" s="19">
        <v>917</v>
      </c>
      <c r="J85" s="17"/>
      <c r="K85" t="s" s="17">
        <v>918</v>
      </c>
      <c r="L85" s="17"/>
      <c r="M85" s="17"/>
      <c r="N85" t="s" s="17">
        <v>344</v>
      </c>
      <c r="O85" s="17"/>
      <c r="P85" s="17"/>
      <c r="Q85" s="17"/>
      <c r="R85" t="s" s="17">
        <v>873</v>
      </c>
      <c r="S85" t="s" s="17">
        <v>874</v>
      </c>
      <c r="T85" s="17"/>
      <c r="U85" t="s" s="17">
        <v>875</v>
      </c>
      <c r="V85" s="17"/>
      <c r="W85" s="17"/>
      <c r="X85" s="17"/>
      <c r="Y85" s="17"/>
      <c r="Z85" s="24"/>
      <c r="AA85" s="24"/>
      <c r="AB85" t="s" s="19">
        <v>919</v>
      </c>
      <c r="AC85" t="str" s="20" cm="1">
        <f t="array" ref="AC85">IF(ISBLANK(AB85),"",HYPERLINK("https://jlcpcb.com/partdetail/"&amp;$AB85,$AB85))</f>
        <v>C25241</v>
      </c>
      <c r="AD85" s="27">
        <v>1</v>
      </c>
      <c r="AE85" t="s" s="17">
        <v>211</v>
      </c>
      <c r="AF85" t="s" s="25">
        <v>901</v>
      </c>
      <c r="AG85" t="s" s="17">
        <v>921</v>
      </c>
      <c r="AH85" t="s" s="36">
        <v>880</v>
      </c>
      <c r="AI85" t="s" s="23">
        <v>881</v>
      </c>
      <c r="AJ85" t="s" s="17">
        <v>922</v>
      </c>
    </row>
    <row r="86" ht="18.4" customHeight="1">
      <c r="B86" t="str" s="40" cm="1">
        <f t="array" ref="B86">E86&amp;"_"&amp;R86&amp;"_"&amp;U86&amp;"_"&amp;N86&amp;"_"&amp;G86</f>
        <v>RES_5%_100mW_0603_1K</v>
      </c>
      <c r="C86" t="str" s="16" cm="1">
        <f t="array" ref="C86">$G86&amp;IF($E86="LED"," LED","")&amp;IF($R86="",""," ")&amp;$R86&amp;IF($H86="",""," ")&amp;$H86&amp;IF($S86="",""," ")&amp;$S86&amp;IF($T86="",""," ")&amp;$T86&amp;IF($U86="",""," ")&amp;$U86&amp;IF($X86="",""," ")&amp;$X86&amp;IF($X86="","","mcd")</f>
        <v>1K 5% thick film 75V 100mW</v>
      </c>
      <c r="D86" t="str" s="16" cm="1">
        <f t="array" ref="D86">$G86&amp;" "&amp;E86&amp;IF($R86="",""," ")&amp;$R86&amp;IF($H86="",""," ")&amp;$H86&amp;IF($S86="",""," ")&amp;$S86&amp;IF($T86="",""," ")&amp;$T86&amp;IF($U86="",""," ")&amp;$U86&amp;IF($X86="",""," ")&amp;$X86&amp;IF($X86="","","mcd")</f>
        <v>1K RES 5% thick film 75V 100mW</v>
      </c>
      <c r="E86" t="s" s="17">
        <v>868</v>
      </c>
      <c r="F86" t="s" s="17">
        <v>5</v>
      </c>
      <c r="G86" t="str" s="18" cm="1">
        <f t="array" ref="G86">K86</f>
        <v>1K</v>
      </c>
      <c r="H86" t="s" s="17">
        <v>870</v>
      </c>
      <c r="I86" t="s" s="19">
        <v>927</v>
      </c>
      <c r="J86" s="17"/>
      <c r="K86" t="s" s="17">
        <v>928</v>
      </c>
      <c r="L86" s="17"/>
      <c r="M86" s="17"/>
      <c r="N86" t="s" s="17">
        <v>344</v>
      </c>
      <c r="O86" s="17"/>
      <c r="P86" s="17"/>
      <c r="Q86" s="17"/>
      <c r="R86" t="s" s="17">
        <v>873</v>
      </c>
      <c r="S86" t="s" s="17">
        <v>874</v>
      </c>
      <c r="T86" s="17"/>
      <c r="U86" t="s" s="17">
        <v>875</v>
      </c>
      <c r="V86" s="17"/>
      <c r="W86" s="17"/>
      <c r="X86" s="17"/>
      <c r="Y86" s="17"/>
      <c r="Z86" s="24"/>
      <c r="AA86" s="24"/>
      <c r="AB86" t="s" s="19">
        <v>929</v>
      </c>
      <c r="AC86" t="str" s="20" cm="1">
        <f t="array" ref="AC86">IF(ISBLANK(AB86),"",HYPERLINK("https://jlcpcb.com/partdetail/"&amp;$AB86,$AB86))</f>
        <v>C25585</v>
      </c>
      <c r="AD86" s="27">
        <v>1</v>
      </c>
      <c r="AE86" t="s" s="17">
        <v>211</v>
      </c>
      <c r="AF86" t="s" s="25">
        <v>901</v>
      </c>
      <c r="AG86" t="s" s="17">
        <v>931</v>
      </c>
      <c r="AH86" t="s" s="22">
        <v>880</v>
      </c>
      <c r="AI86" t="s" s="23">
        <v>881</v>
      </c>
      <c r="AJ86" t="s" s="17">
        <v>932</v>
      </c>
    </row>
    <row r="87" ht="19.3" customHeight="1">
      <c r="B87" t="str" s="40" cm="1">
        <f t="array" ref="B87">E87&amp;"_"&amp;R87&amp;"_"&amp;U87&amp;"_"&amp;N87&amp;"_"&amp;G87</f>
        <v>RES_5%_100mW_0603_2.2K</v>
      </c>
      <c r="C87" t="str" s="16" cm="1">
        <f t="array" ref="C87">$G87&amp;IF($E87="LED"," LED","")&amp;IF($R87="",""," ")&amp;$R87&amp;IF($H87="",""," ")&amp;$H87&amp;IF($S87="",""," ")&amp;$S87&amp;IF($T87="",""," ")&amp;$T87&amp;IF($U87="",""," ")&amp;$U87&amp;IF($X87="",""," ")&amp;$X87&amp;IF($X87="","","mcd")</f>
        <v>2.2K 5% thick film 75V 100mW</v>
      </c>
      <c r="D87" t="str" s="16" cm="1">
        <f t="array" ref="D87">$G87&amp;" "&amp;E87&amp;IF($R87="",""," ")&amp;$R87&amp;IF($H87="",""," ")&amp;$H87&amp;IF($S87="",""," ")&amp;$S87&amp;IF($T87="",""," ")&amp;$T87&amp;IF($U87="",""," ")&amp;$U87&amp;IF($X87="",""," ")&amp;$X87&amp;IF($X87="","","mcd")</f>
        <v>2.2K RES 5% thick film 75V 100mW</v>
      </c>
      <c r="E87" t="s" s="17">
        <v>868</v>
      </c>
      <c r="F87" t="s" s="17">
        <v>5</v>
      </c>
      <c r="G87" t="str" s="18" cm="1">
        <f t="array" ref="G87">K87</f>
        <v>2.2K</v>
      </c>
      <c r="H87" t="s" s="17">
        <v>870</v>
      </c>
      <c r="I87" t="s" s="19">
        <v>937</v>
      </c>
      <c r="J87" s="17"/>
      <c r="K87" t="s" s="17">
        <v>938</v>
      </c>
      <c r="L87" s="17"/>
      <c r="M87" s="17"/>
      <c r="N87" t="s" s="17">
        <v>344</v>
      </c>
      <c r="O87" s="17"/>
      <c r="P87" s="17"/>
      <c r="Q87" s="17"/>
      <c r="R87" t="s" s="17">
        <v>873</v>
      </c>
      <c r="S87" t="s" s="17">
        <v>874</v>
      </c>
      <c r="T87" s="17"/>
      <c r="U87" t="s" s="17">
        <v>875</v>
      </c>
      <c r="V87" s="17"/>
      <c r="W87" s="17"/>
      <c r="X87" s="17"/>
      <c r="Y87" s="17"/>
      <c r="Z87" s="24"/>
      <c r="AA87" s="24"/>
      <c r="AB87" t="s" s="19">
        <v>939</v>
      </c>
      <c r="AC87" t="str" s="20" cm="1">
        <f t="array" ref="AC87">IF(ISBLANK(AB87),"",HYPERLINK("https://jlcpcb.com/partdetail/"&amp;$AB87,$AB87))</f>
        <v>C25992</v>
      </c>
      <c r="AD87" s="27">
        <v>1</v>
      </c>
      <c r="AE87" t="s" s="17">
        <v>211</v>
      </c>
      <c r="AF87" t="s" s="25">
        <v>901</v>
      </c>
      <c r="AG87" t="s" s="25">
        <v>941</v>
      </c>
      <c r="AH87" t="s" s="36">
        <v>880</v>
      </c>
      <c r="AI87" t="s" s="23">
        <v>881</v>
      </c>
      <c r="AJ87" t="s" s="17">
        <v>942</v>
      </c>
    </row>
    <row r="88" ht="18.9" customHeight="1">
      <c r="B88" t="str" s="40" cm="1">
        <f t="array" ref="B88">E88&amp;"_"&amp;R88&amp;"_"&amp;U88&amp;"_"&amp;N88&amp;"_"&amp;G88</f>
        <v>RES_1%_100mW_0603_3.3K</v>
      </c>
      <c r="C88" t="str" s="16" cm="1">
        <f t="array" ref="C88">$G88&amp;IF($E88="LED"," LED","")&amp;IF($R88="",""," ")&amp;$R88&amp;IF($H88="",""," ")&amp;$H88&amp;IF($S88="",""," ")&amp;$S88&amp;IF($T88="",""," ")&amp;$T88&amp;IF($U88="",""," ")&amp;$U88&amp;IF($X88="",""," ")&amp;$X88&amp;IF($X88="","","mcd")</f>
        <v>3.3K 1% thick film 75V 100mW</v>
      </c>
      <c r="D88" t="str" s="16" cm="1">
        <f t="array" ref="D88">$G88&amp;" "&amp;E88&amp;IF($R88="",""," ")&amp;$R88&amp;IF($H88="",""," ")&amp;$H88&amp;IF($S88="",""," ")&amp;$S88&amp;IF($T88="",""," ")&amp;$T88&amp;IF($U88="",""," ")&amp;$U88&amp;IF($X88="",""," ")&amp;$X88&amp;IF($X88="","","mcd")</f>
        <v>3.3K RES 1% thick film 75V 100mW</v>
      </c>
      <c r="E88" t="s" s="17">
        <v>868</v>
      </c>
      <c r="F88" t="s" s="17">
        <v>5</v>
      </c>
      <c r="G88" t="str" s="18" cm="1">
        <f t="array" ref="G88">K88</f>
        <v>3.3K</v>
      </c>
      <c r="H88" t="s" s="17">
        <v>870</v>
      </c>
      <c r="I88" t="s" s="19">
        <v>947</v>
      </c>
      <c r="J88" s="17"/>
      <c r="K88" t="s" s="17">
        <v>948</v>
      </c>
      <c r="L88" s="17"/>
      <c r="M88" s="17"/>
      <c r="N88" t="s" s="17">
        <v>344</v>
      </c>
      <c r="O88" s="17"/>
      <c r="P88" s="17"/>
      <c r="Q88" s="17"/>
      <c r="R88" t="s" s="17">
        <v>889</v>
      </c>
      <c r="S88" t="s" s="17">
        <v>874</v>
      </c>
      <c r="T88" s="17"/>
      <c r="U88" t="s" s="17">
        <v>875</v>
      </c>
      <c r="V88" s="17"/>
      <c r="W88" s="17"/>
      <c r="X88" s="17"/>
      <c r="Y88" s="17"/>
      <c r="Z88" s="24"/>
      <c r="AA88" s="24"/>
      <c r="AB88" t="s" s="19">
        <v>949</v>
      </c>
      <c r="AC88" t="str" s="20" cm="1">
        <f t="array" ref="AC88">IF(ISBLANK(AB88),"",HYPERLINK("https://jlcpcb.com/partdetail/"&amp;$AB88,$AB88))</f>
        <v>C2907023</v>
      </c>
      <c r="AD88" s="27">
        <v>1</v>
      </c>
      <c r="AE88" t="s" s="17">
        <v>349</v>
      </c>
      <c r="AF88" t="s" s="25">
        <v>878</v>
      </c>
      <c r="AG88" t="s" s="17">
        <v>951</v>
      </c>
      <c r="AH88" t="s" s="22">
        <v>880</v>
      </c>
      <c r="AI88" t="s" s="23">
        <v>881</v>
      </c>
      <c r="AJ88" t="s" s="17">
        <v>952</v>
      </c>
    </row>
    <row r="89" ht="19.3" customHeight="1">
      <c r="B89" t="str" s="40" cm="1">
        <f t="array" ref="B89">E89&amp;"_"&amp;R89&amp;"_"&amp;U89&amp;"_"&amp;N89&amp;"_"&amp;G89</f>
        <v>RES_5%_100mW_0603_3.3K</v>
      </c>
      <c r="C89" t="str" s="16" cm="1">
        <f t="array" ref="C89">$G89&amp;IF($E89="LED"," LED","")&amp;IF($R89="",""," ")&amp;$R89&amp;IF($H89="",""," ")&amp;$H89&amp;IF($S89="",""," ")&amp;$S89&amp;IF($T89="",""," ")&amp;$T89&amp;IF($U89="",""," ")&amp;$U89&amp;IF($X89="",""," ")&amp;$X89&amp;IF($X89="","","mcd")</f>
        <v>3.3K 5% thick film 75V 100mW</v>
      </c>
      <c r="D89" t="str" s="16" cm="1">
        <f t="array" ref="D89">$G89&amp;" "&amp;E89&amp;IF($R89="",""," ")&amp;$R89&amp;IF($H89="",""," ")&amp;$H89&amp;IF($S89="",""," ")&amp;$S89&amp;IF($T89="",""," ")&amp;$T89&amp;IF($U89="",""," ")&amp;$U89&amp;IF($X89="",""," ")&amp;$X89&amp;IF($X89="","","mcd")</f>
        <v>3.3K RES 5% thick film 75V 100mW</v>
      </c>
      <c r="E89" t="s" s="17">
        <v>868</v>
      </c>
      <c r="F89" t="s" s="17">
        <v>5</v>
      </c>
      <c r="G89" t="str" s="18" cm="1">
        <f t="array" ref="G89">K89</f>
        <v>3.3K</v>
      </c>
      <c r="H89" t="s" s="17">
        <v>870</v>
      </c>
      <c r="I89" t="s" s="19">
        <v>956</v>
      </c>
      <c r="J89" s="17"/>
      <c r="K89" t="s" s="17">
        <v>948</v>
      </c>
      <c r="L89" s="17"/>
      <c r="M89" s="17"/>
      <c r="N89" t="s" s="17">
        <v>344</v>
      </c>
      <c r="O89" s="17"/>
      <c r="P89" s="17"/>
      <c r="Q89" s="17"/>
      <c r="R89" t="s" s="17">
        <v>873</v>
      </c>
      <c r="S89" t="s" s="17">
        <v>874</v>
      </c>
      <c r="T89" s="17"/>
      <c r="U89" t="s" s="17">
        <v>875</v>
      </c>
      <c r="V89" s="17"/>
      <c r="W89" s="17"/>
      <c r="X89" s="17"/>
      <c r="Y89" s="17"/>
      <c r="Z89" s="24"/>
      <c r="AA89" s="24"/>
      <c r="AB89" t="s" s="19">
        <v>957</v>
      </c>
      <c r="AC89" t="str" s="20" cm="1">
        <f t="array" ref="AC89">IF(ISBLANK(AB89),"",HYPERLINK("https://jlcpcb.com/partdetail/"&amp;$AB89,$AB89))</f>
        <v>C25995</v>
      </c>
      <c r="AD89" s="27">
        <v>2</v>
      </c>
      <c r="AE89" t="s" s="17">
        <v>211</v>
      </c>
      <c r="AF89" t="s" s="25">
        <v>901</v>
      </c>
      <c r="AG89" t="s" s="25">
        <v>959</v>
      </c>
      <c r="AH89" t="s" s="36">
        <v>880</v>
      </c>
      <c r="AI89" t="s" s="23">
        <v>881</v>
      </c>
      <c r="AJ89" t="s" s="17">
        <v>960</v>
      </c>
    </row>
    <row r="90" ht="19.3" customHeight="1">
      <c r="B90" t="str" s="40" cm="1">
        <f t="array" ref="B90">E90&amp;"_"&amp;R90&amp;"_"&amp;U90&amp;"_"&amp;N90&amp;"_"&amp;G90</f>
        <v>RES_5%_100mW_0603_4.7K</v>
      </c>
      <c r="C90" t="str" s="16" cm="1">
        <f t="array" ref="C90">$G90&amp;IF($E90="LED"," LED","")&amp;IF($R90="",""," ")&amp;$R90&amp;IF($H90="",""," ")&amp;$H90&amp;IF($S90="",""," ")&amp;$S90&amp;IF($T90="",""," ")&amp;$T90&amp;IF($U90="",""," ")&amp;$U90&amp;IF($X90="",""," ")&amp;$X90&amp;IF($X90="","","mcd")</f>
        <v>4.7K 5% thick film 75V 100mW</v>
      </c>
      <c r="D90" t="str" s="16" cm="1">
        <f t="array" ref="D90">$G90&amp;" "&amp;E90&amp;IF($R90="",""," ")&amp;$R90&amp;IF($H90="",""," ")&amp;$H90&amp;IF($S90="",""," ")&amp;$S90&amp;IF($T90="",""," ")&amp;$T90&amp;IF($U90="",""," ")&amp;$U90&amp;IF($X90="",""," ")&amp;$X90&amp;IF($X90="","","mcd")</f>
        <v>4.7K RES 5% thick film 75V 100mW</v>
      </c>
      <c r="E90" t="s" s="17">
        <v>868</v>
      </c>
      <c r="F90" t="s" s="17">
        <v>5</v>
      </c>
      <c r="G90" t="str" s="18" cm="1">
        <f t="array" ref="G90">K90</f>
        <v>4.7K</v>
      </c>
      <c r="H90" t="s" s="17">
        <v>870</v>
      </c>
      <c r="I90" t="s" s="19">
        <v>965</v>
      </c>
      <c r="J90" s="17"/>
      <c r="K90" t="s" s="17">
        <v>966</v>
      </c>
      <c r="L90" s="17"/>
      <c r="M90" s="17"/>
      <c r="N90" t="s" s="17">
        <v>344</v>
      </c>
      <c r="O90" s="17"/>
      <c r="P90" s="17"/>
      <c r="Q90" s="17"/>
      <c r="R90" t="s" s="17">
        <v>873</v>
      </c>
      <c r="S90" t="s" s="17">
        <v>874</v>
      </c>
      <c r="T90" s="17"/>
      <c r="U90" t="s" s="17">
        <v>875</v>
      </c>
      <c r="V90" s="17"/>
      <c r="W90" s="17"/>
      <c r="X90" s="17"/>
      <c r="Y90" s="17"/>
      <c r="Z90" s="24"/>
      <c r="AA90" s="24"/>
      <c r="AB90" t="s" s="19">
        <v>967</v>
      </c>
      <c r="AC90" t="str" s="20" cm="1">
        <f t="array" ref="AC90">IF(ISBLANK(AB90),"",HYPERLINK("https://jlcpcb.com/partdetail/"&amp;$AB90,$AB90))</f>
        <v>C25999</v>
      </c>
      <c r="AD90" s="27">
        <v>1</v>
      </c>
      <c r="AE90" t="s" s="17">
        <v>211</v>
      </c>
      <c r="AF90" t="s" s="25">
        <v>901</v>
      </c>
      <c r="AG90" t="s" s="25">
        <v>969</v>
      </c>
      <c r="AH90" t="s" s="36">
        <v>880</v>
      </c>
      <c r="AI90" t="s" s="23">
        <v>881</v>
      </c>
      <c r="AJ90" t="s" s="17">
        <v>970</v>
      </c>
    </row>
    <row r="91" ht="19.3" customHeight="1">
      <c r="B91" t="str" s="40" cm="1">
        <f t="array" ref="B91">E91&amp;"_"&amp;R91&amp;"_"&amp;U91&amp;"_"&amp;N91&amp;"_"&amp;G91</f>
        <v>RES_5%_100mW_0603_5.6K</v>
      </c>
      <c r="C91" t="str" s="16" cm="1">
        <f t="array" ref="C91">$G91&amp;IF($E91="LED"," LED","")&amp;IF($R91="",""," ")&amp;$R91&amp;IF($H91="",""," ")&amp;$H91&amp;IF($S91="",""," ")&amp;$S91&amp;IF($T91="",""," ")&amp;$T91&amp;IF($U91="",""," ")&amp;$U91&amp;IF($X91="",""," ")&amp;$X91&amp;IF($X91="","","mcd")</f>
        <v>5.6K 5% thick film 75V 100mW</v>
      </c>
      <c r="D91" t="str" s="16" cm="1">
        <f t="array" ref="D91">$G91&amp;" "&amp;E91&amp;IF($R91="",""," ")&amp;$R91&amp;IF($H91="",""," ")&amp;$H91&amp;IF($S91="",""," ")&amp;$S91&amp;IF($T91="",""," ")&amp;$T91&amp;IF($U91="",""," ")&amp;$U91&amp;IF($X91="",""," ")&amp;$X91&amp;IF($X91="","","mcd")</f>
        <v>5.6K RES 5% thick film 75V 100mW</v>
      </c>
      <c r="E91" t="s" s="17">
        <v>868</v>
      </c>
      <c r="F91" t="s" s="17">
        <v>5</v>
      </c>
      <c r="G91" t="str" s="18" cm="1">
        <f t="array" ref="G91">K91</f>
        <v>5.6K</v>
      </c>
      <c r="H91" t="s" s="17">
        <v>870</v>
      </c>
      <c r="I91" t="s" s="19">
        <v>975</v>
      </c>
      <c r="J91" s="17"/>
      <c r="K91" t="s" s="17">
        <v>976</v>
      </c>
      <c r="L91" s="17"/>
      <c r="M91" s="17"/>
      <c r="N91" t="s" s="17">
        <v>344</v>
      </c>
      <c r="O91" s="17"/>
      <c r="P91" s="17"/>
      <c r="Q91" s="17"/>
      <c r="R91" t="s" s="17">
        <v>873</v>
      </c>
      <c r="S91" t="s" s="17">
        <v>874</v>
      </c>
      <c r="T91" s="17"/>
      <c r="U91" t="s" s="17">
        <v>875</v>
      </c>
      <c r="V91" s="17"/>
      <c r="W91" s="17"/>
      <c r="X91" s="17"/>
      <c r="Y91" s="17"/>
      <c r="Z91" s="24"/>
      <c r="AA91" s="24"/>
      <c r="AB91" t="s" s="19">
        <v>977</v>
      </c>
      <c r="AC91" t="str" s="20" cm="1">
        <f t="array" ref="AC91">IF(ISBLANK(AB91),"",HYPERLINK("https://jlcpcb.com/partdetail/"&amp;$AB91,$AB91))</f>
        <v>C26001</v>
      </c>
      <c r="AD91" s="27">
        <v>1</v>
      </c>
      <c r="AE91" t="s" s="17">
        <v>211</v>
      </c>
      <c r="AF91" t="s" s="25">
        <v>901</v>
      </c>
      <c r="AG91" t="s" s="25">
        <v>979</v>
      </c>
      <c r="AH91" t="s" s="36">
        <v>880</v>
      </c>
      <c r="AI91" t="s" s="23">
        <v>881</v>
      </c>
      <c r="AJ91" t="s" s="17">
        <v>980</v>
      </c>
    </row>
    <row r="92" ht="18.9" customHeight="1">
      <c r="B92" t="str" s="40" cm="1">
        <f t="array" ref="B92">E92&amp;"_"&amp;R92&amp;"_"&amp;U92&amp;"_"&amp;N92&amp;"_"&amp;G92</f>
        <v>RES_5%_100mW_0603_10K</v>
      </c>
      <c r="C92" t="str" s="16" cm="1">
        <f t="array" ref="C92">$G92&amp;IF($E92="LED"," LED","")&amp;IF($R92="",""," ")&amp;$R92&amp;IF($H92="",""," ")&amp;$H92&amp;IF($S92="",""," ")&amp;$S92&amp;IF($T92="",""," ")&amp;$T92&amp;IF($U92="",""," ")&amp;$U92&amp;IF($X92="",""," ")&amp;$X92&amp;IF($X92="","","mcd")</f>
        <v>10K 5% thick film 150V 100mW</v>
      </c>
      <c r="D92" t="str" s="16" cm="1">
        <f t="array" ref="D92">$G92&amp;" "&amp;E92&amp;IF($R92="",""," ")&amp;$R92&amp;IF($H92="",""," ")&amp;$H92&amp;IF($S92="",""," ")&amp;$S92&amp;IF($T92="",""," ")&amp;$T92&amp;IF($U92="",""," ")&amp;$U92&amp;IF($X92="",""," ")&amp;$X92&amp;IF($X92="","","mcd")</f>
        <v>10K RES 5% thick film 150V 100mW</v>
      </c>
      <c r="E92" t="s" s="17">
        <v>868</v>
      </c>
      <c r="F92" t="s" s="17">
        <v>5</v>
      </c>
      <c r="G92" t="str" s="18" cm="1">
        <f t="array" ref="G92">K92</f>
        <v>10K</v>
      </c>
      <c r="H92" t="s" s="17">
        <v>870</v>
      </c>
      <c r="I92" t="s" s="19">
        <v>985</v>
      </c>
      <c r="J92" s="17"/>
      <c r="K92" t="s" s="17">
        <v>986</v>
      </c>
      <c r="L92" s="17"/>
      <c r="M92" s="17"/>
      <c r="N92" t="s" s="17">
        <v>344</v>
      </c>
      <c r="O92" s="17"/>
      <c r="P92" s="17"/>
      <c r="Q92" s="17"/>
      <c r="R92" t="s" s="17">
        <v>873</v>
      </c>
      <c r="S92" t="s" s="17">
        <v>890</v>
      </c>
      <c r="T92" s="17"/>
      <c r="U92" t="s" s="17">
        <v>875</v>
      </c>
      <c r="V92" s="17"/>
      <c r="W92" s="17"/>
      <c r="X92" s="17"/>
      <c r="Y92" s="17"/>
      <c r="Z92" s="24"/>
      <c r="AA92" s="24"/>
      <c r="AB92" t="s" s="19">
        <v>987</v>
      </c>
      <c r="AC92" t="str" s="20" cm="1">
        <f t="array" ref="AC92">IF(ISBLANK(AB92),"",HYPERLINK("https://jlcpcb.com/partdetail/"&amp;$AB92,$AB92))</f>
        <v>C4118381</v>
      </c>
      <c r="AD92" s="27">
        <v>1</v>
      </c>
      <c r="AE92" t="s" s="17">
        <v>349</v>
      </c>
      <c r="AF92" t="s" s="25">
        <v>350</v>
      </c>
      <c r="AG92" t="s" s="17">
        <v>989</v>
      </c>
      <c r="AH92" t="s" s="22">
        <v>880</v>
      </c>
      <c r="AI92" t="s" s="23">
        <v>881</v>
      </c>
      <c r="AJ92" t="s" s="17">
        <v>990</v>
      </c>
    </row>
    <row r="93" ht="18.9" customHeight="1">
      <c r="B93" t="str" s="40" cm="1">
        <f t="array" ref="B93">E93&amp;"_"&amp;R93&amp;"_"&amp;U93&amp;"_"&amp;N93&amp;"_"&amp;G93</f>
        <v>RES_5%_100mW_0603_10K</v>
      </c>
      <c r="C93" t="str" s="16" cm="1">
        <f t="array" ref="C93">$G93&amp;IF($E93="LED"," LED","")&amp;IF($R93="",""," ")&amp;$R93&amp;IF($H93="",""," ")&amp;$H93&amp;IF($S93="",""," ")&amp;$S93&amp;IF($T93="",""," ")&amp;$T93&amp;IF($U93="",""," ")&amp;$U93&amp;IF($X93="",""," ")&amp;$X93&amp;IF($X93="","","mcd")</f>
        <v>10K 5% thick film 75V 100mW</v>
      </c>
      <c r="D93" t="str" s="16" cm="1">
        <f t="array" ref="D93">$G93&amp;" "&amp;E93&amp;IF($R93="",""," ")&amp;$R93&amp;IF($H93="",""," ")&amp;$H93&amp;IF($S93="",""," ")&amp;$S93&amp;IF($T93="",""," ")&amp;$T93&amp;IF($U93="",""," ")&amp;$U93&amp;IF($X93="",""," ")&amp;$X93&amp;IF($X93="","","mcd")</f>
        <v>10K RES 5% thick film 75V 100mW</v>
      </c>
      <c r="E93" t="s" s="17">
        <v>868</v>
      </c>
      <c r="F93" t="s" s="17">
        <v>5</v>
      </c>
      <c r="G93" t="str" s="18" cm="1">
        <f t="array" ref="G93">K93</f>
        <v>10K</v>
      </c>
      <c r="H93" t="s" s="17">
        <v>870</v>
      </c>
      <c r="I93" t="s" s="19">
        <v>993</v>
      </c>
      <c r="J93" s="17"/>
      <c r="K93" t="s" s="17">
        <v>986</v>
      </c>
      <c r="L93" s="17"/>
      <c r="M93" s="17"/>
      <c r="N93" t="s" s="17">
        <v>344</v>
      </c>
      <c r="O93" s="17"/>
      <c r="P93" s="17"/>
      <c r="Q93" s="17"/>
      <c r="R93" t="s" s="17">
        <v>873</v>
      </c>
      <c r="S93" t="s" s="17">
        <v>874</v>
      </c>
      <c r="T93" s="17"/>
      <c r="U93" t="s" s="17">
        <v>875</v>
      </c>
      <c r="V93" s="17"/>
      <c r="W93" s="17"/>
      <c r="X93" s="17"/>
      <c r="Y93" s="17"/>
      <c r="Z93" s="24"/>
      <c r="AA93" s="24"/>
      <c r="AB93" t="s" s="19">
        <v>994</v>
      </c>
      <c r="AC93" t="str" s="20" cm="1">
        <f t="array" ref="AC93">IF(ISBLANK(AB93),"",HYPERLINK("https://jlcpcb.com/partdetail/"&amp;$AB93,$AB93))</f>
        <v>C2930027</v>
      </c>
      <c r="AD93" s="27">
        <v>2</v>
      </c>
      <c r="AE93" t="s" s="17">
        <v>349</v>
      </c>
      <c r="AF93" t="s" s="25">
        <v>878</v>
      </c>
      <c r="AG93" t="s" s="17">
        <v>996</v>
      </c>
      <c r="AH93" t="s" s="22">
        <v>880</v>
      </c>
      <c r="AI93" t="s" s="23">
        <v>881</v>
      </c>
      <c r="AJ93" t="s" s="17">
        <v>997</v>
      </c>
    </row>
    <row r="94" ht="18.9" customHeight="1">
      <c r="B94" t="str" s="40" cm="1">
        <f t="array" ref="B94">E94&amp;"_"&amp;R94&amp;"_"&amp;U94&amp;"_"&amp;N94&amp;"_"&amp;G94</f>
        <v>RES_5%_100mW_0603_10K</v>
      </c>
      <c r="C94" t="str" s="16" cm="1">
        <f t="array" ref="C94">$G94&amp;IF($E94="LED"," LED","")&amp;IF($R94="",""," ")&amp;$R94&amp;IF($H94="",""," ")&amp;$H94&amp;IF($S94="",""," ")&amp;$S94&amp;IF($T94="",""," ")&amp;$T94&amp;IF($U94="",""," ")&amp;$U94&amp;IF($X94="",""," ")&amp;$X94&amp;IF($X94="","","mcd")</f>
        <v>10K 5% thick film 75V 100mW</v>
      </c>
      <c r="D94" t="str" s="16" cm="1">
        <f t="array" ref="D94">$G94&amp;" "&amp;E94&amp;IF($R94="",""," ")&amp;$R94&amp;IF($H94="",""," ")&amp;$H94&amp;IF($S94="",""," ")&amp;$S94&amp;IF($T94="",""," ")&amp;$T94&amp;IF($U94="",""," ")&amp;$U94&amp;IF($X94="",""," ")&amp;$X94&amp;IF($X94="","","mcd")</f>
        <v>10K RES 5% thick film 75V 100mW</v>
      </c>
      <c r="E94" t="s" s="17">
        <v>868</v>
      </c>
      <c r="F94" t="s" s="17">
        <v>5</v>
      </c>
      <c r="G94" t="str" s="18" cm="1">
        <f t="array" ref="G94">K94</f>
        <v>10K</v>
      </c>
      <c r="H94" t="s" s="17">
        <v>870</v>
      </c>
      <c r="I94" t="s" s="19">
        <v>993</v>
      </c>
      <c r="J94" s="17"/>
      <c r="K94" t="s" s="17">
        <v>986</v>
      </c>
      <c r="L94" s="17"/>
      <c r="M94" s="17"/>
      <c r="N94" t="s" s="17">
        <v>344</v>
      </c>
      <c r="O94" s="17"/>
      <c r="P94" s="17"/>
      <c r="Q94" s="17"/>
      <c r="R94" t="s" s="17">
        <v>873</v>
      </c>
      <c r="S94" t="s" s="17">
        <v>874</v>
      </c>
      <c r="T94" s="17"/>
      <c r="U94" t="s" s="17">
        <v>875</v>
      </c>
      <c r="V94" s="17"/>
      <c r="W94" s="17"/>
      <c r="X94" s="17"/>
      <c r="Y94" s="17"/>
      <c r="Z94" s="24"/>
      <c r="AA94" s="24"/>
      <c r="AB94" t="s" s="19">
        <v>998</v>
      </c>
      <c r="AC94" t="str" s="20" cm="1">
        <f t="array" ref="AC94">IF(ISBLANK(AB94),"",HYPERLINK("https://jlcpcb.com/partdetail/"&amp;$AB94,$AB94))</f>
        <v>C15401</v>
      </c>
      <c r="AD94" s="27">
        <v>3</v>
      </c>
      <c r="AE94" t="s" s="17">
        <v>211</v>
      </c>
      <c r="AF94" t="s" s="25">
        <v>901</v>
      </c>
      <c r="AG94" t="s" s="17">
        <v>1000</v>
      </c>
      <c r="AH94" t="s" s="36">
        <v>880</v>
      </c>
      <c r="AI94" t="s" s="23">
        <v>881</v>
      </c>
      <c r="AJ94" s="18"/>
    </row>
    <row r="95" ht="18.9" customHeight="1">
      <c r="B95" t="str" s="40" cm="1">
        <f t="array" ref="B95">E95&amp;"_"&amp;R95&amp;"_"&amp;U95&amp;"_"&amp;N95&amp;"_"&amp;G95</f>
        <v>RES_5%_100mW_0603_22K</v>
      </c>
      <c r="C95" t="str" s="16" cm="1">
        <f t="array" ref="C95">$G95&amp;IF($E95="LED"," LED","")&amp;IF($R95="",""," ")&amp;$R95&amp;IF($H95="",""," ")&amp;$H95&amp;IF($S95="",""," ")&amp;$S95&amp;IF($T95="",""," ")&amp;$T95&amp;IF($U95="",""," ")&amp;$U95&amp;IF($X95="",""," ")&amp;$X95&amp;IF($X95="","","mcd")</f>
        <v>22K 5% thick film 75V 100mW</v>
      </c>
      <c r="D95" t="str" s="16" cm="1">
        <f t="array" ref="D95">$G95&amp;" "&amp;E95&amp;IF($R95="",""," ")&amp;$R95&amp;IF($H95="",""," ")&amp;$H95&amp;IF($S95="",""," ")&amp;$S95&amp;IF($T95="",""," ")&amp;$T95&amp;IF($U95="",""," ")&amp;$U95&amp;IF($X95="",""," ")&amp;$X95&amp;IF($X95="","","mcd")</f>
        <v>22K RES 5% thick film 75V 100mW</v>
      </c>
      <c r="E95" t="s" s="17">
        <v>868</v>
      </c>
      <c r="F95" t="s" s="17">
        <v>5</v>
      </c>
      <c r="G95" t="str" s="18" cm="1">
        <f t="array" ref="G95">K95</f>
        <v>22K</v>
      </c>
      <c r="H95" t="s" s="17">
        <v>870</v>
      </c>
      <c r="I95" t="s" s="19">
        <v>1005</v>
      </c>
      <c r="J95" s="17"/>
      <c r="K95" t="s" s="17">
        <v>1006</v>
      </c>
      <c r="L95" s="17"/>
      <c r="M95" s="17"/>
      <c r="N95" t="s" s="17">
        <v>344</v>
      </c>
      <c r="O95" s="17"/>
      <c r="P95" s="17"/>
      <c r="Q95" s="17"/>
      <c r="R95" t="s" s="17">
        <v>873</v>
      </c>
      <c r="S95" t="s" s="17">
        <v>874</v>
      </c>
      <c r="T95" s="17"/>
      <c r="U95" t="s" s="17">
        <v>875</v>
      </c>
      <c r="V95" s="17"/>
      <c r="W95" s="17"/>
      <c r="X95" s="17"/>
      <c r="Y95" s="17"/>
      <c r="Z95" s="24"/>
      <c r="AA95" s="24"/>
      <c r="AB95" t="s" s="19">
        <v>1007</v>
      </c>
      <c r="AC95" t="str" s="20" cm="1">
        <f t="array" ref="AC95">IF(ISBLANK(AB95),"",HYPERLINK("https://jlcpcb.com/partdetail/"&amp;$AB95,$AB95))</f>
        <v>C23344</v>
      </c>
      <c r="AD95" s="27">
        <v>1</v>
      </c>
      <c r="AE95" t="s" s="17">
        <v>211</v>
      </c>
      <c r="AF95" t="s" s="25">
        <v>901</v>
      </c>
      <c r="AG95" t="s" s="17">
        <v>1009</v>
      </c>
      <c r="AH95" t="s" s="36">
        <v>880</v>
      </c>
      <c r="AI95" t="s" s="23">
        <v>881</v>
      </c>
      <c r="AJ95" t="s" s="17">
        <v>1010</v>
      </c>
    </row>
    <row r="96" ht="18.9" customHeight="1">
      <c r="B96" t="str" s="40" cm="1">
        <f t="array" ref="B96">E96&amp;"_"&amp;R96&amp;"_"&amp;U96&amp;"_"&amp;N96&amp;"_"&amp;G96</f>
        <v>RES_5%_100mW_0603_100K</v>
      </c>
      <c r="C96" t="str" s="16" cm="1">
        <f t="array" ref="C96">$G96&amp;IF($E96="LED"," LED","")&amp;IF($R96="",""," ")&amp;$R96&amp;IF($H96="",""," ")&amp;$H96&amp;IF($S96="",""," ")&amp;$S96&amp;IF($T96="",""," ")&amp;$T96&amp;IF($U96="",""," ")&amp;$U96&amp;IF($X96="",""," ")&amp;$X96&amp;IF($X96="","","mcd")</f>
        <v>100K 5% thick film 75V 100mW</v>
      </c>
      <c r="D96" t="str" s="16" cm="1">
        <f t="array" ref="D96">$G96&amp;" "&amp;E96&amp;IF($R96="",""," ")&amp;$R96&amp;IF($H96="",""," ")&amp;$H96&amp;IF($S96="",""," ")&amp;$S96&amp;IF($T96="",""," ")&amp;$T96&amp;IF($U96="",""," ")&amp;$U96&amp;IF($X96="",""," ")&amp;$X96&amp;IF($X96="","","mcd")</f>
        <v>100K RES 5% thick film 75V 100mW</v>
      </c>
      <c r="E96" t="s" s="17">
        <v>868</v>
      </c>
      <c r="F96" t="s" s="17">
        <v>5</v>
      </c>
      <c r="G96" t="str" s="18" cm="1">
        <f t="array" ref="G96">K96</f>
        <v>100K</v>
      </c>
      <c r="H96" t="s" s="17">
        <v>870</v>
      </c>
      <c r="I96" t="s" s="19">
        <v>1015</v>
      </c>
      <c r="J96" s="17"/>
      <c r="K96" t="s" s="17">
        <v>1016</v>
      </c>
      <c r="L96" s="17"/>
      <c r="M96" s="17"/>
      <c r="N96" t="s" s="17">
        <v>344</v>
      </c>
      <c r="O96" s="17"/>
      <c r="P96" s="17"/>
      <c r="Q96" s="17"/>
      <c r="R96" t="s" s="17">
        <v>873</v>
      </c>
      <c r="S96" t="s" s="17">
        <v>874</v>
      </c>
      <c r="T96" s="17"/>
      <c r="U96" t="s" s="17">
        <v>875</v>
      </c>
      <c r="V96" s="17"/>
      <c r="W96" s="17"/>
      <c r="X96" s="17"/>
      <c r="Y96" s="17"/>
      <c r="Z96" s="24"/>
      <c r="AA96" s="24"/>
      <c r="AB96" t="s" s="19">
        <v>1017</v>
      </c>
      <c r="AC96" t="str" s="20" cm="1">
        <f t="array" ref="AC96">IF(ISBLANK(AB96),"",HYPERLINK("https://jlcpcb.com/partdetail/"&amp;$AB96,$AB96))</f>
        <v>C15458</v>
      </c>
      <c r="AD96" s="27">
        <v>1</v>
      </c>
      <c r="AE96" t="s" s="17">
        <v>211</v>
      </c>
      <c r="AF96" t="s" s="25">
        <v>901</v>
      </c>
      <c r="AG96" t="s" s="17">
        <v>1019</v>
      </c>
      <c r="AH96" t="s" s="36">
        <v>880</v>
      </c>
      <c r="AI96" t="s" s="23">
        <v>881</v>
      </c>
      <c r="AJ96" t="s" s="17">
        <v>1020</v>
      </c>
    </row>
    <row r="97" ht="18.9" customHeight="1">
      <c r="B97" t="str" s="40" cm="1">
        <f t="array" ref="B97">E97&amp;"_"&amp;R97&amp;"_"&amp;U97&amp;"_"&amp;N97&amp;"_"&amp;G97</f>
        <v>RES_1%_100mW_0603_1M</v>
      </c>
      <c r="C97" t="str" s="16" cm="1">
        <f t="array" ref="C97">$G97&amp;IF($E97="LED"," LED","")&amp;IF($R97="",""," ")&amp;$R97&amp;IF($H97="",""," ")&amp;$H97&amp;IF($S97="",""," ")&amp;$S97&amp;IF($T97="",""," ")&amp;$T97&amp;IF($U97="",""," ")&amp;$U97&amp;IF($X97="",""," ")&amp;$X97&amp;IF($X97="","","mcd")</f>
        <v>1M 1% thick film 75V 100mW</v>
      </c>
      <c r="D97" t="str" s="16" cm="1">
        <f t="array" ref="D97">$G97&amp;" "&amp;E97&amp;IF($R97="",""," ")&amp;$R97&amp;IF($H97="",""," ")&amp;$H97&amp;IF($S97="",""," ")&amp;$S97&amp;IF($T97="",""," ")&amp;$T97&amp;IF($U97="",""," ")&amp;$U97&amp;IF($X97="",""," ")&amp;$X97&amp;IF($X97="","","mcd")</f>
        <v>1M RES 1% thick film 75V 100mW</v>
      </c>
      <c r="E97" t="s" s="17">
        <v>868</v>
      </c>
      <c r="F97" t="s" s="17">
        <v>5</v>
      </c>
      <c r="G97" t="str" s="18" cm="1">
        <f t="array" ref="G97">K97</f>
        <v>1M</v>
      </c>
      <c r="H97" t="s" s="17">
        <v>870</v>
      </c>
      <c r="I97" t="s" s="19">
        <v>1025</v>
      </c>
      <c r="J97" s="17"/>
      <c r="K97" t="s" s="17">
        <v>1026</v>
      </c>
      <c r="L97" s="17"/>
      <c r="M97" s="17"/>
      <c r="N97" t="s" s="17">
        <v>344</v>
      </c>
      <c r="O97" s="17"/>
      <c r="P97" s="17"/>
      <c r="Q97" s="17"/>
      <c r="R97" t="s" s="17">
        <v>889</v>
      </c>
      <c r="S97" t="s" s="17">
        <v>874</v>
      </c>
      <c r="T97" s="17"/>
      <c r="U97" t="s" s="17">
        <v>875</v>
      </c>
      <c r="V97" s="17"/>
      <c r="W97" s="17"/>
      <c r="X97" s="17"/>
      <c r="Y97" s="17"/>
      <c r="Z97" s="24"/>
      <c r="AA97" s="24"/>
      <c r="AB97" t="s" s="19">
        <v>1027</v>
      </c>
      <c r="AC97" t="str" s="20" cm="1">
        <f t="array" ref="AC97">IF(ISBLANK(AB97),"",HYPERLINK("https://jlcpcb.com/partdetail/"&amp;$AB97,$AB97))</f>
        <v>C22935</v>
      </c>
      <c r="AD97" s="27">
        <v>1</v>
      </c>
      <c r="AE97" t="s" s="17">
        <v>349</v>
      </c>
      <c r="AF97" t="s" s="25">
        <v>901</v>
      </c>
      <c r="AG97" t="s" s="17">
        <v>1029</v>
      </c>
      <c r="AH97" t="s" s="22">
        <v>880</v>
      </c>
      <c r="AI97" t="s" s="23">
        <v>881</v>
      </c>
      <c r="AJ97" t="s" s="17">
        <v>1030</v>
      </c>
    </row>
    <row r="98" ht="17.7" customHeight="1">
      <c r="B98" t="str" s="40" cm="1">
        <f t="array" ref="B98">E98&amp;"_"&amp;R98&amp;"_"&amp;U98&amp;"_"&amp;N98&amp;"_"&amp;G98</f>
        <v>RES_5%_100mW_0603_1M</v>
      </c>
      <c r="C98" t="str" s="16" cm="1">
        <f t="array" ref="C98">$G98&amp;IF($E98="LED"," LED","")&amp;IF($R98="",""," ")&amp;$R98&amp;IF($H98="",""," ")&amp;$H98&amp;IF($S98="",""," ")&amp;$S98&amp;IF($T98="",""," ")&amp;$T98&amp;IF($U98="",""," ")&amp;$U98&amp;IF($X98="",""," ")&amp;$X98&amp;IF($X98="","","mcd")</f>
        <v>1M 5% thick film 75V 100mW</v>
      </c>
      <c r="D98" t="str" s="16" cm="1">
        <f t="array" ref="D98">$G98&amp;" "&amp;E98&amp;IF($R98="",""," ")&amp;$R98&amp;IF($H98="",""," ")&amp;$H98&amp;IF($S98="",""," ")&amp;$S98&amp;IF($T98="",""," ")&amp;$T98&amp;IF($U98="",""," ")&amp;$U98&amp;IF($X98="",""," ")&amp;$X98&amp;IF($X98="","","mcd")</f>
        <v>1M RES 5% thick film 75V 100mW</v>
      </c>
      <c r="E98" t="s" s="17">
        <v>868</v>
      </c>
      <c r="F98" t="s" s="17">
        <v>5</v>
      </c>
      <c r="G98" t="str" s="18" cm="1">
        <f t="array" ref="G98">K98</f>
        <v>1M</v>
      </c>
      <c r="H98" t="s" s="17">
        <v>870</v>
      </c>
      <c r="I98" t="s" s="19">
        <v>1034</v>
      </c>
      <c r="J98" s="17"/>
      <c r="K98" t="s" s="17">
        <v>1026</v>
      </c>
      <c r="L98" s="17"/>
      <c r="M98" s="17"/>
      <c r="N98" t="s" s="17">
        <v>344</v>
      </c>
      <c r="O98" s="17"/>
      <c r="P98" s="17"/>
      <c r="Q98" s="17"/>
      <c r="R98" t="s" s="17">
        <v>873</v>
      </c>
      <c r="S98" t="s" s="17">
        <v>874</v>
      </c>
      <c r="T98" s="17"/>
      <c r="U98" t="s" s="17">
        <v>875</v>
      </c>
      <c r="V98" s="17"/>
      <c r="W98" s="17"/>
      <c r="X98" s="17"/>
      <c r="Y98" s="17"/>
      <c r="Z98" s="24"/>
      <c r="AA98" s="24"/>
      <c r="AB98" t="s" s="19">
        <v>1035</v>
      </c>
      <c r="AC98" t="str" s="20" cm="1">
        <f t="array" ref="AC98">IF(ISBLANK(AB98),"",HYPERLINK("https://jlcpcb.com/partdetail/"&amp;$AB98,$AB98))</f>
        <v>C26098</v>
      </c>
      <c r="AD98" s="27">
        <v>2</v>
      </c>
      <c r="AE98" t="s" s="17">
        <v>211</v>
      </c>
      <c r="AF98" t="s" s="25">
        <v>901</v>
      </c>
      <c r="AG98" t="s" s="32">
        <v>1037</v>
      </c>
      <c r="AH98" t="s" s="36">
        <v>880</v>
      </c>
      <c r="AI98" t="s" s="23">
        <v>881</v>
      </c>
      <c r="AJ98" t="s" s="17">
        <v>1038</v>
      </c>
    </row>
    <row r="99" ht="18.9" customHeight="1">
      <c r="B99" t="str" s="40" cm="1">
        <f t="array" ref="B99">E99&amp;"_"&amp;R99&amp;"_"&amp;U99&amp;"_"&amp;N99&amp;"_"&amp;G99</f>
        <v>RES_5%_100mW_0603_2.2M</v>
      </c>
      <c r="C99" t="str" s="16" cm="1">
        <f t="array" ref="C99">$G99&amp;IF($E99="LED"," LED","")&amp;IF($R99="",""," ")&amp;$R99&amp;IF($H99="",""," ")&amp;$H99&amp;IF($S99="",""," ")&amp;$S99&amp;IF($T99="",""," ")&amp;$T99&amp;IF($U99="",""," ")&amp;$U99&amp;IF($X99="",""," ")&amp;$X99&amp;IF($X99="","","mcd")</f>
        <v>2.2M 5% thick film 75V 100mW</v>
      </c>
      <c r="D99" t="str" s="16" cm="1">
        <f t="array" ref="D99">$G99&amp;" "&amp;E99&amp;IF($R99="",""," ")&amp;$R99&amp;IF($H99="",""," ")&amp;$H99&amp;IF($S99="",""," ")&amp;$S99&amp;IF($T99="",""," ")&amp;$T99&amp;IF($U99="",""," ")&amp;$U99&amp;IF($X99="",""," ")&amp;$X99&amp;IF($X99="","","mcd")</f>
        <v>2.2M RES 5% thick film 75V 100mW</v>
      </c>
      <c r="E99" t="s" s="17">
        <v>868</v>
      </c>
      <c r="F99" t="s" s="17">
        <v>5</v>
      </c>
      <c r="G99" t="str" s="18" cm="1">
        <f t="array" ref="G99">K99</f>
        <v>2.2M</v>
      </c>
      <c r="H99" t="s" s="17">
        <v>870</v>
      </c>
      <c r="I99" t="s" s="19">
        <v>1043</v>
      </c>
      <c r="J99" s="17"/>
      <c r="K99" t="s" s="17">
        <v>1044</v>
      </c>
      <c r="L99" s="17"/>
      <c r="M99" s="17"/>
      <c r="N99" t="s" s="17">
        <v>344</v>
      </c>
      <c r="O99" s="17"/>
      <c r="P99" s="17"/>
      <c r="Q99" s="17"/>
      <c r="R99" t="s" s="17">
        <v>873</v>
      </c>
      <c r="S99" t="s" s="17">
        <v>874</v>
      </c>
      <c r="T99" s="17"/>
      <c r="U99" t="s" s="17">
        <v>875</v>
      </c>
      <c r="V99" s="17"/>
      <c r="W99" s="17"/>
      <c r="X99" s="17"/>
      <c r="Y99" s="17"/>
      <c r="Z99" s="24"/>
      <c r="AA99" s="24"/>
      <c r="AB99" t="s" s="19">
        <v>1045</v>
      </c>
      <c r="AC99" t="str" s="20" cm="1">
        <f t="array" ref="AC99">IF(ISBLANK(AB99),"",HYPERLINK("https://jlcpcb.com/partdetail/"&amp;$AB99,$AB99))</f>
        <v>C18679</v>
      </c>
      <c r="AD99" s="27">
        <v>3</v>
      </c>
      <c r="AE99" t="s" s="17">
        <v>211</v>
      </c>
      <c r="AF99" t="s" s="25">
        <v>901</v>
      </c>
      <c r="AG99" t="s" s="17">
        <v>1047</v>
      </c>
      <c r="AH99" t="s" s="22">
        <v>880</v>
      </c>
      <c r="AI99" t="s" s="23">
        <v>881</v>
      </c>
      <c r="AJ99" t="s" s="17">
        <v>1048</v>
      </c>
    </row>
    <row r="100" ht="18.9" customHeight="1">
      <c r="B100" t="str" s="40" cm="1">
        <f t="array" ref="B100">E100&amp;"_"&amp;R100&amp;"_"&amp;U100&amp;"_"&amp;N100&amp;"_"&amp;G100</f>
        <v>RES_5%_100mW_0603_2.2M</v>
      </c>
      <c r="C100" t="str" s="16" cm="1">
        <f t="array" ref="C100">$G100&amp;IF($E100="LED"," LED","")&amp;IF($R100="",""," ")&amp;$R100&amp;IF($H100="",""," ")&amp;$H100&amp;IF($S100="",""," ")&amp;$S100&amp;IF($T100="",""," ")&amp;$T100&amp;IF($U100="",""," ")&amp;$U100&amp;IF($X100="",""," ")&amp;$X100&amp;IF($X100="","","mcd")</f>
        <v>2.2M 5% thick film 50V 100mW</v>
      </c>
      <c r="D100" t="str" s="16" cm="1">
        <f t="array" ref="D100">$G100&amp;" "&amp;E100&amp;IF($R100="",""," ")&amp;$R100&amp;IF($H100="",""," ")&amp;$H100&amp;IF($S100="",""," ")&amp;$S100&amp;IF($T100="",""," ")&amp;$T100&amp;IF($U100="",""," ")&amp;$U100&amp;IF($X100="",""," ")&amp;$X100&amp;IF($X100="","","mcd")</f>
        <v>2.2M RES 5% thick film 50V 100mW</v>
      </c>
      <c r="E100" t="s" s="17">
        <v>868</v>
      </c>
      <c r="F100" t="s" s="17">
        <v>5</v>
      </c>
      <c r="G100" t="str" s="18" cm="1">
        <f t="array" ref="G100">K100</f>
        <v>2.2M</v>
      </c>
      <c r="H100" t="s" s="17">
        <v>870</v>
      </c>
      <c r="I100" t="s" s="19">
        <v>1051</v>
      </c>
      <c r="J100" s="17"/>
      <c r="K100" t="s" s="17">
        <v>1044</v>
      </c>
      <c r="L100" s="17"/>
      <c r="M100" s="17"/>
      <c r="N100" t="s" s="17">
        <v>344</v>
      </c>
      <c r="O100" s="17"/>
      <c r="P100" s="17"/>
      <c r="Q100" s="17"/>
      <c r="R100" t="s" s="17">
        <v>873</v>
      </c>
      <c r="S100" t="s" s="17">
        <v>360</v>
      </c>
      <c r="T100" s="17"/>
      <c r="U100" t="s" s="17">
        <v>875</v>
      </c>
      <c r="V100" s="17"/>
      <c r="W100" s="17"/>
      <c r="X100" s="17"/>
      <c r="Y100" s="17"/>
      <c r="Z100" s="24"/>
      <c r="AA100" s="24"/>
      <c r="AB100" t="s" s="19">
        <v>1052</v>
      </c>
      <c r="AC100" t="str" s="20" cm="1">
        <f t="array" ref="AC100">IF(ISBLANK(AB100),"",HYPERLINK("https://jlcpcb.com/partdetail/"&amp;$AB100,$AB100))</f>
        <v>C403986</v>
      </c>
      <c r="AD100" s="27">
        <v>1</v>
      </c>
      <c r="AE100" t="s" s="17">
        <v>349</v>
      </c>
      <c r="AF100" t="s" s="25">
        <v>1054</v>
      </c>
      <c r="AG100" t="s" s="17">
        <v>1055</v>
      </c>
      <c r="AH100" t="s" s="36">
        <v>880</v>
      </c>
      <c r="AI100" t="s" s="23">
        <v>881</v>
      </c>
      <c r="AJ100" t="s" s="17">
        <v>1056</v>
      </c>
    </row>
    <row r="101" ht="18.9" customHeight="1">
      <c r="B101" t="str" s="40" cm="1">
        <f t="array" ref="B101">E101&amp;"_"&amp;R101&amp;"_"&amp;U101&amp;"_"&amp;N101&amp;"_"&amp;G101</f>
        <v>RES_5%_100mW_0603_2.2M</v>
      </c>
      <c r="C101" t="str" s="16" cm="1">
        <f t="array" ref="C101">$G101&amp;IF($E101="LED"," LED","")&amp;IF($R101="",""," ")&amp;$R101&amp;IF($H101="",""," ")&amp;$H101&amp;IF($S101="",""," ")&amp;$S101&amp;IF($T101="",""," ")&amp;$T101&amp;IF($U101="",""," ")&amp;$U101&amp;IF($X101="",""," ")&amp;$X101&amp;IF($X101="","","mcd")</f>
        <v>2.2M 5% thick film 75V 100mW</v>
      </c>
      <c r="D101" t="str" s="16" cm="1">
        <f t="array" ref="D101">$G101&amp;" "&amp;E101&amp;IF($R101="",""," ")&amp;$R101&amp;IF($H101="",""," ")&amp;$H101&amp;IF($S101="",""," ")&amp;$S101&amp;IF($T101="",""," ")&amp;$T101&amp;IF($U101="",""," ")&amp;$U101&amp;IF($X101="",""," ")&amp;$X101&amp;IF($X101="","","mcd")</f>
        <v>2.2M RES 5% thick film 75V 100mW</v>
      </c>
      <c r="E101" t="s" s="17">
        <v>868</v>
      </c>
      <c r="F101" t="s" s="17">
        <v>5</v>
      </c>
      <c r="G101" t="str" s="18" cm="1">
        <f t="array" ref="G101">K101</f>
        <v>2.2M</v>
      </c>
      <c r="H101" t="s" s="17">
        <v>870</v>
      </c>
      <c r="I101" t="s" s="19">
        <v>1043</v>
      </c>
      <c r="J101" s="17"/>
      <c r="K101" t="s" s="17">
        <v>1044</v>
      </c>
      <c r="L101" s="17"/>
      <c r="M101" s="17"/>
      <c r="N101" t="s" s="17">
        <v>344</v>
      </c>
      <c r="O101" s="17"/>
      <c r="P101" s="17"/>
      <c r="Q101" s="17"/>
      <c r="R101" t="s" s="17">
        <v>873</v>
      </c>
      <c r="S101" t="s" s="17">
        <v>874</v>
      </c>
      <c r="T101" s="17"/>
      <c r="U101" t="s" s="17">
        <v>875</v>
      </c>
      <c r="V101" s="17"/>
      <c r="W101" s="17"/>
      <c r="X101" s="17"/>
      <c r="Y101" s="17"/>
      <c r="Z101" s="24"/>
      <c r="AA101" s="24"/>
      <c r="AB101" t="s" s="19">
        <v>1045</v>
      </c>
      <c r="AC101" t="str" s="20" cm="1">
        <f t="array" ref="AC101">IF(ISBLANK(AB101),"",HYPERLINK("https://jlcpcb.com/partdetail/"&amp;$AB101,$AB101))</f>
        <v>C18679</v>
      </c>
      <c r="AD101" s="27">
        <v>2</v>
      </c>
      <c r="AE101" t="s" s="17">
        <v>349</v>
      </c>
      <c r="AF101" t="s" s="25">
        <v>901</v>
      </c>
      <c r="AG101" t="s" s="17">
        <v>1047</v>
      </c>
      <c r="AH101" t="s" s="36">
        <v>880</v>
      </c>
      <c r="AI101" t="s" s="23">
        <v>881</v>
      </c>
      <c r="AJ101" t="s" s="17">
        <v>1048</v>
      </c>
    </row>
    <row r="102" ht="18.9" customHeight="1">
      <c r="B102" t="str" s="40" cm="1">
        <f t="array" ref="B102">E102&amp;"_"&amp;R102&amp;"_"&amp;U102&amp;"_"&amp;N102&amp;"_"&amp;G102</f>
        <v>RLY___ISOPLUS-264_CPC1709J</v>
      </c>
      <c r="C102" t="str" s="16" cm="1">
        <f t="array" ref="C102">$G102&amp;IF($E102="LED"," LED","")&amp;IF($R102="",""," ")&amp;$R102&amp;IF($H102="",""," ")&amp;$H102&amp;IF($S102="",""," ")&amp;$S102&amp;IF($T102="",""," ")&amp;$T102&amp;IF($U102="",""," ")&amp;$U102&amp;IF($X102="",""," ")&amp;$X102&amp;IF($X102="","","mcd")</f>
        <v>CPC1709J SSR 1.42V 9A-22.8A</v>
      </c>
      <c r="D102" t="str" s="16" cm="1">
        <f t="array" ref="D102">$G102&amp;" "&amp;E102&amp;IF($R102="",""," ")&amp;$R102&amp;IF($H102="",""," ")&amp;$H102&amp;IF($S102="",""," ")&amp;$S102&amp;IF($T102="",""," ")&amp;$T102&amp;IF($U102="",""," ")&amp;$U102&amp;IF($X102="",""," ")&amp;$X102&amp;IF($X102="","","mcd")</f>
        <v>CPC1709J RLY SSR 1.42V 9A-22.8A</v>
      </c>
      <c r="E102" t="s" s="17">
        <v>771</v>
      </c>
      <c r="F102" t="s" s="17">
        <v>202</v>
      </c>
      <c r="G102" t="str" s="18" cm="1">
        <f t="array" ref="G102">J102</f>
        <v>CPC1709J</v>
      </c>
      <c r="H102" t="s" s="17">
        <v>1061</v>
      </c>
      <c r="I102" t="s" s="19">
        <v>1062</v>
      </c>
      <c r="J102" t="str" s="18" cm="1">
        <f t="array" ref="J102">AG102</f>
        <v>CPC1709J</v>
      </c>
      <c r="K102" s="17"/>
      <c r="L102" s="17"/>
      <c r="M102" s="17"/>
      <c r="N102" t="s" s="17">
        <v>1063</v>
      </c>
      <c r="O102" s="17"/>
      <c r="P102" s="17"/>
      <c r="Q102" s="17"/>
      <c r="R102" s="17"/>
      <c r="S102" t="s" s="17">
        <v>1064</v>
      </c>
      <c r="T102" t="s" s="17">
        <v>1065</v>
      </c>
      <c r="U102" s="17"/>
      <c r="V102" s="17"/>
      <c r="W102" s="17"/>
      <c r="X102" s="17"/>
      <c r="Y102" s="17"/>
      <c r="Z102" s="24"/>
      <c r="AA102" s="24"/>
      <c r="AB102" t="s" s="19">
        <v>1066</v>
      </c>
      <c r="AC102" t="str" s="20" cm="1">
        <f t="array" ref="AC102">IF(ISBLANK(AB102),"",HYPERLINK("https://jlcpcb.com/partdetail/"&amp;$AB102,$AB102))</f>
        <v>C1525253</v>
      </c>
      <c r="AD102" s="27">
        <v>1</v>
      </c>
      <c r="AE102" t="s" s="17">
        <v>211</v>
      </c>
      <c r="AF102" t="s" s="25">
        <v>1068</v>
      </c>
      <c r="AG102" t="s" s="17">
        <v>1069</v>
      </c>
      <c r="AH102" t="s" s="36">
        <v>1070</v>
      </c>
      <c r="AI102" t="s" s="23">
        <v>1070</v>
      </c>
      <c r="AJ102" t="s" s="17">
        <v>1071</v>
      </c>
    </row>
    <row r="103" ht="18.9" customHeight="1">
      <c r="B103" t="str" s="41" cm="1">
        <f t="array" ref="B103">E103&amp;"_"&amp;R103&amp;"_"&amp;U103&amp;"_"&amp;N103&amp;"_"&amp;G103</f>
        <v>IC___SMD-6P_4N28SM</v>
      </c>
      <c r="C103" t="str" s="42" cm="1">
        <f t="array" ref="C103">$G103&amp;IF($E103="LED"," LED","")&amp;IF($R103="",""," ")&amp;$R103&amp;IF($H103="",""," ")&amp;$H103&amp;IF($S103="",""," ")&amp;$S103&amp;IF($T103="",""," ")&amp;$T103&amp;IF($U103="",""," ")&amp;$U103&amp;IF($X103="",""," ")&amp;$X103&amp;IF($X103="","","mcd")</f>
        <v>4N28SM Phototransistor</v>
      </c>
      <c r="D103" t="str" s="42" cm="1">
        <f t="array" ref="D103">$G103&amp;" "&amp;E103&amp;IF($R103="",""," ")&amp;$R103&amp;IF($H103="",""," ")&amp;$H103&amp;IF($S103="",""," ")&amp;$S103&amp;IF($T103="",""," ")&amp;$T103&amp;IF($U103="",""," ")&amp;$U103&amp;IF($X103="",""," ")&amp;$X103&amp;IF($X103="","","mcd")</f>
        <v>4N28SM IC Phototransistor</v>
      </c>
      <c r="E103" t="s" s="43">
        <v>533</v>
      </c>
      <c r="F103" t="s" s="43">
        <v>5</v>
      </c>
      <c r="G103" t="str" s="44" cm="1">
        <f t="array" ref="G103">J103</f>
        <v>4N28SM</v>
      </c>
      <c r="H103" t="s" s="43">
        <v>1076</v>
      </c>
      <c r="I103" t="s" s="45">
        <v>1077</v>
      </c>
      <c r="J103" t="str" s="44" cm="1">
        <f t="array" ref="J103">AG103</f>
        <v>4N28SM</v>
      </c>
      <c r="K103" s="43"/>
      <c r="L103" s="43"/>
      <c r="M103" s="43"/>
      <c r="N103" t="s" s="43">
        <v>1078</v>
      </c>
      <c r="O103" s="43"/>
      <c r="P103" t="s" s="43">
        <v>1079</v>
      </c>
      <c r="Q103" t="s" s="43">
        <v>1080</v>
      </c>
      <c r="R103" s="43"/>
      <c r="S103" s="43"/>
      <c r="T103" s="43"/>
      <c r="U103" s="43"/>
      <c r="V103" s="43"/>
      <c r="W103" s="43"/>
      <c r="X103" s="43"/>
      <c r="Y103" s="43"/>
      <c r="Z103" s="46"/>
      <c r="AA103" s="46"/>
      <c r="AB103" t="s" s="45">
        <v>1081</v>
      </c>
      <c r="AC103" t="str" s="47" cm="1">
        <f t="array" ref="AC103">IF(ISBLANK(AB103),"",HYPERLINK("https://jlcpcb.com/partdetail/"&amp;$AB103,$AB103))</f>
        <v>C898949</v>
      </c>
      <c r="AD103" s="48">
        <v>1</v>
      </c>
      <c r="AE103" t="s" s="43">
        <v>211</v>
      </c>
      <c r="AF103" t="s" s="49">
        <v>793</v>
      </c>
      <c r="AG103" t="s" s="43">
        <v>1083</v>
      </c>
      <c r="AH103" t="s" s="50">
        <v>1084</v>
      </c>
      <c r="AI103" t="s" s="51">
        <v>1085</v>
      </c>
      <c r="AJ103" t="s" s="43">
        <v>1086</v>
      </c>
    </row>
    <row r="104" ht="31" customHeight="1">
      <c r="B104" s="52"/>
      <c r="C104" s="53"/>
      <c r="D104" s="53"/>
      <c r="E104" s="53"/>
      <c r="F104" s="53"/>
      <c r="G104" s="53"/>
      <c r="H104" s="52"/>
      <c r="I104" s="54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</row>
  </sheetData>
  <mergeCells count="1">
    <mergeCell ref="B2:AJ2"/>
  </mergeCells>
  <dataValidations count="2">
    <dataValidation type="list" allowBlank="1" showInputMessage="1" showErrorMessage="1" sqref="E3 E104">
      <formula1>",Category,SLK,CON,CAP,DIO,IC,LED,Q,RES"</formula1>
    </dataValidation>
    <dataValidation type="list" allowBlank="1" showInputMessage="1" showErrorMessage="1" sqref="E4:E53 E55:E103">
      <formula1>",Category,SLK,CON,CAP,DIO,IC,LED,Q,RES,ANA,IND,MCU,REG,OSC,RLY,SWI"</formula1>
    </dataValidation>
  </dataValidations>
  <hyperlinks>
    <hyperlink ref="AC25" r:id="rId1" location="" tooltip="" display="C840579"/>
    <hyperlink ref="AJ25" r:id="rId2" location="" tooltip="" display="https://wmsc.lcsc.com/wmsc/upload/file/pdf/v2/lcsc/2311231642_ECE-EDG104S33_C840579.pdf"/>
    <hyperlink ref="AC26" r:id="rId3" location="" tooltip="" display="C5340138"/>
    <hyperlink ref="AJ26" r:id="rId4" location="" tooltip="" display="https://wmsc.lcsc.com/wmsc/upload/file/pdf/v2/lcsc/2212291730_hanxia-HX-TS666CJ-250gf-009_C5340138.pdf"/>
    <hyperlink ref="AC27" r:id="rId5" location="" tooltip="" display="C5340123"/>
    <hyperlink ref="AJ27" r:id="rId6" location="" tooltip="" display="https://wmsc.lcsc.com/wmsc/upload/file/pdf/v2/lcsc/2212271430_hanxia-HX-TS666TP-250gf-009_C5340123.pdf"/>
    <hyperlink ref="AJ36" r:id="rId7" location="" tooltip="" display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/>
    <hyperlink ref="AJ37" r:id="rId8" location="" tooltip="" display="https://mischianti.org/wp-content/uploads/2020/11/ESP32-DOIT-DEV-KIT-v1-pinout-mischianti.png"/>
    <hyperlink ref="AC38" r:id="rId9" location="" tooltip="" display="C1852832"/>
    <hyperlink ref="AJ38" r:id="rId10" location="" tooltip="" display="https://wmsc.lcsc.com/wmsc/upload/file/pdf/v2/lcsc/2201271000_YAGEO-CC0603KPX7R8BB103_C1852832.pdf"/>
    <hyperlink ref="AC39" r:id="rId11" location="" tooltip="" display="C3910010"/>
    <hyperlink ref="AC40" r:id="rId12" location="" tooltip="" display="C100042"/>
    <hyperlink ref="AJ40" r:id="rId13" location="" tooltip="" display="https://www.lcsc.com/datasheet/lcsc_datasheet_2304140030_YAGEO-CC0603KRX7R9BB103_C100042.pdf"/>
    <hyperlink ref="AC41" r:id="rId14" location="" tooltip="" display="C3853265"/>
    <hyperlink ref="AC42" r:id="rId15" location="" tooltip="" display="C14663"/>
    <hyperlink ref="AJ42" r:id="rId16" location="" tooltip="" display="https://www.lcsc.com/datasheet/lcsc_datasheet_2211101700_YAGEO-CC0603KRX7R9BB104_C14663.pdf"/>
    <hyperlink ref="AC43" r:id="rId17" location="" tooltip="" display="C2169859"/>
    <hyperlink ref="AJ43" r:id="rId18" location="" tooltip="" display="https://wmsc.lcsc.com/wmsc/upload/file/pdf/v2/lcsc/2309051403_Taiyo-Yuden-GMK107BJ105KAHT_C2169859.pdf"/>
    <hyperlink ref="AC44" r:id="rId19" location="" tooltip="" display="C15849"/>
    <hyperlink ref="AJ44" r:id="rId20" location="" tooltip="" display="https://www.lcsc.com/datasheet/lcsc_datasheet_2304140030_Samsung-Electro-Mechanics-CL10A105KB8NNNC_C15849.pdf"/>
    <hyperlink ref="AC45" r:id="rId21" location="" tooltip="" display="C13585"/>
    <hyperlink ref="AJ45" r:id="rId22" location="" tooltip="" display="https://www.lcsc.com/datasheet/lcsc_datasheet_2304140030_Samsung-Electro-Mechanics-CL31A106KBHNNNE_C13585.pdf"/>
    <hyperlink ref="AC46" r:id="rId23" location="" tooltip="" display="C136294"/>
    <hyperlink ref="AJ46" r:id="rId24" location="" tooltip="" display="https://www.lcsc.com/datasheet/lcsc_datasheet_1808312007_Nichicon-UCD1V221MNL1GS_C136294.pdf"/>
    <hyperlink ref="AA47" r:id="rId25" location="" tooltip="" display="https://www.mouser.com/ProductDetail/Nichicon/UVR0J102MPD1TD"/>
    <hyperlink ref="AC48" r:id="rId26" location="" tooltip="" display="C970714"/>
    <hyperlink ref="AJ48" r:id="rId27" location="" tooltip="" display="https://jlcpcb.com/api/file/downloadByFileSystemAccessId/8590911073887604736"/>
    <hyperlink ref="AC49" r:id="rId28" location="" tooltip="" display="C353517"/>
    <hyperlink ref="AJ49" r:id="rId29" location="" tooltip="" display="https://www.lcsc.com/datasheet/lcsc_datasheet_2304140030_Shandong-Jingdao-Microelectronics-BZT52C4V7S_C353517.pdf"/>
    <hyperlink ref="AC50" r:id="rId30" location="" tooltip="" display="C5261070"/>
    <hyperlink ref="AJ50" r:id="rId31" location="" tooltip="" display="https://wmsc.lcsc.com/wmsc/upload/file/pdf/v2/lcsc/2406051353_HXY-MOSFET-BAT54_C5261070.pdf"/>
    <hyperlink ref="AC51" r:id="rId32" location="" tooltip="" display="C2926172"/>
    <hyperlink ref="AJ51" r:id="rId33" location="" tooltip="" display="https://wmsc.lcsc.com/wmsc/upload/file/pdf/v2/lcsc/2112031830_FOSAN-BAT54A_C2926172.pdf"/>
    <hyperlink ref="AC52" r:id="rId34" location="" tooltip="" display="C2926174"/>
    <hyperlink ref="AJ52" r:id="rId35" location="" tooltip="" display="https://wmsc.lcsc.com/wmsc/upload/file/pdf/v2/lcsc/2112031830_FOSAN-BAT54S_C2926174.pdf"/>
    <hyperlink ref="AC53" r:id="rId36" location="" tooltip="" display="C408388"/>
    <hyperlink ref="AJ53" r:id="rId37" location="" tooltip="" display="https://www.lcsc.com/datasheet/lcsc_datasheet_2407101108_MDD-Microdiode-Semiconductor-BAT54C_C408388.pdf"/>
    <hyperlink ref="AC54" r:id="rId38" location="" tooltip="" display="C2683482"/>
    <hyperlink ref="AJ54" r:id="rId39" location="" tooltip="" display="https://www.lcsc.com/datasheet/lcsc_datasheet_2403081523_IDCHIP-LM358D_C2683482.pdf"/>
    <hyperlink ref="AC55" r:id="rId40" location="" tooltip="" display="C5145392"/>
    <hyperlink ref="AJ55" r:id="rId41" location="" tooltip="" display="https://wmsc.lcsc.com/wmsc/upload/file/pdf/v2/lcsc/2209290930_HANSCHIP-semiconductor-NE556DRG_C5145392.pdf"/>
    <hyperlink ref="AC56" r:id="rId42" location="" tooltip="" display="C629440"/>
    <hyperlink ref="AJ56" r:id="rId43" location="" tooltip="" display="https://wmsc.lcsc.com/wmsc/upload/file/pdf/v2/lcsc/2203221230_Microchip-Tech-MCP23017T-E-SO_C629440.pdf"/>
    <hyperlink ref="AC57" r:id="rId44" location="" tooltip="" display="C2678753"/>
    <hyperlink ref="AJ57" r:id="rId45" location="" tooltip="" display="https://www.lcsc.com/datasheet/lcsc_datasheet_2405281434_NXP-Semicon-PCA9685PW-118_C2678753.pdf"/>
    <hyperlink ref="AC58" r:id="rId46" location="" tooltip="" display="C965807"/>
    <hyperlink ref="AJ58" r:id="rId47" location="" tooltip="" display="https://wmsc.lcsc.com/wmsc/upload/file/pdf/v2/lcsc/2402181505_XINGLIGHT-XL-1608UBC-04_C965807.pdf"/>
    <hyperlink ref="AC59" r:id="rId48" location="" tooltip="" display="C965808"/>
    <hyperlink ref="AJ59" r:id="rId49" location="" tooltip="" display="https://wmsc.lcsc.com/wmsc/upload/file/pdf/v2/lcsc/2402181505_XINGLIGHT-XL-1608UWC-04_C965808.pdf"/>
    <hyperlink ref="AC60" r:id="rId50" location="" tooltip="" display="C965804"/>
    <hyperlink ref="AJ60" r:id="rId51" location="" tooltip="" display="https://wmsc.lcsc.com/wmsc/upload/file/pdf/v2/lcsc/2402181505_XINGLIGHT-XL-1608UGC-04_C965804.pdf"/>
    <hyperlink ref="AC61" r:id="rId52" location="" tooltip="" display="C965806"/>
    <hyperlink ref="AJ61" r:id="rId53" location="" tooltip="" display="https://wmsc.lcsc.com/wmsc/upload/file/pdf/v2/lcsc/2402181505_XINGLIGHT-XL-1608SYGC-04_C965806.pdf"/>
    <hyperlink ref="AC62" r:id="rId54" location="" tooltip="" display="C22371303"/>
    <hyperlink ref="AJ62" r:id="rId55" location="" tooltip="" display="https://wmsc.lcsc.com/wmsc/upload/file/pdf/v2/lcsc/2403281522_HONGLITRONIC-Hongli-Zhihui--HONGLITRONIC-HL-PSC-1608S25OC-G4_C22371303.pdf"/>
    <hyperlink ref="AC63" r:id="rId56" location="" tooltip="" display="C965800"/>
    <hyperlink ref="AJ63" r:id="rId57" location="" tooltip="" display="https://wmsc.lcsc.com/wmsc/upload/file/pdf/v2/lcsc/2402181505_XINGLIGHT-XL-1608UOC-06_C965800.pdf"/>
    <hyperlink ref="AC64" r:id="rId58" location="" tooltip="" display="C965801"/>
    <hyperlink ref="AJ64" r:id="rId59" location="" tooltip="" display="https://wmsc.lcsc.com/wmsc/upload/file/pdf/v2/lcsc/2402181505_XINGLIGHT-XL-1608UOC-06_C965800.pdf"/>
    <hyperlink ref="AC65" r:id="rId60" location="" tooltip="" display="C965803"/>
    <hyperlink ref="AJ65" r:id="rId61" location="" tooltip="" display="https://wmsc.lcsc.com/wmsc/upload/file/pdf/v2/lcsc/2402181505_XINGLIGHT-XL-1608UOC-04_C965801.pdf"/>
    <hyperlink ref="AC66" r:id="rId62" location="" tooltip="" display="C7288939"/>
    <hyperlink ref="AJ66" r:id="rId63" location="" tooltip="" display="https://wmsc.lcsc.com/wmsc/upload/file/pdf/v2/lcsc/2404241146_Inolux-IN-S63ASR_C7288939.pdf"/>
    <hyperlink ref="AC67" r:id="rId64" location="" tooltip="" display="C965799"/>
    <hyperlink ref="AJ67" r:id="rId65" location="" tooltip="" display="https://wmsc.lcsc.com/wmsc/upload/file/pdf/v2/lcsc/2402181505_XINGLIGHT-XL-1608SURC-06_C965799.pdf"/>
    <hyperlink ref="AC68" r:id="rId66" location="" tooltip="" display="C965798"/>
    <hyperlink ref="AJ68" r:id="rId67" location="" tooltip="" display="https://wmsc.lcsc.com/wmsc/upload/file/pdf/v2/lcsc/2402181505_XINGLIGHT-XL-1608SURC-04_C965798.pdf"/>
    <hyperlink ref="AC69" r:id="rId68" location="" tooltip="" display="C2843785"/>
    <hyperlink ref="AJ69" r:id="rId69" location="" tooltip="" display="https://www.lcsc.com/datasheet/lcsc_datasheet_2404120946_XINGLIGHT-XL-5050RGBC-WS2812B_C2843785.pdf"/>
    <hyperlink ref="AC70" r:id="rId70" location="" tooltip="" display="C5345985"/>
    <hyperlink ref="AJ70" r:id="rId71" location="" tooltip="" display="https://wmsc.lcsc.com/wmsc/upload/file/pdf/v2/lcsc/2301120930_HXY-MOSFET-AMS1117-ADJ_C5345985.pdf"/>
    <hyperlink ref="AC71" r:id="rId72" location="" tooltip="" display="C5345982"/>
    <hyperlink ref="AJ71" r:id="rId73" location="" tooltip="" display="https://wmsc.lcsc.com/wmsc/upload/file/pdf/v2/lcsc/2301120930_HXY-MOSFET-AMS1117-3-3_C5345982.pdf"/>
    <hyperlink ref="AC72" r:id="rId74" location="" tooltip="" display="C5345984"/>
    <hyperlink ref="AJ72" r:id="rId75" location="" tooltip="" display="https://wmsc.lcsc.com/wmsc/upload/file/pdf/v2/lcsc/2301120930_HXY-MOSFET-AMS1117-5-0_C5345984.pdf"/>
    <hyperlink ref="AJ74" r:id="rId76" location="" tooltip="" display="https://omronfs.omron.com/en_US/ecb/products/pdf/en-g2rl.pdf"/>
    <hyperlink ref="AC76" r:id="rId77" location="" tooltip="" display="C5184404"/>
    <hyperlink ref="AJ76" r:id="rId78" location="" tooltip="" display="https://wmsc.lcsc.com/wmsc/upload/file/pdf/v2/lcsc/2407151447_HXY-MOSFET-MMBT3904_C5184404.pdf"/>
    <hyperlink ref="AC77" r:id="rId79" location="" tooltip="" display="C5184433"/>
    <hyperlink ref="AJ77" r:id="rId80" location="" tooltip="" display="https://wmsc.lcsc.com/wmsc/upload/file/pdf/v2/lcsc/2303091430_HXY-MOSFET-BC807-40_C5184433.pdf"/>
    <hyperlink ref="AC78" r:id="rId81" location="" tooltip="" display="C5224215"/>
    <hyperlink ref="AJ78" r:id="rId82" location="" tooltip="" display="https://wmsc.lcsc.com/wmsc/upload/file/pdf/v2/lcsc/2210271630_ElecSuper-2N7002_C5224215.pdf"/>
    <hyperlink ref="AC79" r:id="rId83" location="" tooltip="" display="C878901"/>
    <hyperlink ref="AJ79" r:id="rId84" location="" tooltip="" display="https://www.diodes.com/assets/Datasheets/ds31773.pdf"/>
    <hyperlink ref="AC80" r:id="rId85" location="" tooltip="" display="C7499856"/>
    <hyperlink ref="AJ80" r:id="rId86" location="" tooltip="" display="https://wmsc.lcsc.com/wmsc/upload/file/pdf/v2/lcsc/2310251707_HL-2301V_C7499856.pdf"/>
    <hyperlink ref="AC81" r:id="rId87" location="" tooltip="" display="C2907123"/>
    <hyperlink ref="AJ81" r:id="rId88" location="" tooltip="" display="https://wmsc.lcsc.com/wmsc/upload/file/pdf/v2/lcsc/2308241947_FOJAN-FRC0603J201-TS_C2907123.pdf"/>
    <hyperlink ref="AC82" r:id="rId89" location="" tooltip="" display="C5842375"/>
    <hyperlink ref="AJ82" r:id="rId90" location="" tooltip="" display="https://wmsc.lcsc.com/wmsc/upload/file/pdf/v2/lcsc/2312030915_YAGEO-RC0603FR-13220RL_C5842375.pdf"/>
    <hyperlink ref="AC83" r:id="rId91" location="" tooltip="" display="C1226"/>
    <hyperlink ref="AJ83" r:id="rId92" location="" tooltip="" display="https://www.lcsc.com/datasheet/lcsc_datasheet_2206010230_UNI-ROYAL-Uniroyal-Elec-0603WAJ0221T5E_C1226.pdf"/>
    <hyperlink ref="AC84" r:id="rId93" location="" tooltip="" display="C25231"/>
    <hyperlink ref="AJ84" r:id="rId94" location="" tooltip="" display="https://www.lcsc.com/datasheet/lcsc_datasheet_2205311845_UNI-ROYAL-Uniroyal-Elec-0603WAJ0331T5E_C25231.pdf"/>
    <hyperlink ref="AC85" r:id="rId95" location="" tooltip="" display="C25241"/>
    <hyperlink ref="AJ85" r:id="rId96" location="" tooltip="" display="https://www.lcsc.com/datasheet/lcsc_datasheet_2205311845_UNI-ROYAL-Uniroyal-Elec-0603WAJ0471T5E_C25241.pdf"/>
    <hyperlink ref="AC86" r:id="rId97" location="" tooltip="" display="C25585"/>
    <hyperlink ref="AJ86" r:id="rId98" location="" tooltip="" display="https://www.lcsc.com/datasheet/lcsc_datasheet_2206010100_UNI-ROYAL-Uniroyal-Elec-0603WAJ0102T5E_C25585.pdf"/>
    <hyperlink ref="AC87" r:id="rId99" location="" tooltip="" display="C25992"/>
    <hyperlink ref="AJ87" r:id="rId100" location="" tooltip="" display="https://www.lcsc.com/datasheet/lcsc_datasheet_2206010045_UNI-ROYAL-Uniroyal-Elec-0603WAJ0222T5E_C25992.pdf"/>
    <hyperlink ref="AC88" r:id="rId101" location="" tooltip="" display="C2907023"/>
    <hyperlink ref="AJ88" r:id="rId102" location="" tooltip="" display="https://wmsc.lcsc.com/wmsc/upload/file/pdf/v2/lcsc/2308241947_FOJAN-FRC0603F3301TS_C2907023.pdf"/>
    <hyperlink ref="AC89" r:id="rId103" location="" tooltip="" display="C25995"/>
    <hyperlink ref="AJ89" r:id="rId104" location="" tooltip="" display="https://www.lcsc.com/datasheet/lcsc_datasheet_2206010045_UNI-ROYAL-Uniroyal-Elec-0603WAJ0332T5E_C25995.pdf"/>
    <hyperlink ref="AC90" r:id="rId105" location="" tooltip="" display="C25999"/>
    <hyperlink ref="AJ90" r:id="rId106" location="" tooltip="" display="https://www.lcsc.com/datasheet/lcsc_datasheet_2206010045_UNI-ROYAL-Uniroyal-Elec-0603WAJ0472T5E_C25999.pdf"/>
    <hyperlink ref="AC91" r:id="rId107" location="" tooltip="" display="C26001"/>
    <hyperlink ref="AJ91" r:id="rId108" location="" tooltip="" display="https://www.lcsc.com/datasheet/lcsc_datasheet_2206010045_UNI-ROYAL-Uniroyal-Elec-0603WAJ0562T5E_C26001.pdf"/>
    <hyperlink ref="AC92" r:id="rId109" location="" tooltip="" display="C4118381"/>
    <hyperlink ref="AJ92" r:id="rId110" location="" tooltip="" display="https://wmsc.lcsc.com/wmsc/upload/file/pdf/v2/lcsc/2404101024_YAGEO-RC0603JR-1310KL_C4118381.pdf"/>
    <hyperlink ref="AC93" r:id="rId111" location="" tooltip="" display="C2930027"/>
    <hyperlink ref="AJ93" r:id="rId112" location="" tooltip="" display="https://wmsc.lcsc.com/wmsc/upload/file/pdf/v2/lcsc/2308241009_FOJAN-FRC0603J103TS_C2930027.pdf"/>
    <hyperlink ref="AC94" r:id="rId113" location="" tooltip="" display="C15401"/>
    <hyperlink ref="AC95" r:id="rId114" location="" tooltip="" display="C23344"/>
    <hyperlink ref="AJ95" r:id="rId115" location="" tooltip="" display="https://www.lcsc.com/datasheet/lcsc_datasheet_2206010100_UNI-ROYAL-Uniroyal-Elec-0603WAJ0223T5E_C23344.pdf"/>
    <hyperlink ref="AC96" r:id="rId116" location="" tooltip="" display="C15458"/>
    <hyperlink ref="AJ96" r:id="rId117" location="" tooltip="" display="https://www.lcsc.com/datasheet/lcsc_datasheet_2206010216_UNI-ROYAL-Uniroyal-Elec-0603WAJ0104T5E_C15458.pdf"/>
    <hyperlink ref="AC97" r:id="rId118" location="" tooltip="" display="C22935"/>
    <hyperlink ref="AJ97" r:id="rId119" location="" tooltip="" display="https://www.lcsc.com/datasheet/lcsc_datasheet_2206010130_UNI-ROYAL-Uniroyal-Elec-0603WAF1004T5E_C22935.pdf"/>
    <hyperlink ref="AC98" r:id="rId120" location="" tooltip="" display="C26098"/>
    <hyperlink ref="AJ98" r:id="rId121" location="" tooltip="" display="https://www.lcsc.com/datasheet/lcsc_datasheet_2206010030_UNI-ROYAL-Uniroyal-Elec-0603WAJ0105T5E_C26098.pdf"/>
    <hyperlink ref="AC99" r:id="rId122" location="" tooltip="" display="C18679"/>
    <hyperlink ref="AJ99" r:id="rId123" location="" tooltip="" display="https://www.lcsc.com/datasheet/lcsc_datasheet_2206010145_UNI-ROYAL-Uniroyal-Elec-0603WAJ0225T5E_C18679.pdf"/>
    <hyperlink ref="AC100" r:id="rId124" location="" tooltip="" display="C403986"/>
    <hyperlink ref="AJ100" r:id="rId125" location="" tooltip="" display="https://wmsc.lcsc.com/wmsc/upload/file/pdf/v2/lcsc/2304140030_FH--Guangdong-Fenghua-Advanced-Tech-RS-03L225JJT_C403986.pdf"/>
    <hyperlink ref="AC101" r:id="rId126" location="" tooltip="" display="C18679"/>
    <hyperlink ref="AJ101" r:id="rId127" location="" tooltip="" display="https://www.lcsc.com/datasheet/lcsc_datasheet_2206010145_UNI-ROYAL-Uniroyal-Elec-0603WAJ0225T5E_C18679.pdf"/>
    <hyperlink ref="AC102" r:id="rId128" location="" tooltip="" display="C1525253"/>
    <hyperlink ref="AJ102" r:id="rId129" location="" tooltip="" display="https://jlcpcb.com/api/file/downloadByFileSystemAccessId/8589033743424368640"/>
    <hyperlink ref="AC103" r:id="rId130" location="" tooltip="" display="C898949"/>
    <hyperlink ref="AJ103" r:id="rId131" location="" tooltip="" display="https://jlcpcb.com/api/file/downloadByFileSystemAccessId/8588917274006720512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