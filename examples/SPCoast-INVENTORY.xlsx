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<sst xmlns="http://schemas.openxmlformats.org/spreadsheetml/2006/main" uniqueCount="1227">
  <si>
    <t>SPCoast Part Inventory</t>
  </si>
  <si>
    <t>IPN</t>
  </si>
  <si>
    <t>ComponentName</t>
  </si>
  <si>
    <t>Keywords</t>
  </si>
  <si>
    <t>LCSC Link</t>
  </si>
  <si>
    <t>Value</t>
  </si>
  <si>
    <t>Category</t>
  </si>
  <si>
    <t>Name</t>
  </si>
  <si>
    <t>SMD</t>
  </si>
  <si>
    <t>Type</t>
  </si>
  <si>
    <t>LCSC</t>
  </si>
  <si>
    <t>Description</t>
  </si>
  <si>
    <t>Resistance</t>
  </si>
  <si>
    <t>Capacitance</t>
  </si>
  <si>
    <t>Inductance</t>
  </si>
  <si>
    <t>Package</t>
  </si>
  <si>
    <t>Form</t>
  </si>
  <si>
    <t>Pins</t>
  </si>
  <si>
    <t>Pitch</t>
  </si>
  <si>
    <t>Tolerance</t>
  </si>
  <si>
    <t>V</t>
  </si>
  <si>
    <t>A</t>
  </si>
  <si>
    <t>W</t>
  </si>
  <si>
    <t>Angle</t>
  </si>
  <si>
    <t>Wavelength</t>
  </si>
  <si>
    <t>mcd</t>
  </si>
  <si>
    <t>Frequency</t>
  </si>
  <si>
    <t>Mouser</t>
  </si>
  <si>
    <t>Mouser Link</t>
  </si>
  <si>
    <t>Priority</t>
  </si>
  <si>
    <t>Status</t>
  </si>
  <si>
    <t>Manufacturer</t>
  </si>
  <si>
    <t>MPN</t>
  </si>
  <si>
    <t>Symbol</t>
  </si>
  <si>
    <t>Footprint</t>
  </si>
  <si>
    <t>Datasheet</t>
  </si>
  <si>
    <r>
      <rPr>
        <sz val="10"/>
        <color indexed="8"/>
        <rFont val="Arial"/>
      </rPr>
      <t>SLK_BRD_80x100</t>
    </r>
  </si>
  <si>
    <r>
      <rPr>
        <sz val="10"/>
        <color indexed="8"/>
        <rFont val="Arial"/>
      </rPr>
      <t>BRD_80x100 Board Outline &amp; Milling</t>
    </r>
  </si>
  <si>
    <r>
      <rPr>
        <sz val="10"/>
        <color indexed="8"/>
        <rFont val="Arial"/>
      </rPr>
      <t>SLK_BRD_80x100 BRD_80x100 SLK Board Outline &amp; Milling</t>
    </r>
  </si>
  <si>
    <r>
      <rPr>
        <sz val="10"/>
        <color indexed="8"/>
        <rFont val="Arial"/>
      </rPr>
      <t>BRD_80x100</t>
    </r>
  </si>
  <si>
    <t>SLK</t>
  </si>
  <si>
    <t>BRD_80x100</t>
  </si>
  <si>
    <t>Other</t>
  </si>
  <si>
    <t>Board Outline &amp; Milling</t>
  </si>
  <si>
    <t>PCB Board outline with mounting holes - fits Tyco 3 mounting rail</t>
  </si>
  <si>
    <t>Passive</t>
  </si>
  <si>
    <t>SPCoast:Board</t>
  </si>
  <si>
    <t>SPCoast:Board_080x100</t>
  </si>
  <si>
    <r>
      <rPr>
        <sz val="10"/>
        <color indexed="8"/>
        <rFont val="Arial"/>
      </rPr>
      <t>SLK_BRD_100x50</t>
    </r>
  </si>
  <si>
    <r>
      <rPr>
        <sz val="10"/>
        <color indexed="8"/>
        <rFont val="Arial"/>
      </rPr>
      <t>BRD_100x50 Board Outline &amp; Milling</t>
    </r>
  </si>
  <si>
    <r>
      <rPr>
        <sz val="10"/>
        <color indexed="8"/>
        <rFont val="Arial"/>
      </rPr>
      <t>BRD_100x50 SLK Board Outline &amp; Milling</t>
    </r>
  </si>
  <si>
    <r>
      <rPr>
        <sz val="10"/>
        <color indexed="8"/>
        <rFont val="Arial"/>
      </rPr>
      <t>BRD_100x50</t>
    </r>
  </si>
  <si>
    <t>BRD_100x50</t>
  </si>
  <si>
    <t>PCB Board outline with mounting holes</t>
  </si>
  <si>
    <t>SPCoast:Board_100x050</t>
  </si>
  <si>
    <r>
      <rPr>
        <sz val="10"/>
        <color indexed="8"/>
        <rFont val="Arial"/>
      </rPr>
      <t>SLK_BRD_100x25x2</t>
    </r>
  </si>
  <si>
    <r>
      <rPr>
        <sz val="10"/>
        <color indexed="8"/>
        <rFont val="Arial"/>
      </rPr>
      <t>BRD_100x25x2 Board Outline &amp; Milling</t>
    </r>
  </si>
  <si>
    <r>
      <rPr>
        <sz val="10"/>
        <color indexed="8"/>
        <rFont val="Arial"/>
      </rPr>
      <t>BRD_100x25x2 SLK Board Outline &amp; Milling</t>
    </r>
  </si>
  <si>
    <r>
      <rPr>
        <sz val="10"/>
        <color indexed="8"/>
        <rFont val="Arial"/>
      </rPr>
      <t>BRD_100x25x2</t>
    </r>
  </si>
  <si>
    <t>BRD_100x25x2</t>
  </si>
  <si>
    <t>SPCoast:Board_100x050_2</t>
  </si>
  <si>
    <r>
      <rPr>
        <sz val="10"/>
        <color indexed="8"/>
        <rFont val="Arial"/>
      </rPr>
      <t>SLK_BRD_100x75</t>
    </r>
  </si>
  <si>
    <r>
      <rPr>
        <sz val="10"/>
        <color indexed="8"/>
        <rFont val="Arial"/>
      </rPr>
      <t>BRD_100x75 Board Outline &amp; Milling</t>
    </r>
  </si>
  <si>
    <r>
      <rPr>
        <sz val="10"/>
        <color indexed="8"/>
        <rFont val="Arial"/>
      </rPr>
      <t>BRD_100x75 SLK Board Outline &amp; Milling</t>
    </r>
  </si>
  <si>
    <r>
      <rPr>
        <sz val="10"/>
        <color indexed="8"/>
        <rFont val="Arial"/>
      </rPr>
      <t>BRD_100x75</t>
    </r>
  </si>
  <si>
    <t>BRD_100x75</t>
  </si>
  <si>
    <t>SPCoast:Board_100x075</t>
  </si>
  <si>
    <t>PCB Board outline with mounting holes  large radius corners</t>
  </si>
  <si>
    <t>SPCoast:Board_100x075_Rounded</t>
  </si>
  <si>
    <r>
      <rPr>
        <sz val="10"/>
        <color indexed="8"/>
        <rFont val="Arial"/>
      </rPr>
      <t>SLK_BRD_100x100</t>
    </r>
  </si>
  <si>
    <r>
      <rPr>
        <sz val="10"/>
        <color indexed="8"/>
        <rFont val="Arial"/>
      </rPr>
      <t>BRD_100x100 Board Outline &amp; Milling</t>
    </r>
  </si>
  <si>
    <r>
      <rPr>
        <sz val="10"/>
        <color indexed="8"/>
        <rFont val="Arial"/>
      </rPr>
      <t>BRD_100x100 SLK Board Outline &amp; Milling</t>
    </r>
  </si>
  <si>
    <r>
      <rPr>
        <sz val="10"/>
        <color indexed="8"/>
        <rFont val="Arial"/>
      </rPr>
      <t>BRD_100x100</t>
    </r>
  </si>
  <si>
    <t>BRD_100x100</t>
  </si>
  <si>
    <t>SPCoast:Board_100x100</t>
  </si>
  <si>
    <r>
      <rPr>
        <sz val="10"/>
        <color indexed="8"/>
        <rFont val="Arial"/>
      </rPr>
      <t>SLK_BRD_100x150</t>
    </r>
  </si>
  <si>
    <r>
      <rPr>
        <sz val="10"/>
        <color indexed="8"/>
        <rFont val="Arial"/>
      </rPr>
      <t>BRD_100x150 Board Outline &amp; Milling</t>
    </r>
  </si>
  <si>
    <r>
      <rPr>
        <sz val="10"/>
        <color indexed="8"/>
        <rFont val="Arial"/>
      </rPr>
      <t>BRD_100x150 SLK Board Outline &amp; Milling</t>
    </r>
  </si>
  <si>
    <r>
      <rPr>
        <sz val="10"/>
        <color indexed="8"/>
        <rFont val="Arial"/>
      </rPr>
      <t>BRD_100x150</t>
    </r>
  </si>
  <si>
    <t>BRD_100x150</t>
  </si>
  <si>
    <t>SPCoast:Board_100x150</t>
  </si>
  <si>
    <r>
      <rPr>
        <sz val="10"/>
        <color indexed="8"/>
        <rFont val="Arial"/>
      </rPr>
      <t>SLK_BRD_100x200</t>
    </r>
  </si>
  <si>
    <r>
      <rPr>
        <sz val="10"/>
        <color indexed="8"/>
        <rFont val="Arial"/>
      </rPr>
      <t>BRD_100x200 Board Outline &amp; Milling</t>
    </r>
  </si>
  <si>
    <r>
      <rPr>
        <sz val="10"/>
        <color indexed="8"/>
        <rFont val="Arial"/>
      </rPr>
      <t>BRD_100x200 SLK Board Outline &amp; Milling</t>
    </r>
  </si>
  <si>
    <r>
      <rPr>
        <sz val="10"/>
        <color indexed="8"/>
        <rFont val="Arial"/>
      </rPr>
      <t>BRD_100x200</t>
    </r>
  </si>
  <si>
    <t>BRD_100x200</t>
  </si>
  <si>
    <t>SPCoast:Board_100x200</t>
  </si>
  <si>
    <r>
      <rPr>
        <sz val="10"/>
        <color indexed="8"/>
        <rFont val="Arial"/>
      </rPr>
      <t>SLK_DCPower+</t>
    </r>
  </si>
  <si>
    <r>
      <rPr>
        <sz val="10"/>
        <color indexed="8"/>
        <rFont val="Arial"/>
      </rPr>
      <t>DCPower+ SilkScreen</t>
    </r>
  </si>
  <si>
    <r>
      <rPr>
        <sz val="10"/>
        <color indexed="8"/>
        <rFont val="Arial"/>
      </rPr>
      <t>DCPower+ SLK SilkScreen</t>
    </r>
  </si>
  <si>
    <r>
      <rPr>
        <sz val="10"/>
        <color indexed="8"/>
        <rFont val="Arial"/>
      </rPr>
      <t>DCPower+</t>
    </r>
  </si>
  <si>
    <t>DCPower+</t>
  </si>
  <si>
    <t>SilkScreen</t>
  </si>
  <si>
    <t>DC Power Jack Label</t>
  </si>
  <si>
    <t>SPCoast:DOC_Label-Power_CP</t>
  </si>
  <si>
    <t>SPCoast:SILK_Label-Power_CP</t>
  </si>
  <si>
    <r>
      <rPr>
        <sz val="10"/>
        <color indexed="8"/>
        <rFont val="Arial"/>
      </rPr>
      <t>SLK_DCPower-</t>
    </r>
  </si>
  <si>
    <r>
      <rPr>
        <sz val="10"/>
        <color indexed="8"/>
        <rFont val="Arial"/>
      </rPr>
      <t>DCPower- SilkScreen</t>
    </r>
  </si>
  <si>
    <r>
      <rPr>
        <sz val="10"/>
        <color indexed="8"/>
        <rFont val="Arial"/>
      </rPr>
      <t>DCPower- SLK SilkScreen</t>
    </r>
  </si>
  <si>
    <r>
      <rPr>
        <sz val="10"/>
        <color indexed="8"/>
        <rFont val="Arial"/>
      </rPr>
      <t>DCPower-</t>
    </r>
  </si>
  <si>
    <t>DCPower-</t>
  </si>
  <si>
    <t>SPCoast:DOC_Label-Power_CN</t>
  </si>
  <si>
    <t>SPCoast:SILK_Label-Power_CN</t>
  </si>
  <si>
    <r>
      <rPr>
        <sz val="10"/>
        <color indexed="8"/>
        <rFont val="Arial"/>
      </rPr>
      <t>SLK_CA65</t>
    </r>
  </si>
  <si>
    <r>
      <rPr>
        <sz val="10"/>
        <color indexed="8"/>
        <rFont val="Arial"/>
      </rPr>
      <t>CA65 SilkScreen</t>
    </r>
  </si>
  <si>
    <r>
      <rPr>
        <sz val="10"/>
        <color indexed="8"/>
        <rFont val="Arial"/>
      </rPr>
      <t>CA65 SLK SilkScreen</t>
    </r>
  </si>
  <si>
    <r>
      <rPr>
        <sz val="10"/>
        <color indexed="8"/>
        <rFont val="Arial"/>
      </rPr>
      <t>CA65</t>
    </r>
  </si>
  <si>
    <t>CA65</t>
  </si>
  <si>
    <t>California Prop 65 warning</t>
  </si>
  <si>
    <t>SPCoast:DOC_Label-CA65</t>
  </si>
  <si>
    <t>SPCoast:SILK_Label-CA65</t>
  </si>
  <si>
    <r>
      <rPr>
        <sz val="10"/>
        <color indexed="8"/>
        <rFont val="Arial"/>
      </rPr>
      <t>SLK_CC-by-sa</t>
    </r>
  </si>
  <si>
    <r>
      <rPr>
        <sz val="10"/>
        <color indexed="8"/>
        <rFont val="Arial"/>
      </rPr>
      <t>CC-by-sa SilkScreen</t>
    </r>
  </si>
  <si>
    <r>
      <rPr>
        <sz val="10"/>
        <color indexed="8"/>
        <rFont val="Arial"/>
      </rPr>
      <t>CC-by-sa SLK SilkScreen</t>
    </r>
  </si>
  <si>
    <r>
      <rPr>
        <sz val="10"/>
        <color indexed="8"/>
        <rFont val="Arial"/>
      </rPr>
      <t>CC-by-sa</t>
    </r>
  </si>
  <si>
    <t>CC-by-sa</t>
  </si>
  <si>
    <t>Creative Commons License 3.0</t>
  </si>
  <si>
    <t>SPCoast:DOC_License-CC-BY-SA</t>
  </si>
  <si>
    <t>SPCoast:SILK_License-CC-by-sa</t>
  </si>
  <si>
    <r>
      <rPr>
        <sz val="10"/>
        <color indexed="8"/>
        <rFont val="Arial"/>
      </rPr>
      <t>SLK_Logo_MRCS</t>
    </r>
  </si>
  <si>
    <r>
      <rPr>
        <sz val="10"/>
        <color indexed="8"/>
        <rFont val="Arial"/>
      </rPr>
      <t>Logo_MRCS SilkScreen</t>
    </r>
  </si>
  <si>
    <r>
      <rPr>
        <sz val="10"/>
        <color indexed="8"/>
        <rFont val="Arial"/>
      </rPr>
      <t>Logo_MRCS SLK SilkScreen</t>
    </r>
  </si>
  <si>
    <r>
      <rPr>
        <sz val="10"/>
        <color indexed="8"/>
        <rFont val="Arial"/>
      </rPr>
      <t>Logo_MRCS</t>
    </r>
  </si>
  <si>
    <t>Logo_MRCS</t>
  </si>
  <si>
    <t>MRCS PCB Logo</t>
  </si>
  <si>
    <t>SPCoast:DOC_Logo-MRCS</t>
  </si>
  <si>
    <t>SPCoast:SILK_Logo-MRCS</t>
  </si>
  <si>
    <r>
      <rPr>
        <sz val="10"/>
        <color indexed="8"/>
        <rFont val="Arial"/>
      </rPr>
      <t>SLK_Logo_SPCoast</t>
    </r>
  </si>
  <si>
    <r>
      <rPr>
        <sz val="10"/>
        <color indexed="8"/>
        <rFont val="Arial"/>
      </rPr>
      <t>Logo_SPCoast SilkScreen</t>
    </r>
  </si>
  <si>
    <r>
      <rPr>
        <sz val="10"/>
        <color indexed="8"/>
        <rFont val="Arial"/>
      </rPr>
      <t>Logo_SPCoast SLK SilkScreen</t>
    </r>
  </si>
  <si>
    <r>
      <rPr>
        <sz val="10"/>
        <color indexed="8"/>
        <rFont val="Arial"/>
      </rPr>
      <t>Logo_SPCoast</t>
    </r>
  </si>
  <si>
    <t>Logo_SPCoast</t>
  </si>
  <si>
    <t>SPCoast PCB Logo</t>
  </si>
  <si>
    <t>SPCoast:DOC_Logo-SPCoast</t>
  </si>
  <si>
    <t>SPCoast:SILK_Logo-SPCoast</t>
  </si>
  <si>
    <r>
      <rPr>
        <sz val="10"/>
        <color indexed="8"/>
        <rFont val="Arial"/>
      </rPr>
      <t>SLK_Power_Draw</t>
    </r>
  </si>
  <si>
    <r>
      <rPr>
        <sz val="10"/>
        <color indexed="8"/>
        <rFont val="Arial"/>
      </rPr>
      <t>Power_Draw SilkScreen</t>
    </r>
  </si>
  <si>
    <r>
      <rPr>
        <sz val="10"/>
        <color indexed="8"/>
        <rFont val="Arial"/>
      </rPr>
      <t>Power_Draw SLK SilkScreen</t>
    </r>
  </si>
  <si>
    <r>
      <rPr>
        <sz val="10"/>
        <color indexed="8"/>
        <rFont val="Arial"/>
      </rPr>
      <t>Power_Draw</t>
    </r>
  </si>
  <si>
    <t>Power_Draw</t>
  </si>
  <si>
    <t>SPCoast Power Consumption Label</t>
  </si>
  <si>
    <t>SPCoast:DOC_Label-Current-Sink</t>
  </si>
  <si>
    <t>SPCoast:SILK_Label-Current-Sink</t>
  </si>
  <si>
    <r>
      <rPr>
        <sz val="10"/>
        <color indexed="8"/>
        <rFont val="Arial"/>
      </rPr>
      <t>SLK_Power_Provide</t>
    </r>
  </si>
  <si>
    <r>
      <rPr>
        <sz val="10"/>
        <color indexed="8"/>
        <rFont val="Arial"/>
      </rPr>
      <t>Power_Provide SilkScreen</t>
    </r>
  </si>
  <si>
    <r>
      <rPr>
        <sz val="10"/>
        <color indexed="8"/>
        <rFont val="Arial"/>
      </rPr>
      <t>Power_Provide SLK SilkScreen</t>
    </r>
  </si>
  <si>
    <r>
      <rPr>
        <sz val="10"/>
        <color indexed="8"/>
        <rFont val="Arial"/>
      </rPr>
      <t>Power_Provide</t>
    </r>
  </si>
  <si>
    <t>Power_Provide</t>
  </si>
  <si>
    <t>SPCoast Power Provision Label</t>
  </si>
  <si>
    <t>SPCoast:DOC_Label-Current-Source</t>
  </si>
  <si>
    <t>SPCoast:SILK_Label-Current-Source</t>
  </si>
  <si>
    <r>
      <rPr>
        <sz val="10"/>
        <color indexed="8"/>
        <rFont val="Arial"/>
      </rPr>
      <t>CON_TC2030-NL</t>
    </r>
  </si>
  <si>
    <r>
      <rPr>
        <sz val="10"/>
        <color indexed="8"/>
        <rFont val="Arial"/>
      </rPr>
      <t>TC2030-NL SilkScreen &amp; Pads</t>
    </r>
  </si>
  <si>
    <r>
      <rPr>
        <sz val="10"/>
        <color indexed="8"/>
        <rFont val="Arial"/>
      </rPr>
      <t>TC2030-NL CON SilkScreen &amp; Pads</t>
    </r>
  </si>
  <si>
    <r>
      <rPr>
        <sz val="10"/>
        <color indexed="8"/>
        <rFont val="Arial"/>
      </rPr>
      <t>TC2030-NL</t>
    </r>
  </si>
  <si>
    <t>CON</t>
  </si>
  <si>
    <t>SilkScreen &amp; Pads</t>
  </si>
  <si>
    <t>Tag Connect “No Legs” 6-pin Plug-of-Nails™ programming cable with a 6-pin 0.1″ pitch ribbon connector.</t>
  </si>
  <si>
    <t>NL</t>
  </si>
  <si>
    <t>2x3</t>
  </si>
  <si>
    <t>0.1"</t>
  </si>
  <si>
    <t>Tag Connect</t>
  </si>
  <si>
    <t>TC2030-NL</t>
  </si>
  <si>
    <t>SPCoast:TC2030-IDC</t>
  </si>
  <si>
    <t>SPCoast:Tag-Connect_TC2030-IDC-NL_2x03_P1.27mm_Vertical</t>
  </si>
  <si>
    <r>
      <rPr>
        <sz val="10"/>
        <color indexed="8"/>
        <rFont val="Arial"/>
      </rPr>
      <t>CON_TC2030-FP</t>
    </r>
  </si>
  <si>
    <r>
      <rPr>
        <sz val="10"/>
        <color indexed="8"/>
        <rFont val="Arial"/>
      </rPr>
      <t>TC2030-FP SilkScreen &amp; Pads</t>
    </r>
  </si>
  <si>
    <r>
      <rPr>
        <sz val="10"/>
        <color indexed="8"/>
        <rFont val="Arial"/>
      </rPr>
      <t>TC2030-FP CON SilkScreen &amp; Pads</t>
    </r>
  </si>
  <si>
    <r>
      <rPr>
        <sz val="10"/>
        <color indexed="8"/>
        <rFont val="Arial"/>
      </rPr>
      <t>TC2030-FP</t>
    </r>
  </si>
  <si>
    <t>Tag Connect “With Legs” 6-pin Plug-of-Nails™ programming cable with a 6-pin 0.1″ pitch ribbon connector.</t>
  </si>
  <si>
    <t>Legs</t>
  </si>
  <si>
    <t>TC2030-FP</t>
  </si>
  <si>
    <t>SPCoast:Tag-Connect_TC2030-IDC-FP_2x03_P1.27mm_Vertical</t>
  </si>
  <si>
    <r>
      <rPr>
        <sz val="10"/>
        <color indexed="8"/>
        <rFont val="Arial"/>
      </rPr>
      <t>CON_TC2050-NL</t>
    </r>
  </si>
  <si>
    <r>
      <rPr>
        <sz val="10"/>
        <color indexed="8"/>
        <rFont val="Arial"/>
      </rPr>
      <t>TC2050-NL SilkScreen &amp; Pads</t>
    </r>
  </si>
  <si>
    <r>
      <rPr>
        <sz val="10"/>
        <color indexed="8"/>
        <rFont val="Arial"/>
      </rPr>
      <t>TC2050-NL CON SilkScreen &amp; Pads</t>
    </r>
  </si>
  <si>
    <r>
      <rPr>
        <sz val="10"/>
        <color indexed="8"/>
        <rFont val="Arial"/>
      </rPr>
      <t>TC2050-NL</t>
    </r>
  </si>
  <si>
    <t>Tag Connect “No Legs”10-pin Plug-of-Nails™ programming cable with a 10-pin 0.1″ pitch ribbon connector.</t>
  </si>
  <si>
    <t>2x5</t>
  </si>
  <si>
    <t>TC2050-NL</t>
  </si>
  <si>
    <t>SPCoast:TC2050-IDC</t>
  </si>
  <si>
    <t>SPCoast:Tag-Connect_TC2050-IDC-NL_2x05_P1.27mm_Vertical</t>
  </si>
  <si>
    <r>
      <rPr>
        <sz val="10"/>
        <color indexed="8"/>
        <rFont val="Arial"/>
      </rPr>
      <t>CON_TC2050-FP</t>
    </r>
  </si>
  <si>
    <r>
      <rPr>
        <sz val="10"/>
        <color indexed="8"/>
        <rFont val="Arial"/>
      </rPr>
      <t>TC2050-FP SilkScreen &amp; Pads</t>
    </r>
  </si>
  <si>
    <r>
      <rPr>
        <sz val="10"/>
        <color indexed="8"/>
        <rFont val="Arial"/>
      </rPr>
      <t>TC2050-FP CON SilkScreen &amp; Pads</t>
    </r>
  </si>
  <si>
    <r>
      <rPr>
        <sz val="10"/>
        <color indexed="8"/>
        <rFont val="Arial"/>
      </rPr>
      <t>TC2050-FP</t>
    </r>
  </si>
  <si>
    <t>Tag Connect “With Legs” 10-pin Plug-of-Nails™ programming cable with a10-pin 0.1″ pitch ribbon connector.</t>
  </si>
  <si>
    <t>TC2050-FP</t>
  </si>
  <si>
    <t>SPCoast:Tag-Connect_TC2050-IDC-FP_2x05_P1.27mm_Vertical</t>
  </si>
  <si>
    <r>
      <rPr>
        <sz val="10"/>
        <color indexed="8"/>
        <rFont val="Arial"/>
      </rPr>
      <t>CON_TC2070-FP</t>
    </r>
  </si>
  <si>
    <r>
      <rPr>
        <sz val="10"/>
        <color indexed="8"/>
        <rFont val="Arial"/>
      </rPr>
      <t>TC2070-FP SilkScreen &amp; Pads</t>
    </r>
  </si>
  <si>
    <r>
      <rPr>
        <sz val="10"/>
        <color indexed="8"/>
        <rFont val="Arial"/>
      </rPr>
      <t>TC2070-FP CON SilkScreen &amp; Pads</t>
    </r>
  </si>
  <si>
    <r>
      <rPr>
        <sz val="10"/>
        <color indexed="8"/>
        <rFont val="Arial"/>
      </rPr>
      <t>TC2070-FP</t>
    </r>
  </si>
  <si>
    <t>Tag Connect “With Legs” 14-pin Plug-of-Nails™ programming cable with a 14-pin 0.1″ pitch ribbon connector.</t>
  </si>
  <si>
    <t>2x7</t>
  </si>
  <si>
    <t>TC2070-FP</t>
  </si>
  <si>
    <t>SPCoast:TC2070-IDC</t>
  </si>
  <si>
    <t>SPCoast:Tag-Connect_TC2070-IDC-FP_2x07_P1.27mm_Vertical</t>
  </si>
  <si>
    <r>
      <rPr>
        <sz val="10"/>
        <color indexed="8"/>
        <rFont val="Arial"/>
      </rPr>
      <t>SWI_EDG104S</t>
    </r>
  </si>
  <si>
    <r>
      <rPr>
        <sz val="10"/>
        <color indexed="8"/>
        <rFont val="Arial"/>
      </rPr>
      <t>EDG104S SPSTx4 DIP</t>
    </r>
  </si>
  <si>
    <r>
      <rPr>
        <sz val="10"/>
        <color indexed="8"/>
        <rFont val="Arial"/>
      </rPr>
      <t>EDG104S SWI SPSTx4 DIP</t>
    </r>
  </si>
  <si>
    <r>
      <rPr>
        <u val="single"/>
        <sz val="10"/>
        <color indexed="8"/>
        <rFont val="Arial"/>
      </rPr>
      <t>C840579</t>
    </r>
  </si>
  <si>
    <r>
      <rPr>
        <sz val="10"/>
        <color indexed="8"/>
        <rFont val="Arial"/>
      </rPr>
      <t>EDG104S</t>
    </r>
  </si>
  <si>
    <t>SWI</t>
  </si>
  <si>
    <t>PTH</t>
  </si>
  <si>
    <t>SPSTx4 DIP</t>
  </si>
  <si>
    <t>C840579</t>
  </si>
  <si>
    <t>SPST x4 DIP Switch</t>
  </si>
  <si>
    <t>DIP-8</t>
  </si>
  <si>
    <t>0.3"</t>
  </si>
  <si>
    <t>2x4</t>
  </si>
  <si>
    <t>Available</t>
  </si>
  <si>
    <t>ECE</t>
  </si>
  <si>
    <t>EDG104S</t>
  </si>
  <si>
    <t>SPCoast:SW-EDG-04</t>
  </si>
  <si>
    <r>
      <rPr>
        <u val="single"/>
        <sz val="10"/>
        <color indexed="8"/>
        <rFont val="Arial"/>
      </rPr>
      <t>https://wmsc.lcsc.com/wmsc/upload/file/pdf/v2/lcsc/2311231642_ECE-EDG104S33_C840579.pdf</t>
    </r>
  </si>
  <si>
    <r>
      <rPr>
        <sz val="10"/>
        <color indexed="8"/>
        <rFont val="Arial"/>
      </rPr>
      <t>SWI_6x6x6mm_PTH</t>
    </r>
  </si>
  <si>
    <r>
      <rPr>
        <sz val="10"/>
        <color indexed="8"/>
        <rFont val="Arial"/>
      </rPr>
      <t>6x6x6mm_PTH SPSTx1 6mm Momentary</t>
    </r>
  </si>
  <si>
    <r>
      <rPr>
        <sz val="10"/>
        <color indexed="8"/>
        <rFont val="Arial"/>
      </rPr>
      <t>6x6x6mm_PTH SWI SPSTx1 6mm Momentary</t>
    </r>
  </si>
  <si>
    <r>
      <rPr>
        <u val="single"/>
        <sz val="10"/>
        <color indexed="8"/>
        <rFont val="Arial"/>
      </rPr>
      <t>C5340138</t>
    </r>
  </si>
  <si>
    <t>6x6x6mm_PTH</t>
  </si>
  <si>
    <t>SPSTx1 6mm Momentary</t>
  </si>
  <si>
    <t>C5340138</t>
  </si>
  <si>
    <t>Round Button Direct Insert SPST 6mm 5.5mm 50mA 100M 100 000 Times 12V 250gf Plugin Tactile Switch</t>
  </si>
  <si>
    <t>6mm button</t>
  </si>
  <si>
    <t>2x2</t>
  </si>
  <si>
    <t>hanxia</t>
  </si>
  <si>
    <t>HX TS666CJ 250gf 009</t>
  </si>
  <si>
    <t>SPCoast:SW_Push</t>
  </si>
  <si>
    <t>SPCoast:SW_Push_SPST_6mmx6mm_PTH</t>
  </si>
  <si>
    <r>
      <rPr>
        <u val="single"/>
        <sz val="10"/>
        <color indexed="8"/>
        <rFont val="Arial"/>
      </rPr>
      <t>https://wmsc.lcsc.com/wmsc/upload/file/pdf/v2/lcsc/2212291730_hanxia-HX-TS666CJ-250gf-009_C5340138.pdf</t>
    </r>
  </si>
  <si>
    <r>
      <rPr>
        <sz val="10"/>
        <color indexed="8"/>
        <rFont val="Arial"/>
      </rPr>
      <t>SWI_6x6x6mm_SMD</t>
    </r>
  </si>
  <si>
    <r>
      <rPr>
        <sz val="10"/>
        <color indexed="8"/>
        <rFont val="Arial"/>
      </rPr>
      <t>6x6x6mm_SMD SPSTx1 6mm Momentary</t>
    </r>
  </si>
  <si>
    <r>
      <rPr>
        <sz val="10"/>
        <color indexed="8"/>
        <rFont val="Arial"/>
      </rPr>
      <t>6x6x6mm_SMD SWI SPSTx1 6mm Momentary</t>
    </r>
  </si>
  <si>
    <r>
      <rPr>
        <u val="single"/>
        <sz val="10"/>
        <color indexed="8"/>
        <rFont val="Arial"/>
      </rPr>
      <t>C5340123</t>
    </r>
  </si>
  <si>
    <t>6x6x6mm_SMD</t>
  </si>
  <si>
    <t>C5340123</t>
  </si>
  <si>
    <t>Round Button Standing paste SPST 6mm 6mm 6mm 50mA 100M 100 000 Times 12V 250gf SMD Tactile Switch</t>
  </si>
  <si>
    <t>HX TS666TP 250gf 009</t>
  </si>
  <si>
    <t>SPCoast:SW_Push_SPST_6mmx6mm_SMT</t>
  </si>
  <si>
    <r>
      <rPr>
        <u val="single"/>
        <sz val="10"/>
        <color indexed="8"/>
        <rFont val="Arial"/>
      </rPr>
      <t>https://wmsc.lcsc.com/wmsc/upload/file/pdf/v2/lcsc/2212271430_hanxia-HX-TS666TP-250gf-009_C5340123.pdf</t>
    </r>
  </si>
  <si>
    <r>
      <rPr>
        <sz val="10"/>
        <color indexed="8"/>
        <rFont val="Arial"/>
      </rPr>
      <t>CON_RJ45-8P8C</t>
    </r>
  </si>
  <si>
    <r>
      <rPr>
        <sz val="10"/>
        <color indexed="8"/>
        <rFont val="Arial"/>
      </rPr>
      <t>RJ45-8P8C</t>
    </r>
  </si>
  <si>
    <r>
      <rPr>
        <sz val="10"/>
        <color indexed="8"/>
        <rFont val="Arial"/>
      </rPr>
      <t>RJ45-8P8C CON</t>
    </r>
  </si>
  <si>
    <r>
      <rPr>
        <u val="single"/>
        <sz val="10"/>
        <color indexed="8"/>
        <rFont val="Arial"/>
      </rPr>
      <t>C7205130</t>
    </r>
  </si>
  <si>
    <t>RJ45-8P8C</t>
  </si>
  <si>
    <t>C7205130</t>
  </si>
  <si>
    <t>Jack Modular Connector RJ45 Through Hole</t>
  </si>
  <si>
    <t>RJ45</t>
  </si>
  <si>
    <t>8/8</t>
  </si>
  <si>
    <t>FG</t>
  </si>
  <si>
    <t>RJ-052-1-6</t>
  </si>
  <si>
    <r>
      <rPr>
        <u val="single"/>
        <sz val="10"/>
        <color indexed="8"/>
        <rFont val="Arial"/>
      </rPr>
      <t>https://www.lcsc.com/datasheet/C7205130.pdf?spm=wm.sxq.inf.ggs___wm.ssy.bg.20.cbh&amp;lcsc_vid=QVZeA1dfQFALX1AFTlJbVAcFR1ldAgAEQVILVlZfRwcxVlNRQ1hXUFBQQVNdUzsOAxUeFF5JWBYZEEoKFBINSQcJGk4eFQsCAgIaSgADAwAHC0slRVJcUkoOAwwC</t>
    </r>
  </si>
  <si>
    <r>
      <rPr>
        <sz val="10"/>
        <color indexed="8"/>
        <rFont val="Arial"/>
      </rPr>
      <t>CON_IC-14P</t>
    </r>
  </si>
  <si>
    <r>
      <rPr>
        <sz val="10"/>
        <color indexed="8"/>
        <rFont val="Arial"/>
      </rPr>
      <t>IC-14P DIP-14</t>
    </r>
  </si>
  <si>
    <r>
      <rPr>
        <sz val="10"/>
        <color indexed="8"/>
        <rFont val="Arial"/>
      </rPr>
      <t>IC-14P CON DIP-14</t>
    </r>
  </si>
  <si>
    <r>
      <rPr>
        <u val="single"/>
        <sz val="10"/>
        <color indexed="8"/>
        <rFont val="Arial"/>
      </rPr>
      <t>C2325</t>
    </r>
  </si>
  <si>
    <t>IC-14P</t>
  </si>
  <si>
    <t>DIP-14</t>
  </si>
  <si>
    <t>C2325</t>
  </si>
  <si>
    <t>0.100 14P DIP Tin Square Hole 7.62mm DIP-14 IC Sockets RoHS</t>
  </si>
  <si>
    <t>BOOMELE(Boom Precision Elec)</t>
  </si>
  <si>
    <r>
      <rPr>
        <sz val="10"/>
        <color indexed="8"/>
        <rFont val="Arial"/>
      </rPr>
      <t>CON_DCJ0202</t>
    </r>
  </si>
  <si>
    <r>
      <rPr>
        <sz val="10"/>
        <color indexed="8"/>
        <rFont val="Arial"/>
      </rPr>
      <t>DCJ0202 Power Connector</t>
    </r>
  </si>
  <si>
    <r>
      <rPr>
        <sz val="10"/>
        <color indexed="8"/>
        <rFont val="Arial"/>
      </rPr>
      <t>DCJ0202 CON Power Connector</t>
    </r>
  </si>
  <si>
    <r>
      <rPr>
        <sz val="10"/>
        <color indexed="8"/>
        <rFont val="Arial"/>
      </rPr>
      <t>DCJ0202</t>
    </r>
  </si>
  <si>
    <t>Power Connector</t>
  </si>
  <si>
    <t>DC Jack 0202</t>
  </si>
  <si>
    <t>3x</t>
  </si>
  <si>
    <t>DCJ0202</t>
  </si>
  <si>
    <t>SPCoast:Conn_DC_POWER</t>
  </si>
  <si>
    <t>SPCoast:DCJ0202</t>
  </si>
  <si>
    <r>
      <rPr>
        <sz val="10"/>
        <color indexed="8"/>
        <rFont val="Arial"/>
      </rPr>
      <t>CON_FTDI-1x6-0.100</t>
    </r>
  </si>
  <si>
    <r>
      <rPr>
        <sz val="10"/>
        <color indexed="8"/>
        <rFont val="Arial"/>
      </rPr>
      <t>FTDI-1x6-0.100 Male Header</t>
    </r>
  </si>
  <si>
    <r>
      <rPr>
        <sz val="10"/>
        <color indexed="8"/>
        <rFont val="Arial"/>
      </rPr>
      <t>FTDI-1x6-0.100 CON Male Header</t>
    </r>
  </si>
  <si>
    <r>
      <rPr>
        <sz val="10"/>
        <color indexed="8"/>
        <rFont val="Arial"/>
      </rPr>
      <t>FTDI-1x6-0.100</t>
    </r>
  </si>
  <si>
    <t>FTDI-1x6-0.100</t>
  </si>
  <si>
    <t>Male Header</t>
  </si>
  <si>
    <t>FTDI Programming Connector 1x06 0.100</t>
  </si>
  <si>
    <t>1x6</t>
  </si>
  <si>
    <t>SPCoast:Conn_Programmer-FTDI</t>
  </si>
  <si>
    <t>SPCoast:Connector_FTDI-DEVICE-SIDE</t>
  </si>
  <si>
    <r>
      <rPr>
        <sz val="10"/>
        <color indexed="8"/>
        <rFont val="Arial"/>
      </rPr>
      <t>CON_M5-1x6-0.100</t>
    </r>
  </si>
  <si>
    <r>
      <rPr>
        <sz val="10"/>
        <color indexed="8"/>
        <rFont val="Arial"/>
      </rPr>
      <t>M5-1x6-0.100 Female Header</t>
    </r>
  </si>
  <si>
    <r>
      <rPr>
        <sz val="10"/>
        <color indexed="8"/>
        <rFont val="Arial"/>
      </rPr>
      <t>M5-1x6-0.100 CON Female Header</t>
    </r>
  </si>
  <si>
    <r>
      <rPr>
        <sz val="10"/>
        <color indexed="8"/>
        <rFont val="Arial"/>
      </rPr>
      <t>M5-1x6-0.100</t>
    </r>
  </si>
  <si>
    <t>M5-1x6-0.100</t>
  </si>
  <si>
    <t>Female Header</t>
  </si>
  <si>
    <t>M5 Programming Connector 1x06 0.100</t>
  </si>
  <si>
    <t>SPCoast:Conn_Programmer-M5</t>
  </si>
  <si>
    <t>SPCoast:Connector_M5-DEVICE-SIDE</t>
  </si>
  <si>
    <r>
      <rPr>
        <sz val="10"/>
        <color indexed="8"/>
        <rFont val="Arial"/>
      </rPr>
      <t>CON_1x02-0.100</t>
    </r>
  </si>
  <si>
    <r>
      <rPr>
        <sz val="10"/>
        <color indexed="8"/>
        <rFont val="Arial"/>
      </rPr>
      <t>1x02-0.100 Male Header</t>
    </r>
  </si>
  <si>
    <r>
      <rPr>
        <sz val="10"/>
        <color indexed="8"/>
        <rFont val="Arial"/>
      </rPr>
      <t>1x02-0.100 CON Male Header</t>
    </r>
  </si>
  <si>
    <r>
      <rPr>
        <sz val="10"/>
        <color indexed="8"/>
        <rFont val="Arial"/>
      </rPr>
      <t>1x02-0.100</t>
    </r>
  </si>
  <si>
    <t>1x02-0.100</t>
  </si>
  <si>
    <t>Connector 1x02 0.100</t>
  </si>
  <si>
    <t>1x2</t>
  </si>
  <si>
    <t>SPCoast:Conn_01x02</t>
  </si>
  <si>
    <t>SPCoast:Connector_01x02_V</t>
  </si>
  <si>
    <r>
      <rPr>
        <sz val="10"/>
        <color indexed="8"/>
        <rFont val="Arial"/>
      </rPr>
      <t>CON_1x02-0.100-screw</t>
    </r>
  </si>
  <si>
    <r>
      <rPr>
        <sz val="10"/>
        <color indexed="8"/>
        <rFont val="Arial"/>
      </rPr>
      <t>1x02-0.100-screw</t>
    </r>
  </si>
  <si>
    <r>
      <rPr>
        <sz val="10"/>
        <color indexed="8"/>
        <rFont val="Arial"/>
      </rPr>
      <t>1x02-0.100-screw CON</t>
    </r>
  </si>
  <si>
    <r>
      <rPr>
        <u val="single"/>
        <sz val="10"/>
        <color indexed="8"/>
        <rFont val="Arial"/>
      </rPr>
      <t>C3029316</t>
    </r>
  </si>
  <si>
    <t>1x02-0.100-screw</t>
  </si>
  <si>
    <t>C3029316</t>
  </si>
  <si>
    <t>2 Position Wire to Board Terminal Block Through Hole 2.54mm</t>
  </si>
  <si>
    <r>
      <rPr>
        <sz val="10"/>
        <color indexed="8"/>
        <rFont val="Arial"/>
      </rPr>
      <t>CON_1x02-0.100-socket</t>
    </r>
  </si>
  <si>
    <r>
      <rPr>
        <sz val="10"/>
        <color indexed="8"/>
        <rFont val="Arial"/>
      </rPr>
      <t>1x02-0.100-socket Female Header</t>
    </r>
  </si>
  <si>
    <r>
      <rPr>
        <sz val="10"/>
        <color indexed="8"/>
        <rFont val="Arial"/>
      </rPr>
      <t>1x02-0.100-socket CON Female Header</t>
    </r>
  </si>
  <si>
    <r>
      <rPr>
        <u val="single"/>
        <sz val="10"/>
        <color indexed="8"/>
        <rFont val="Arial"/>
      </rPr>
      <t>C429966</t>
    </r>
  </si>
  <si>
    <r>
      <rPr>
        <sz val="10"/>
        <color indexed="8"/>
        <rFont val="Arial"/>
      </rPr>
      <t>1x02-0.100-socket</t>
    </r>
  </si>
  <si>
    <t>1x02-0.100-socket</t>
  </si>
  <si>
    <t>C429966</t>
  </si>
  <si>
    <t>1x2P   2.54mm 3A 8.5mm 2P Brass Gold Square Hole Through Hole Top Female Headers</t>
  </si>
  <si>
    <t>8.5mm</t>
  </si>
  <si>
    <t>JILN</t>
  </si>
  <si>
    <t>22850102ANG1SYA02</t>
  </si>
  <si>
    <r>
      <rPr>
        <sz val="10"/>
        <color indexed="8"/>
        <rFont val="Arial"/>
      </rPr>
      <t>CON_1x03-0.100</t>
    </r>
  </si>
  <si>
    <r>
      <rPr>
        <sz val="10"/>
        <color indexed="8"/>
        <rFont val="Arial"/>
      </rPr>
      <t>1x03-0.100 Male Header</t>
    </r>
  </si>
  <si>
    <r>
      <rPr>
        <sz val="10"/>
        <color indexed="8"/>
        <rFont val="Arial"/>
      </rPr>
      <t>1x03-0.100 CON Male Header</t>
    </r>
  </si>
  <si>
    <r>
      <rPr>
        <sz val="10"/>
        <color indexed="8"/>
        <rFont val="Arial"/>
      </rPr>
      <t>1x03-0.100</t>
    </r>
  </si>
  <si>
    <t>1x03-0.100</t>
  </si>
  <si>
    <t>Connector 1x03 0.100</t>
  </si>
  <si>
    <t>1x3</t>
  </si>
  <si>
    <t>SPCoast:Conn_01x03</t>
  </si>
  <si>
    <t>SPCoast:Connector_01x03_V</t>
  </si>
  <si>
    <r>
      <rPr>
        <sz val="10"/>
        <color indexed="8"/>
        <rFont val="Arial"/>
      </rPr>
      <t>CON_1x04-0.100</t>
    </r>
  </si>
  <si>
    <r>
      <rPr>
        <sz val="10"/>
        <color indexed="8"/>
        <rFont val="Arial"/>
      </rPr>
      <t>1x04-0.100 Male Header</t>
    </r>
  </si>
  <si>
    <r>
      <rPr>
        <sz val="10"/>
        <color indexed="8"/>
        <rFont val="Arial"/>
      </rPr>
      <t>1x04-0.100 CON Male Header</t>
    </r>
  </si>
  <si>
    <r>
      <rPr>
        <u val="single"/>
        <sz val="10"/>
        <color indexed="8"/>
        <rFont val="Arial"/>
      </rPr>
      <t>C2691448</t>
    </r>
  </si>
  <si>
    <r>
      <rPr>
        <sz val="10"/>
        <color indexed="8"/>
        <rFont val="Arial"/>
      </rPr>
      <t>1x04-0.100</t>
    </r>
  </si>
  <si>
    <t>1x04-0.100</t>
  </si>
  <si>
    <t>C2691448</t>
  </si>
  <si>
    <t>Connector 1x04 0.100</t>
  </si>
  <si>
    <t>1x4</t>
  </si>
  <si>
    <t>XFCN</t>
  </si>
  <si>
    <t>PZ254V-11-04P</t>
  </si>
  <si>
    <t>SPCoast:Conn_01x04</t>
  </si>
  <si>
    <t>SPCoast:Connector_01x04_V</t>
  </si>
  <si>
    <r>
      <rPr>
        <sz val="10"/>
        <color indexed="8"/>
        <rFont val="Arial"/>
      </rPr>
      <t>CON_1x04-0.100-RA</t>
    </r>
  </si>
  <si>
    <r>
      <rPr>
        <sz val="10"/>
        <color indexed="8"/>
        <rFont val="Arial"/>
      </rPr>
      <t>1x04-0.100-RA Male Header</t>
    </r>
  </si>
  <si>
    <r>
      <rPr>
        <sz val="10"/>
        <color indexed="8"/>
        <rFont val="Arial"/>
      </rPr>
      <t>1x04-0.100-RA CON Male Header</t>
    </r>
  </si>
  <si>
    <r>
      <rPr>
        <u val="single"/>
        <sz val="10"/>
        <color indexed="8"/>
        <rFont val="Arial"/>
      </rPr>
      <t>C18214184</t>
    </r>
  </si>
  <si>
    <r>
      <rPr>
        <sz val="10"/>
        <color indexed="8"/>
        <rFont val="Arial"/>
      </rPr>
      <t>1x04-0.100-RA</t>
    </r>
  </si>
  <si>
    <t>1x04-0.100-RA</t>
  </si>
  <si>
    <t>C18214184</t>
  </si>
  <si>
    <t>Connector 1x04 0.100 Right Angle</t>
  </si>
  <si>
    <t>CST</t>
  </si>
  <si>
    <t>1110-1x4(L11.5)PA6T</t>
  </si>
  <si>
    <r>
      <rPr>
        <sz val="10"/>
        <color indexed="8"/>
        <rFont val="Arial"/>
      </rPr>
      <t>CON_1x04-0.100-screw</t>
    </r>
  </si>
  <si>
    <r>
      <rPr>
        <sz val="10"/>
        <color indexed="8"/>
        <rFont val="Arial"/>
      </rPr>
      <t>1x04-0.100-screw Screw Header</t>
    </r>
  </si>
  <si>
    <r>
      <rPr>
        <sz val="10"/>
        <color indexed="8"/>
        <rFont val="Arial"/>
      </rPr>
      <t>1x04-0.100-screw CON Screw Header</t>
    </r>
  </si>
  <si>
    <r>
      <rPr>
        <u val="single"/>
        <sz val="10"/>
        <color indexed="8"/>
        <rFont val="Arial"/>
      </rPr>
      <t>C3816889</t>
    </r>
  </si>
  <si>
    <r>
      <rPr>
        <sz val="10"/>
        <color indexed="8"/>
        <rFont val="Arial"/>
      </rPr>
      <t>1x04-0.100-screw</t>
    </r>
  </si>
  <si>
    <t>1x04-0.100-screw</t>
  </si>
  <si>
    <t>Screw Header</t>
  </si>
  <si>
    <t>C3816889</t>
  </si>
  <si>
    <t>4 Position Wire to Board Terminal Block Through Hole 2.54mm</t>
  </si>
  <si>
    <r>
      <rPr>
        <sz val="10"/>
        <color indexed="8"/>
        <rFont val="Arial"/>
      </rPr>
      <t>CON_1x04-0.100-SSD1306</t>
    </r>
  </si>
  <si>
    <r>
      <rPr>
        <sz val="10"/>
        <color indexed="8"/>
        <rFont val="Arial"/>
      </rPr>
      <t>1x04-0.100-SSD1306 Male Header</t>
    </r>
  </si>
  <si>
    <r>
      <rPr>
        <sz val="10"/>
        <color indexed="8"/>
        <rFont val="Arial"/>
      </rPr>
      <t>1x04-0.100-SSD1306 CON Male Header</t>
    </r>
  </si>
  <si>
    <r>
      <rPr>
        <sz val="10"/>
        <color indexed="8"/>
        <rFont val="Arial"/>
      </rPr>
      <t>1x04-0.100-SSD1306</t>
    </r>
  </si>
  <si>
    <t>1x04-0.100-SSD1306</t>
  </si>
  <si>
    <t>I2C SSD1306 OLED Connector</t>
  </si>
  <si>
    <t>SPCoast:Conn_I2C-OLED</t>
  </si>
  <si>
    <t>SPCoast:Connector_I2C-OLED</t>
  </si>
  <si>
    <r>
      <rPr>
        <sz val="10"/>
        <color indexed="8"/>
        <rFont val="Arial"/>
      </rPr>
      <t>CON_1x05-3.5-screw</t>
    </r>
  </si>
  <si>
    <r>
      <rPr>
        <sz val="10"/>
        <color indexed="8"/>
        <rFont val="Arial"/>
      </rPr>
      <t>1x05-3.5-screw Screw Header</t>
    </r>
  </si>
  <si>
    <r>
      <rPr>
        <sz val="10"/>
        <color indexed="8"/>
        <rFont val="Arial"/>
      </rPr>
      <t>1x05-3.5-screw CON Screw Header</t>
    </r>
  </si>
  <si>
    <r>
      <rPr>
        <u val="single"/>
        <sz val="10"/>
        <color indexed="8"/>
        <rFont val="Arial"/>
      </rPr>
      <t>C3646874</t>
    </r>
  </si>
  <si>
    <r>
      <rPr>
        <sz val="10"/>
        <color indexed="8"/>
        <rFont val="Arial"/>
      </rPr>
      <t>1x05-3.5-screw</t>
    </r>
  </si>
  <si>
    <t>1x05-3.5-screw</t>
  </si>
  <si>
    <t>C3646874</t>
  </si>
  <si>
    <t>5 Position Wire to Board Terminal Block Through Hole 3.5mm</t>
  </si>
  <si>
    <t>1x5</t>
  </si>
  <si>
    <t>3.5mm</t>
  </si>
  <si>
    <r>
      <rPr>
        <sz val="10"/>
        <color indexed="8"/>
        <rFont val="Arial"/>
      </rPr>
      <t>CON_1x06-0.100</t>
    </r>
  </si>
  <si>
    <r>
      <rPr>
        <sz val="10"/>
        <color indexed="8"/>
        <rFont val="Arial"/>
      </rPr>
      <t>1x06-0.100 Male Header</t>
    </r>
  </si>
  <si>
    <r>
      <rPr>
        <sz val="10"/>
        <color indexed="8"/>
        <rFont val="Arial"/>
      </rPr>
      <t>1x06-0.100 CON Male Header</t>
    </r>
  </si>
  <si>
    <r>
      <rPr>
        <sz val="10"/>
        <color indexed="8"/>
        <rFont val="Arial"/>
      </rPr>
      <t>1x06-0.100</t>
    </r>
  </si>
  <si>
    <t>1x06-0.100</t>
  </si>
  <si>
    <t>Connector 1x06 0.100</t>
  </si>
  <si>
    <t>SPCoast:Conn_01x06</t>
  </si>
  <si>
    <t>SPCoast:Connector_01x06_V</t>
  </si>
  <si>
    <r>
      <rPr>
        <sz val="10"/>
        <color indexed="8"/>
        <rFont val="Arial"/>
      </rPr>
      <t>CON_1x08-0.100-socket</t>
    </r>
  </si>
  <si>
    <r>
      <rPr>
        <sz val="10"/>
        <color indexed="8"/>
        <rFont val="Arial"/>
      </rPr>
      <t>1x08-0.100-socket Female Header</t>
    </r>
  </si>
  <si>
    <r>
      <rPr>
        <sz val="10"/>
        <color indexed="8"/>
        <rFont val="Arial"/>
      </rPr>
      <t>1x08-0.100-socket CON Female Header</t>
    </r>
  </si>
  <si>
    <r>
      <rPr>
        <u val="single"/>
        <sz val="10"/>
        <color indexed="8"/>
        <rFont val="Arial"/>
      </rPr>
      <t>C27438</t>
    </r>
  </si>
  <si>
    <r>
      <rPr>
        <sz val="10"/>
        <color indexed="8"/>
        <rFont val="Arial"/>
      </rPr>
      <t>1x08-0.100-socket</t>
    </r>
  </si>
  <si>
    <t>1x08-0.100-socket</t>
  </si>
  <si>
    <t>C27438</t>
  </si>
  <si>
    <t>1x8P   2.54mm 3A 8.5mm 8P Brass Gold Square Hole Through Hole Top Female Headers</t>
  </si>
  <si>
    <t>1x8</t>
  </si>
  <si>
    <r>
      <rPr>
        <sz val="10"/>
        <color indexed="8"/>
        <rFont val="Arial"/>
      </rPr>
      <t>CON_1x12-0.100-socket</t>
    </r>
  </si>
  <si>
    <r>
      <rPr>
        <sz val="10"/>
        <color indexed="8"/>
        <rFont val="Arial"/>
      </rPr>
      <t>1x12-0.100-socket Female Header</t>
    </r>
  </si>
  <si>
    <r>
      <rPr>
        <sz val="10"/>
        <color indexed="8"/>
        <rFont val="Arial"/>
      </rPr>
      <t>1x12-0.100-socket CON Female Header</t>
    </r>
  </si>
  <si>
    <r>
      <rPr>
        <u val="single"/>
        <sz val="10"/>
        <color indexed="8"/>
        <rFont val="Arial"/>
      </rPr>
      <t>C2905419</t>
    </r>
  </si>
  <si>
    <r>
      <rPr>
        <sz val="10"/>
        <color indexed="8"/>
        <rFont val="Arial"/>
      </rPr>
      <t>1x12-0.100-socket</t>
    </r>
  </si>
  <si>
    <t>1x12-0.100-socket</t>
  </si>
  <si>
    <t>C2905419</t>
  </si>
  <si>
    <t xml:space="preserve">1x12P 2.54mm 3A 8.5mm 12P Square Hole Through Hole Top Female Headers </t>
  </si>
  <si>
    <t>1x12</t>
  </si>
  <si>
    <r>
      <rPr>
        <sz val="10"/>
        <color indexed="8"/>
        <rFont val="Arial"/>
      </rPr>
      <t>MCU_WT32-ETH01</t>
    </r>
  </si>
  <si>
    <r>
      <rPr>
        <sz val="10"/>
        <color indexed="8"/>
        <rFont val="Arial"/>
      </rPr>
      <t>WT32-ETH01 ESP32</t>
    </r>
  </si>
  <si>
    <r>
      <rPr>
        <sz val="10"/>
        <color indexed="8"/>
        <rFont val="Arial"/>
      </rPr>
      <t>WT32-ETH01 MCU ESP32</t>
    </r>
  </si>
  <si>
    <r>
      <rPr>
        <sz val="10"/>
        <color indexed="8"/>
        <rFont val="Arial"/>
      </rPr>
      <t>WT32-ETH01</t>
    </r>
  </si>
  <si>
    <t>MCU</t>
  </si>
  <si>
    <t>ESP32</t>
  </si>
  <si>
    <t>WT32-ETH01</t>
  </si>
  <si>
    <t>2x13</t>
  </si>
  <si>
    <t>0.1x0.9</t>
  </si>
  <si>
    <t>WT</t>
  </si>
  <si>
    <t>SPCoast:WT32-ETH01</t>
  </si>
  <si>
    <r>
      <rPr>
        <u val="single"/>
        <sz val="10"/>
        <color indexed="8"/>
        <rFont val="Arial"/>
      </rPr>
      <t>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</t>
    </r>
  </si>
  <si>
    <r>
      <rPr>
        <sz val="10"/>
        <color indexed="8"/>
        <rFont val="Arial"/>
      </rPr>
      <t>MCU_ESP32-DevKit_V1</t>
    </r>
  </si>
  <si>
    <r>
      <rPr>
        <sz val="10"/>
        <color indexed="8"/>
        <rFont val="Arial"/>
      </rPr>
      <t>ESP32-DevKit_V1 ESP32</t>
    </r>
  </si>
  <si>
    <r>
      <rPr>
        <sz val="10"/>
        <color indexed="8"/>
        <rFont val="Arial"/>
      </rPr>
      <t>ESP32-DevKit_V1 MCU ESP32</t>
    </r>
  </si>
  <si>
    <r>
      <rPr>
        <sz val="10"/>
        <color indexed="8"/>
        <rFont val="Arial"/>
      </rPr>
      <t>ESP32-DevKit_V1</t>
    </r>
  </si>
  <si>
    <t>ESP32-DevKit_V1 WROOM32</t>
  </si>
  <si>
    <t>2x15</t>
  </si>
  <si>
    <t>Espressif</t>
  </si>
  <si>
    <t>ESP32-DevKit_V1</t>
  </si>
  <si>
    <t>SPCoast:ESP32-DevKit_V1</t>
  </si>
  <si>
    <r>
      <rPr>
        <u val="single"/>
        <sz val="10"/>
        <color indexed="8"/>
        <rFont val="Arial"/>
      </rPr>
      <t>https://mischianti.org/wp-content/uploads/2020/11/ESP32-DOIT-DEV-KIT-v1-pinout-mischianti.png</t>
    </r>
  </si>
  <si>
    <r>
      <rPr>
        <sz val="10"/>
        <color indexed="8"/>
        <rFont val="Arial"/>
      </rPr>
      <t>CAP_0.01uF_X7R_0603_25V</t>
    </r>
  </si>
  <si>
    <r>
      <rPr>
        <sz val="10"/>
        <color indexed="8"/>
        <rFont val="Arial"/>
      </rPr>
      <t>0.01uF 10% X7R 25V</t>
    </r>
  </si>
  <si>
    <r>
      <rPr>
        <sz val="10"/>
        <color indexed="8"/>
        <rFont val="Arial"/>
      </rPr>
      <t>0.01uF CAP 10% X7R 25V</t>
    </r>
  </si>
  <si>
    <r>
      <rPr>
        <u val="single"/>
        <sz val="10"/>
        <color indexed="8"/>
        <rFont val="Arial"/>
      </rPr>
      <t>C1852832</t>
    </r>
  </si>
  <si>
    <r>
      <rPr>
        <sz val="10"/>
        <color indexed="8"/>
        <rFont val="Arial"/>
      </rPr>
      <t>0.01uF</t>
    </r>
  </si>
  <si>
    <t>CAP</t>
  </si>
  <si>
    <t>X7R</t>
  </si>
  <si>
    <t>C1852832</t>
  </si>
  <si>
    <t>25V 10nF X7R ±10% 0603 Multilayer Ceramic Capacitors MLCC</t>
  </si>
  <si>
    <t>0.01uF</t>
  </si>
  <si>
    <t>0603</t>
  </si>
  <si>
    <t>10%</t>
  </si>
  <si>
    <t>25V</t>
  </si>
  <si>
    <t>Retired</t>
  </si>
  <si>
    <t>YAGEO</t>
  </si>
  <si>
    <t>CC0603KPX7R8BB103</t>
  </si>
  <si>
    <t>Device:C</t>
  </si>
  <si>
    <t>SPCoast:0603-CAP</t>
  </si>
  <si>
    <r>
      <rPr>
        <u val="single"/>
        <sz val="10"/>
        <color indexed="8"/>
        <rFont val="Arial"/>
      </rPr>
      <t>https://wmsc.lcsc.com/wmsc/upload/file/pdf/v2/lcsc/2201271000_YAGEO-CC0603KPX7R8BB103_C1852832.pdf</t>
    </r>
  </si>
  <si>
    <r>
      <rPr>
        <sz val="10"/>
        <color indexed="8"/>
        <rFont val="Arial"/>
      </rPr>
      <t>CAP_0.01uF_X5R_0603_50V</t>
    </r>
  </si>
  <si>
    <r>
      <rPr>
        <sz val="10"/>
        <color indexed="8"/>
        <rFont val="Arial"/>
      </rPr>
      <t>0.01uF 10% X5R 50V</t>
    </r>
  </si>
  <si>
    <r>
      <rPr>
        <sz val="10"/>
        <color indexed="8"/>
        <rFont val="Arial"/>
      </rPr>
      <t>0.01uF CAP 10% X5R 50V</t>
    </r>
  </si>
  <si>
    <r>
      <rPr>
        <u val="single"/>
        <sz val="10"/>
        <color indexed="8"/>
        <rFont val="Arial"/>
      </rPr>
      <t>C3910010</t>
    </r>
  </si>
  <si>
    <t>X5R</t>
  </si>
  <si>
    <t>C3910010</t>
  </si>
  <si>
    <t>50V 10nF X5R ±10% 0603 Multilayer Ceramic Capacitors MLCC</t>
  </si>
  <si>
    <t>50V</t>
  </si>
  <si>
    <t>CAL-CHIP</t>
  </si>
  <si>
    <t>GMC10X5R103K50NT</t>
  </si>
  <si>
    <t>-na-</t>
  </si>
  <si>
    <r>
      <rPr>
        <sz val="10"/>
        <color indexed="8"/>
        <rFont val="Arial"/>
      </rPr>
      <t>CAP_0.01uF_X7R_0603_50V</t>
    </r>
  </si>
  <si>
    <r>
      <rPr>
        <sz val="10"/>
        <color indexed="8"/>
        <rFont val="Arial"/>
      </rPr>
      <t>0.01uF 10% X7R 50V</t>
    </r>
  </si>
  <si>
    <r>
      <rPr>
        <sz val="10"/>
        <color indexed="8"/>
        <rFont val="Arial"/>
      </rPr>
      <t>0.01uF CAP 10% X7R 50V</t>
    </r>
  </si>
  <si>
    <r>
      <rPr>
        <u val="single"/>
        <sz val="10"/>
        <color indexed="8"/>
        <rFont val="Arial"/>
      </rPr>
      <t>C100042</t>
    </r>
  </si>
  <si>
    <t>C100042</t>
  </si>
  <si>
    <t>50V 10nF X7R ±10% 0603 Multilayer Ceramic Capacitors MLCC</t>
  </si>
  <si>
    <t>CC0603KRX7R9BB103</t>
  </si>
  <si>
    <r>
      <rPr>
        <u val="single"/>
        <sz val="10"/>
        <color indexed="8"/>
        <rFont val="Arial"/>
      </rPr>
      <t>https://www.lcsc.com/datasheet/lcsc_datasheet_2304140030_YAGEO-CC0603KRX7R9BB103_C100042.pdf</t>
    </r>
  </si>
  <si>
    <r>
      <rPr>
        <sz val="10"/>
        <color indexed="8"/>
        <rFont val="Arial"/>
      </rPr>
      <t>CAP_0.1uF_X5R_0603_25V</t>
    </r>
  </si>
  <si>
    <r>
      <rPr>
        <sz val="10"/>
        <color indexed="8"/>
        <rFont val="Arial"/>
      </rPr>
      <t>0.1uF 10% X5R 25V</t>
    </r>
  </si>
  <si>
    <r>
      <rPr>
        <sz val="10"/>
        <color indexed="8"/>
        <rFont val="Arial"/>
      </rPr>
      <t>0.1uF CAP 10% X5R 25V</t>
    </r>
  </si>
  <si>
    <r>
      <rPr>
        <u val="single"/>
        <sz val="10"/>
        <color indexed="8"/>
        <rFont val="Arial"/>
      </rPr>
      <t>C3853265</t>
    </r>
  </si>
  <si>
    <r>
      <rPr>
        <sz val="10"/>
        <color indexed="8"/>
        <rFont val="Arial"/>
      </rPr>
      <t>0.1uF</t>
    </r>
  </si>
  <si>
    <t>C3853265</t>
  </si>
  <si>
    <t>25V 100nF X5R ±10% 0603 Multilayer Ceramic Capacitors MLCC</t>
  </si>
  <si>
    <t>0.1uF</t>
  </si>
  <si>
    <t>GMC10X5R104K25NT</t>
  </si>
  <si>
    <r>
      <rPr>
        <sz val="10"/>
        <color indexed="8"/>
        <rFont val="Arial"/>
      </rPr>
      <t>CAP_0.1uF_X7R_0603_50V</t>
    </r>
  </si>
  <si>
    <r>
      <rPr>
        <sz val="10"/>
        <color indexed="8"/>
        <rFont val="Arial"/>
      </rPr>
      <t>0.1uF 10% X7R 50V</t>
    </r>
  </si>
  <si>
    <r>
      <rPr>
        <sz val="10"/>
        <color indexed="8"/>
        <rFont val="Arial"/>
      </rPr>
      <t>0.1uF CAP 10% X7R 50V</t>
    </r>
  </si>
  <si>
    <r>
      <rPr>
        <u val="single"/>
        <sz val="10"/>
        <color indexed="8"/>
        <rFont val="Arial"/>
      </rPr>
      <t>C14663</t>
    </r>
  </si>
  <si>
    <t>C14663</t>
  </si>
  <si>
    <t>50V 100nF X7R ±10% 0603 Multilayer Ceramic Capacitors MLCC</t>
  </si>
  <si>
    <t>CC0603KRX7R9BB104</t>
  </si>
  <si>
    <r>
      <rPr>
        <u val="single"/>
        <sz val="10"/>
        <color indexed="8"/>
        <rFont val="Arial"/>
      </rPr>
      <t>https://www.lcsc.com/datasheet/lcsc_datasheet_2211101700_YAGEO-CC0603KRX7R9BB104_C14663.pdf</t>
    </r>
  </si>
  <si>
    <r>
      <rPr>
        <sz val="10"/>
        <color indexed="8"/>
        <rFont val="Arial"/>
      </rPr>
      <t>CAP_1uF_X5R_0603_25V</t>
    </r>
  </si>
  <si>
    <r>
      <rPr>
        <sz val="10"/>
        <color indexed="8"/>
        <rFont val="Arial"/>
      </rPr>
      <t>1uF 10% X5R 25V</t>
    </r>
  </si>
  <si>
    <r>
      <rPr>
        <sz val="10"/>
        <color indexed="8"/>
        <rFont val="Arial"/>
      </rPr>
      <t>1uF CAP 10% X5R 25V</t>
    </r>
  </si>
  <si>
    <r>
      <rPr>
        <u val="single"/>
        <sz val="10"/>
        <color indexed="8"/>
        <rFont val="Arial"/>
      </rPr>
      <t>C2169859</t>
    </r>
  </si>
  <si>
    <r>
      <rPr>
        <sz val="10"/>
        <color indexed="8"/>
        <rFont val="Arial"/>
      </rPr>
      <t>1uF</t>
    </r>
  </si>
  <si>
    <t>C2169859</t>
  </si>
  <si>
    <t>35V 1uF X5R ±10% 0603 Multilayer Ceramic Capacitors MLCC</t>
  </si>
  <si>
    <t>1uF</t>
  </si>
  <si>
    <t>Taiyo Yuden</t>
  </si>
  <si>
    <t>GMK107BJ105KAHT</t>
  </si>
  <si>
    <r>
      <rPr>
        <u val="single"/>
        <sz val="10"/>
        <color indexed="8"/>
        <rFont val="Arial"/>
      </rPr>
      <t>https://wmsc.lcsc.com/wmsc/upload/file/pdf/v2/lcsc/2309051403_Taiyo-Yuden-GMK107BJ105KAHT_C2169859.pdf</t>
    </r>
  </si>
  <si>
    <r>
      <rPr>
        <sz val="10"/>
        <color indexed="8"/>
        <rFont val="Arial"/>
      </rPr>
      <t>CAP_1uF_X5R_0603_50V</t>
    </r>
  </si>
  <si>
    <r>
      <rPr>
        <sz val="10"/>
        <color indexed="8"/>
        <rFont val="Arial"/>
      </rPr>
      <t>1uF 10% X5R 50V</t>
    </r>
  </si>
  <si>
    <r>
      <rPr>
        <sz val="10"/>
        <color indexed="8"/>
        <rFont val="Arial"/>
      </rPr>
      <t>1uF CAP 10% X5R 50V</t>
    </r>
  </si>
  <si>
    <r>
      <rPr>
        <u val="single"/>
        <sz val="10"/>
        <color indexed="8"/>
        <rFont val="Arial"/>
      </rPr>
      <t>C15849</t>
    </r>
  </si>
  <si>
    <t>C15849</t>
  </si>
  <si>
    <t>50V 1uF X5R ±10% 0603 Multilayer Ceramic Capacitors MLCC</t>
  </si>
  <si>
    <t>Samsung</t>
  </si>
  <si>
    <t>CL10A105KB8NNNC</t>
  </si>
  <si>
    <r>
      <rPr>
        <u val="single"/>
        <sz val="10"/>
        <color indexed="8"/>
        <rFont val="Arial"/>
      </rPr>
      <t>https://www.lcsc.com/datasheet/lcsc_datasheet_2304140030_Samsung-Electro-Mechanics-CL10A105KB8NNNC_C15849.pdf</t>
    </r>
  </si>
  <si>
    <r>
      <rPr>
        <sz val="10"/>
        <color indexed="8"/>
        <rFont val="Arial"/>
      </rPr>
      <t>CAP_10uF_X5R_1206_50V</t>
    </r>
  </si>
  <si>
    <r>
      <rPr>
        <sz val="10"/>
        <color indexed="8"/>
        <rFont val="Arial"/>
      </rPr>
      <t>10uF 10% X5R 50V</t>
    </r>
  </si>
  <si>
    <r>
      <rPr>
        <sz val="10"/>
        <color indexed="8"/>
        <rFont val="Arial"/>
      </rPr>
      <t>10uF CAP 10% X5R 50V</t>
    </r>
  </si>
  <si>
    <r>
      <rPr>
        <u val="single"/>
        <sz val="10"/>
        <color indexed="8"/>
        <rFont val="Arial"/>
      </rPr>
      <t>C13585</t>
    </r>
  </si>
  <si>
    <r>
      <rPr>
        <sz val="10"/>
        <color indexed="8"/>
        <rFont val="Arial"/>
      </rPr>
      <t>10uF</t>
    </r>
  </si>
  <si>
    <t>C13585</t>
  </si>
  <si>
    <t>50V 10uF X5R ±10% 1206 Multilayer Ceramic Capacitors MLCC</t>
  </si>
  <si>
    <t>10uF</t>
  </si>
  <si>
    <t>1206</t>
  </si>
  <si>
    <t>CL31A106KBHNNNE</t>
  </si>
  <si>
    <t>SPCoast:1206-CAP</t>
  </si>
  <si>
    <r>
      <rPr>
        <u val="single"/>
        <sz val="10"/>
        <color indexed="8"/>
        <rFont val="Arial"/>
      </rPr>
      <t>https://www.lcsc.com/datasheet/lcsc_datasheet_2304140030_Samsung-Electro-Mechanics-CL31A106KBHNNNE_C13585.pdf</t>
    </r>
  </si>
  <si>
    <r>
      <rPr>
        <sz val="10"/>
        <color indexed="8"/>
        <rFont val="Arial"/>
      </rPr>
      <t>CAP_220uF_Electrolytic_8x10</t>
    </r>
  </si>
  <si>
    <r>
      <rPr>
        <sz val="10"/>
        <color indexed="8"/>
        <rFont val="Arial"/>
      </rPr>
      <t>220uF 20% Electrolytic 35V</t>
    </r>
  </si>
  <si>
    <r>
      <rPr>
        <sz val="10"/>
        <color indexed="8"/>
        <rFont val="Arial"/>
      </rPr>
      <t>220uF CAP 20% Electrolytic 35V</t>
    </r>
  </si>
  <si>
    <r>
      <rPr>
        <u val="single"/>
        <sz val="10"/>
        <color indexed="8"/>
        <rFont val="Arial"/>
      </rPr>
      <t>C136294</t>
    </r>
  </si>
  <si>
    <r>
      <rPr>
        <sz val="10"/>
        <color indexed="8"/>
        <rFont val="Arial"/>
      </rPr>
      <t>220uF</t>
    </r>
  </si>
  <si>
    <t>Electrolytic</t>
  </si>
  <si>
    <t>C136294</t>
  </si>
  <si>
    <t>220uF 35V 300mA@120Hz ±20% SMD D8xL10mm Aluminum Electrolytic Capacitor</t>
  </si>
  <si>
    <t>220uF</t>
  </si>
  <si>
    <t>8x10</t>
  </si>
  <si>
    <t>20%</t>
  </si>
  <si>
    <t>35V</t>
  </si>
  <si>
    <t>Nichicon</t>
  </si>
  <si>
    <t>UCD1V221MNL1GS</t>
  </si>
  <si>
    <t>Device:C_Polarized_US</t>
  </si>
  <si>
    <t>SPCoast:CP_Elec_8x10</t>
  </si>
  <si>
    <r>
      <rPr>
        <u val="single"/>
        <sz val="10"/>
        <color indexed="8"/>
        <rFont val="Arial"/>
      </rPr>
      <t>https://www.lcsc.com/datasheet/lcsc_datasheet_1808312007_Nichicon-UCD1V221MNL1GS_C136294.pdf</t>
    </r>
  </si>
  <si>
    <r>
      <rPr>
        <sz val="10"/>
        <color indexed="8"/>
        <rFont val="Arial"/>
      </rPr>
      <t>CAP_1000uF_Electrolytic_8x11.5</t>
    </r>
  </si>
  <si>
    <r>
      <rPr>
        <sz val="10"/>
        <color indexed="8"/>
        <rFont val="Arial"/>
      </rPr>
      <t>1000uF 20% Electrolytic 6.3V</t>
    </r>
  </si>
  <si>
    <r>
      <rPr>
        <sz val="10"/>
        <color indexed="8"/>
        <rFont val="Arial"/>
      </rPr>
      <t>1000uF CAP 20% Electrolytic 6.3V</t>
    </r>
  </si>
  <si>
    <r>
      <rPr>
        <sz val="10"/>
        <color indexed="8"/>
        <rFont val="Arial"/>
      </rPr>
      <t>1000uF</t>
    </r>
  </si>
  <si>
    <t>Aluminum Electrolytic Capacitors - Radial Leaded 1000uF 6.3V 85c</t>
  </si>
  <si>
    <t>1000uF</t>
  </si>
  <si>
    <t>8x11.5</t>
  </si>
  <si>
    <t>6.3V</t>
  </si>
  <si>
    <t>647-UVR0J102MPD1TD</t>
  </si>
  <si>
    <r>
      <rPr>
        <u val="single"/>
        <sz val="10"/>
        <color indexed="8"/>
        <rFont val="Arial"/>
      </rPr>
      <t>https://www.mouser.com/ProductDetail/Nichicon/UVR0J102MPD1TD</t>
    </r>
  </si>
  <si>
    <r>
      <rPr>
        <sz val="10"/>
        <color indexed="8"/>
        <rFont val="Arial"/>
      </rPr>
      <t>CAP_1000uF_Electrolytic_10x10.2</t>
    </r>
  </si>
  <si>
    <r>
      <rPr>
        <sz val="10"/>
        <color indexed="8"/>
        <rFont val="Arial"/>
      </rPr>
      <t>1000uF 20% Electrolytic 16V</t>
    </r>
  </si>
  <si>
    <r>
      <rPr>
        <sz val="10"/>
        <color indexed="8"/>
        <rFont val="Arial"/>
      </rPr>
      <t>1000uF CAP 20% Electrolytic 16V</t>
    </r>
  </si>
  <si>
    <r>
      <rPr>
        <u val="single"/>
        <sz val="10"/>
        <color indexed="8"/>
        <rFont val="Arial"/>
      </rPr>
      <t>C970714</t>
    </r>
  </si>
  <si>
    <t>C970714</t>
  </si>
  <si>
    <t>Aluminum Electrolytic Capacitors - Radial Leaded 1000uF 16V -55-105c 347mA@120hz 20% D10xL10.2</t>
  </si>
  <si>
    <t>10x10.2</t>
  </si>
  <si>
    <t>16V</t>
  </si>
  <si>
    <t>DMBJ</t>
  </si>
  <si>
    <t>RVT1C102M1010 1000UF 16V</t>
  </si>
  <si>
    <t>Capacitor_SMD:CP_Elec_10x10</t>
  </si>
  <si>
    <r>
      <rPr>
        <u val="single"/>
        <sz val="10"/>
        <color indexed="8"/>
        <rFont val="Arial"/>
      </rPr>
      <t>https://jlcpcb.com/api/file/downloadByFileSystemAccessId/8590911073887604736</t>
    </r>
  </si>
  <si>
    <r>
      <rPr>
        <sz val="10"/>
        <color indexed="8"/>
        <rFont val="Arial"/>
      </rPr>
      <t>DIO_4.7V_SOD-323</t>
    </r>
  </si>
  <si>
    <r>
      <rPr>
        <sz val="10"/>
        <color indexed="8"/>
        <rFont val="Arial"/>
      </rPr>
      <t>4.7V zener 4.7V 5mA 200mW</t>
    </r>
  </si>
  <si>
    <r>
      <rPr>
        <sz val="10"/>
        <color indexed="8"/>
        <rFont val="Arial"/>
      </rPr>
      <t>4.7V DIO zener 4.7V 5mA 200mW</t>
    </r>
  </si>
  <si>
    <r>
      <rPr>
        <u val="single"/>
        <sz val="10"/>
        <color indexed="8"/>
        <rFont val="Arial"/>
      </rPr>
      <t>C353517</t>
    </r>
  </si>
  <si>
    <r>
      <rPr>
        <sz val="10"/>
        <color indexed="8"/>
        <rFont val="Arial"/>
      </rPr>
      <t>4.7V</t>
    </r>
  </si>
  <si>
    <t>DIO</t>
  </si>
  <si>
    <t>4.7V</t>
  </si>
  <si>
    <t>zener</t>
  </si>
  <si>
    <t>C353517</t>
  </si>
  <si>
    <t>4.7V SOD-323 Zener Diode -W7</t>
  </si>
  <si>
    <t>SOD-323</t>
  </si>
  <si>
    <t>5mA</t>
  </si>
  <si>
    <t>200mW</t>
  </si>
  <si>
    <t>Shandong Jingdao</t>
  </si>
  <si>
    <t>BZT52C4V7S</t>
  </si>
  <si>
    <t>SPCoast:D_Zener_Filled</t>
  </si>
  <si>
    <t>SPCoast:SOD-323</t>
  </si>
  <si>
    <r>
      <rPr>
        <u val="single"/>
        <sz val="10"/>
        <color indexed="8"/>
        <rFont val="Arial"/>
      </rPr>
      <t>https://www.lcsc.com/datasheet/lcsc_datasheet_2304140030_Shandong-Jingdao-Microelectronics-BZT52C4V7S_C353517.pdf</t>
    </r>
  </si>
  <si>
    <r>
      <rPr>
        <sz val="10"/>
        <color indexed="8"/>
        <rFont val="Arial"/>
      </rPr>
      <t>DIO_BAT54_SOT-23</t>
    </r>
  </si>
  <si>
    <r>
      <rPr>
        <sz val="10"/>
        <color indexed="8"/>
        <rFont val="Arial"/>
      </rPr>
      <t>BAT54 single Schottkey 30V</t>
    </r>
  </si>
  <si>
    <r>
      <rPr>
        <sz val="10"/>
        <color indexed="8"/>
        <rFont val="Arial"/>
      </rPr>
      <t>BAT54 DIO single Schottkey 30V</t>
    </r>
  </si>
  <si>
    <r>
      <rPr>
        <u val="single"/>
        <sz val="10"/>
        <color indexed="8"/>
        <rFont val="Arial"/>
      </rPr>
      <t>C5261070</t>
    </r>
  </si>
  <si>
    <r>
      <rPr>
        <sz val="10"/>
        <color indexed="8"/>
        <rFont val="Arial"/>
      </rPr>
      <t>BAT54</t>
    </r>
  </si>
  <si>
    <t>single Schottkey</t>
  </si>
  <si>
    <t>C5261070</t>
  </si>
  <si>
    <t>BAT54  Single Schottky 30V 200mA</t>
  </si>
  <si>
    <t>SOT-23</t>
  </si>
  <si>
    <t>30V</t>
  </si>
  <si>
    <t>HXY</t>
  </si>
  <si>
    <t>BAT54</t>
  </si>
  <si>
    <t>Diode:BAT54</t>
  </si>
  <si>
    <t>SPCoast:SOT-23</t>
  </si>
  <si>
    <r>
      <rPr>
        <u val="single"/>
        <sz val="10"/>
        <color indexed="8"/>
        <rFont val="Arial"/>
      </rPr>
      <t>https://wmsc.lcsc.com/wmsc/upload/file/pdf/v2/lcsc/2406051353_HXY-MOSFET-BAT54_C5261070.pdf</t>
    </r>
  </si>
  <si>
    <r>
      <rPr>
        <sz val="10"/>
        <color indexed="8"/>
        <rFont val="Arial"/>
      </rPr>
      <t>DIO_BAT54A_SOT-23</t>
    </r>
  </si>
  <si>
    <r>
      <rPr>
        <sz val="10"/>
        <color indexed="8"/>
        <rFont val="Arial"/>
      </rPr>
      <t>BAT54A dual Schottkey common anode 30V</t>
    </r>
  </si>
  <si>
    <r>
      <rPr>
        <sz val="10"/>
        <color indexed="8"/>
        <rFont val="Arial"/>
      </rPr>
      <t>BAT54A DIO dual Schottkey common anode 30V</t>
    </r>
  </si>
  <si>
    <r>
      <rPr>
        <u val="single"/>
        <sz val="10"/>
        <color indexed="8"/>
        <rFont val="Arial"/>
      </rPr>
      <t>C2926172</t>
    </r>
  </si>
  <si>
    <r>
      <rPr>
        <sz val="10"/>
        <color indexed="8"/>
        <rFont val="Arial"/>
      </rPr>
      <t>BAT54A</t>
    </r>
  </si>
  <si>
    <t>dual Schottkey common anode</t>
  </si>
  <si>
    <t>C2926172</t>
  </si>
  <si>
    <t>BAT54A Dual Schottky 30V 200mA Common Anode</t>
  </si>
  <si>
    <t>FOSAN</t>
  </si>
  <si>
    <t>BAT54A</t>
  </si>
  <si>
    <t>Diode:BAT54A</t>
  </si>
  <si>
    <r>
      <rPr>
        <u val="single"/>
        <sz val="10"/>
        <color indexed="8"/>
        <rFont val="Arial"/>
      </rPr>
      <t>https://wmsc.lcsc.com/wmsc/upload/file/pdf/v2/lcsc/2112031830_FOSAN-BAT54A_C2926172.pdf</t>
    </r>
  </si>
  <si>
    <r>
      <rPr>
        <sz val="10"/>
        <color indexed="8"/>
        <rFont val="Arial"/>
      </rPr>
      <t>DIO_BAT54S_SOT-23</t>
    </r>
  </si>
  <si>
    <r>
      <rPr>
        <sz val="10"/>
        <color indexed="8"/>
        <rFont val="Arial"/>
      </rPr>
      <t>BAT54S dual Schottkey series 30V</t>
    </r>
  </si>
  <si>
    <r>
      <rPr>
        <sz val="10"/>
        <color indexed="8"/>
        <rFont val="Arial"/>
      </rPr>
      <t>BAT54S DIO dual Schottkey series 30V</t>
    </r>
  </si>
  <si>
    <r>
      <rPr>
        <u val="single"/>
        <sz val="10"/>
        <color indexed="8"/>
        <rFont val="Arial"/>
      </rPr>
      <t>C2926174</t>
    </r>
  </si>
  <si>
    <r>
      <rPr>
        <sz val="10"/>
        <color indexed="8"/>
        <rFont val="Arial"/>
      </rPr>
      <t>BAT54S</t>
    </r>
  </si>
  <si>
    <t>dual Schottkey series</t>
  </si>
  <si>
    <t>C2926174</t>
  </si>
  <si>
    <t>BAT54S Dual Schottky 30V 200mA Series</t>
  </si>
  <si>
    <t>BAT54S</t>
  </si>
  <si>
    <t>Diode:BAT54S</t>
  </si>
  <si>
    <r>
      <rPr>
        <u val="single"/>
        <sz val="10"/>
        <color indexed="8"/>
        <rFont val="Arial"/>
      </rPr>
      <t>https://wmsc.lcsc.com/wmsc/upload/file/pdf/v2/lcsc/2112031830_FOSAN-BAT54S_C2926174.pdf</t>
    </r>
  </si>
  <si>
    <r>
      <rPr>
        <sz val="10"/>
        <color indexed="8"/>
        <rFont val="Arial"/>
      </rPr>
      <t>DIO_BAT54C_SOT-23</t>
    </r>
  </si>
  <si>
    <r>
      <rPr>
        <sz val="10"/>
        <color indexed="8"/>
        <rFont val="Arial"/>
      </rPr>
      <t>BAT54C dual Schottkey common cathode 30V</t>
    </r>
  </si>
  <si>
    <r>
      <rPr>
        <sz val="10"/>
        <color indexed="8"/>
        <rFont val="Arial"/>
      </rPr>
      <t>BAT54C DIO dual Schottkey common cathode 30V</t>
    </r>
  </si>
  <si>
    <r>
      <rPr>
        <u val="single"/>
        <sz val="10"/>
        <color indexed="8"/>
        <rFont val="Arial"/>
      </rPr>
      <t>C408388</t>
    </r>
  </si>
  <si>
    <r>
      <rPr>
        <sz val="10"/>
        <color indexed="8"/>
        <rFont val="Arial"/>
      </rPr>
      <t>BAT54C</t>
    </r>
  </si>
  <si>
    <t>dual Schottkey common cathode</t>
  </si>
  <si>
    <t>C408388</t>
  </si>
  <si>
    <t>30V 1 pair of common cathodes 1V@100mA 200mA SOT-23 Schottky Diodes</t>
  </si>
  <si>
    <t>Microdiode</t>
  </si>
  <si>
    <t>BAT54C</t>
  </si>
  <si>
    <t>Diode:BAT54C</t>
  </si>
  <si>
    <r>
      <rPr>
        <u val="single"/>
        <sz val="10"/>
        <color indexed="8"/>
        <rFont val="Arial"/>
      </rPr>
      <t>https://www.lcsc.com/datasheet/lcsc_datasheet_2407101108_MDD-Microdiode-Semiconductor-BAT54C_C408388.pdf</t>
    </r>
  </si>
  <si>
    <r>
      <rPr>
        <sz val="10"/>
        <color indexed="8"/>
        <rFont val="Arial"/>
      </rPr>
      <t>DIO_BAV99_SOT-23</t>
    </r>
  </si>
  <si>
    <r>
      <rPr>
        <sz val="10"/>
        <color indexed="8"/>
        <rFont val="Arial"/>
      </rPr>
      <t>BAV99 dual switching diode 100V</t>
    </r>
  </si>
  <si>
    <r>
      <rPr>
        <sz val="10"/>
        <color indexed="8"/>
        <rFont val="Arial"/>
      </rPr>
      <t>BAV99 DIO dual switching diode 100V</t>
    </r>
  </si>
  <si>
    <r>
      <rPr>
        <u val="single"/>
        <sz val="10"/>
        <color indexed="8"/>
        <rFont val="Arial"/>
      </rPr>
      <t>C2500</t>
    </r>
  </si>
  <si>
    <r>
      <rPr>
        <sz val="10"/>
        <color indexed="8"/>
        <rFont val="Arial"/>
      </rPr>
      <t>BAV99</t>
    </r>
  </si>
  <si>
    <t>BAV99</t>
  </si>
  <si>
    <t>dual switching diode</t>
  </si>
  <si>
    <t>C2500</t>
  </si>
  <si>
    <t xml:space="preserve">1 Pair Series Connection 1.25V@150mA 100V 215mA 250mW 4A 4ns 500nA@80V SOT-23 Switching Diodes </t>
  </si>
  <si>
    <t>100V</t>
  </si>
  <si>
    <t>Nexperia</t>
  </si>
  <si>
    <t>BAV99,215</t>
  </si>
  <si>
    <t>Diode:BAV99</t>
  </si>
  <si>
    <t>https://www.lcsc.com/datasheet/lcsc_datasheet_2407250951_Nexperia-BAV99-215_C2500.pdf</t>
  </si>
  <si>
    <r>
      <rPr>
        <sz val="10"/>
        <color indexed="8"/>
        <rFont val="Arial"/>
      </rPr>
      <t>IC_LM358D_SOP-8</t>
    </r>
  </si>
  <si>
    <r>
      <rPr>
        <sz val="10"/>
        <color indexed="8"/>
        <rFont val="Arial"/>
      </rPr>
      <t>LM358D dual OpAmp ±15V or +30V</t>
    </r>
  </si>
  <si>
    <r>
      <rPr>
        <sz val="10"/>
        <color indexed="8"/>
        <rFont val="Arial"/>
      </rPr>
      <t>LM358D IC dual OpAmp ±15V or +30V</t>
    </r>
  </si>
  <si>
    <r>
      <rPr>
        <u val="single"/>
        <sz val="10"/>
        <color indexed="8"/>
        <rFont val="Arial"/>
      </rPr>
      <t>C2683482</t>
    </r>
  </si>
  <si>
    <r>
      <rPr>
        <sz val="10"/>
        <color indexed="8"/>
        <rFont val="Arial"/>
      </rPr>
      <t>LM358D</t>
    </r>
  </si>
  <si>
    <t>IC</t>
  </si>
  <si>
    <t>dual OpAmp</t>
  </si>
  <si>
    <t>C2683482</t>
  </si>
  <si>
    <t>SOP-8 Operational Amplifier</t>
  </si>
  <si>
    <t>SOP-8</t>
  </si>
  <si>
    <t>±15V or +30V</t>
  </si>
  <si>
    <t>IDCHIP</t>
  </si>
  <si>
    <t>LM358D</t>
  </si>
  <si>
    <t>SPCoast:LM358</t>
  </si>
  <si>
    <t>SPCoast:SOIC-8_3.9x4.9mm_P1.27mm;Package_SO:SOIC-8_3.9x4.9mm_P1.27mm</t>
  </si>
  <si>
    <r>
      <rPr>
        <u val="single"/>
        <sz val="10"/>
        <color indexed="8"/>
        <rFont val="Arial"/>
      </rPr>
      <t>https://www.lcsc.com/datasheet/lcsc_datasheet_2403081523_IDCHIP-LM358D_C2683482.pdf</t>
    </r>
  </si>
  <si>
    <r>
      <rPr>
        <sz val="10"/>
        <color indexed="8"/>
        <rFont val="Arial"/>
      </rPr>
      <t>IC_NE555D_SOP-8</t>
    </r>
  </si>
  <si>
    <r>
      <rPr>
        <sz val="10"/>
        <color indexed="8"/>
        <rFont val="Arial"/>
      </rPr>
      <t>NE555D 16v</t>
    </r>
  </si>
  <si>
    <r>
      <rPr>
        <sz val="10"/>
        <color indexed="8"/>
        <rFont val="Arial"/>
      </rPr>
      <t>NE555D IC 16v</t>
    </r>
  </si>
  <si>
    <r>
      <rPr>
        <u val="single"/>
        <sz val="10"/>
        <color indexed="8"/>
        <rFont val="Arial"/>
      </rPr>
      <t>C695838</t>
    </r>
  </si>
  <si>
    <r>
      <rPr>
        <sz val="10"/>
        <color indexed="8"/>
        <rFont val="Arial"/>
      </rPr>
      <t>NE555D</t>
    </r>
  </si>
  <si>
    <t>NE555D</t>
  </si>
  <si>
    <t>C695838</t>
  </si>
  <si>
    <t>100kHz 4.5V~16V SOP-8 555 Timers / Counters</t>
  </si>
  <si>
    <t>16v</t>
  </si>
  <si>
    <t>UMW(Youtai Semiconductor Co., Ltd.)</t>
  </si>
  <si>
    <t>NE555DR</t>
  </si>
  <si>
    <t>Timer:NE555</t>
  </si>
  <si>
    <t>Package_SO:SOIC-8_3.9x4.9mm_P1.27mm</t>
  </si>
  <si>
    <t>https://www.lcsc.com/datasheet/lcsc_datasheet_2311091107_UMW-Youtai-Semiconductor-Co---Ltd--NE555DR_C695838.pdf</t>
  </si>
  <si>
    <r>
      <rPr>
        <sz val="10"/>
        <color indexed="8"/>
        <rFont val="Arial"/>
      </rPr>
      <t>IC_NE556_SOP-14</t>
    </r>
  </si>
  <si>
    <r>
      <rPr>
        <sz val="10"/>
        <color indexed="8"/>
        <rFont val="Arial"/>
      </rPr>
      <t>NE556 Dual Timer 16V 600mW</t>
    </r>
  </si>
  <si>
    <r>
      <rPr>
        <sz val="10"/>
        <color indexed="8"/>
        <rFont val="Arial"/>
      </rPr>
      <t>NE556 IC Dual Timer 16V 600mW</t>
    </r>
  </si>
  <si>
    <r>
      <rPr>
        <u val="single"/>
        <sz val="10"/>
        <color indexed="8"/>
        <rFont val="Arial"/>
      </rPr>
      <t>C5145392</t>
    </r>
  </si>
  <si>
    <r>
      <rPr>
        <sz val="10"/>
        <color indexed="8"/>
        <rFont val="Arial"/>
      </rPr>
      <t>NE556</t>
    </r>
  </si>
  <si>
    <t>NE556</t>
  </si>
  <si>
    <t>Dual Timer</t>
  </si>
  <si>
    <t>C5145392</t>
  </si>
  <si>
    <t>NE556 100kHz Dual Timer</t>
  </si>
  <si>
    <t>SOP-14</t>
  </si>
  <si>
    <t>600mW</t>
  </si>
  <si>
    <t>HANSCHIP</t>
  </si>
  <si>
    <t>NE556DRG</t>
  </si>
  <si>
    <t>Timer:NE556</t>
  </si>
  <si>
    <t>SPCoast:SOP_14;Package_SO:SOIC-14_3.9x8.7mm_P1.27mm</t>
  </si>
  <si>
    <r>
      <rPr>
        <u val="single"/>
        <sz val="10"/>
        <color indexed="8"/>
        <rFont val="Arial"/>
      </rPr>
      <t>https://wmsc.lcsc.com/wmsc/upload/file/pdf/v2/lcsc/2209290930_HANSCHIP-semiconductor-NE556DRG_C5145392.pdf</t>
    </r>
  </si>
  <si>
    <r>
      <rPr>
        <sz val="10"/>
        <color indexed="8"/>
        <rFont val="Arial"/>
      </rPr>
      <t>IC_MCP23017_SOIC-28-300mil</t>
    </r>
  </si>
  <si>
    <r>
      <rPr>
        <sz val="10"/>
        <color indexed="8"/>
        <rFont val="Arial"/>
      </rPr>
      <t>MCP23017 I2C 16-bit I/O Expander</t>
    </r>
  </si>
  <si>
    <r>
      <rPr>
        <sz val="10"/>
        <color indexed="8"/>
        <rFont val="Arial"/>
      </rPr>
      <t>MCP23017 IC I2C 16-bit I/O Expander</t>
    </r>
  </si>
  <si>
    <r>
      <rPr>
        <u val="single"/>
        <sz val="10"/>
        <color indexed="8"/>
        <rFont val="Arial"/>
      </rPr>
      <t>C629440</t>
    </r>
  </si>
  <si>
    <r>
      <rPr>
        <sz val="10"/>
        <color indexed="8"/>
        <rFont val="Arial"/>
      </rPr>
      <t>MCP23017</t>
    </r>
  </si>
  <si>
    <t>MCP23017</t>
  </si>
  <si>
    <t>I2C 16-bit I/O Expander</t>
  </si>
  <si>
    <t>C629440</t>
  </si>
  <si>
    <t>MCP23017 I2C 16 bit I/O Expander</t>
  </si>
  <si>
    <t>SOIC-28-300mil</t>
  </si>
  <si>
    <t>Microchip</t>
  </si>
  <si>
    <t>MCP23017T-E/SO</t>
  </si>
  <si>
    <t>SPCoast:MCP23017_SO</t>
  </si>
  <si>
    <t>SPCoast:SOIC-28W_7.5x17.9mm</t>
  </si>
  <si>
    <r>
      <rPr>
        <u val="single"/>
        <sz val="10"/>
        <color indexed="8"/>
        <rFont val="Arial"/>
      </rPr>
      <t>https://wmsc.lcsc.com/wmsc/upload/file/pdf/v2/lcsc/2203221230_Microchip-Tech-MCP23017T-E-SO_C629440.pdf</t>
    </r>
  </si>
  <si>
    <r>
      <rPr>
        <sz val="10"/>
        <color indexed="8"/>
        <rFont val="Arial"/>
      </rPr>
      <t>IC_PCA9685_TSSOP-28</t>
    </r>
  </si>
  <si>
    <r>
      <rPr>
        <sz val="10"/>
        <color indexed="8"/>
        <rFont val="Arial"/>
      </rPr>
      <t>PCA9685 I2C 16-bit PWM LED Driver</t>
    </r>
  </si>
  <si>
    <r>
      <rPr>
        <sz val="10"/>
        <color indexed="8"/>
        <rFont val="Arial"/>
      </rPr>
      <t>PCA9685 IC I2C 16-bit PWM LED Driver</t>
    </r>
  </si>
  <si>
    <r>
      <rPr>
        <u val="single"/>
        <sz val="10"/>
        <color indexed="8"/>
        <rFont val="Arial"/>
      </rPr>
      <t>C2678753</t>
    </r>
  </si>
  <si>
    <r>
      <rPr>
        <sz val="10"/>
        <color indexed="8"/>
        <rFont val="Arial"/>
      </rPr>
      <t>PCA9685</t>
    </r>
  </si>
  <si>
    <t>PCA9685</t>
  </si>
  <si>
    <t>I2C 16-bit PWM LED Driver</t>
  </si>
  <si>
    <t>C2678753</t>
  </si>
  <si>
    <t>5.5V 100kHz~1MHz PWM 16 25mA 2.3V~5.5V TSSOP-28 LED Driver</t>
  </si>
  <si>
    <t>TSSOP-28</t>
  </si>
  <si>
    <t>NXP</t>
  </si>
  <si>
    <t>PCA9685PW,118</t>
  </si>
  <si>
    <t>SPCoast:PCA9685PW</t>
  </si>
  <si>
    <t>Package_SO:TSSOP-28_4.4x9.7mm_P0.65mm</t>
  </si>
  <si>
    <r>
      <rPr>
        <u val="single"/>
        <sz val="10"/>
        <color indexed="8"/>
        <rFont val="Arial"/>
      </rPr>
      <t>https://www.lcsc.com/datasheet/lcsc_datasheet_2405281434_NXP-Semicon-PCA9685PW-118_C2678753.pdf</t>
    </r>
  </si>
  <si>
    <r>
      <rPr>
        <sz val="10"/>
        <color indexed="8"/>
        <rFont val="Arial"/>
      </rPr>
      <t>LED_Blue_0603_20mA</t>
    </r>
  </si>
  <si>
    <r>
      <rPr>
        <sz val="10"/>
        <color indexed="8"/>
        <rFont val="Arial"/>
      </rPr>
      <t>Blue LED clear 3.3V 20mA 240mcd</t>
    </r>
  </si>
  <si>
    <r>
      <rPr>
        <u val="single"/>
        <sz val="10"/>
        <color indexed="8"/>
        <rFont val="Arial"/>
      </rPr>
      <t>C965807</t>
    </r>
  </si>
  <si>
    <r>
      <rPr>
        <sz val="10"/>
        <color indexed="8"/>
        <rFont val="Arial"/>
      </rPr>
      <t>Blue</t>
    </r>
  </si>
  <si>
    <t>LED</t>
  </si>
  <si>
    <t>Blue</t>
  </si>
  <si>
    <t>clear</t>
  </si>
  <si>
    <t>C965807</t>
  </si>
  <si>
    <t>20mA 240mcd Colorless and transparent -20℃~+85℃ Positive Stick 455nm~475nm Blue 120° 70mW 3.3V 0603 LED Indication</t>
  </si>
  <si>
    <t>3.3V</t>
  </si>
  <si>
    <t>20mA</t>
  </si>
  <si>
    <t>120°</t>
  </si>
  <si>
    <t>455nm~475nm</t>
  </si>
  <si>
    <t>240</t>
  </si>
  <si>
    <t>XINGLIGHT</t>
  </si>
  <si>
    <t>XL-1608UBC-04</t>
  </si>
  <si>
    <t>Device:LED</t>
  </si>
  <si>
    <t>SPCoast:0603-LED</t>
  </si>
  <si>
    <r>
      <rPr>
        <u val="single"/>
        <sz val="10"/>
        <color indexed="8"/>
        <rFont val="Arial"/>
      </rPr>
      <t>https://wmsc.lcsc.com/wmsc/upload/file/pdf/v2/lcsc/2402181505_XINGLIGHT-XL-1608UBC-04_C965807.pdf</t>
    </r>
  </si>
  <si>
    <r>
      <rPr>
        <sz val="10"/>
        <color indexed="8"/>
        <rFont val="Arial"/>
      </rPr>
      <t>LED_White_0603_20mA</t>
    </r>
  </si>
  <si>
    <r>
      <rPr>
        <sz val="10"/>
        <color indexed="8"/>
        <rFont val="Arial"/>
      </rPr>
      <t>White LED warm 2.7V 20mA 130mcd</t>
    </r>
  </si>
  <si>
    <r>
      <rPr>
        <u val="single"/>
        <sz val="10"/>
        <color indexed="8"/>
        <rFont val="Arial"/>
      </rPr>
      <t>C965808</t>
    </r>
  </si>
  <si>
    <r>
      <rPr>
        <sz val="10"/>
        <color indexed="8"/>
        <rFont val="Arial"/>
      </rPr>
      <t>White</t>
    </r>
  </si>
  <si>
    <t>White</t>
  </si>
  <si>
    <t>warm</t>
  </si>
  <si>
    <t>C965808</t>
  </si>
  <si>
    <t>20mA 13700K~33000K 130mcd WarmWhite -20℃~+85℃ Positive Stick White 120° 70mW 2.7V 0603 LED Indication</t>
  </si>
  <si>
    <t>2.7V</t>
  </si>
  <si>
    <t>13700 - 33000 K</t>
  </si>
  <si>
    <t>130</t>
  </si>
  <si>
    <t>XL-1608UWC-04</t>
  </si>
  <si>
    <r>
      <rPr>
        <u val="single"/>
        <sz val="10"/>
        <color indexed="8"/>
        <rFont val="Arial"/>
      </rPr>
      <t>https://wmsc.lcsc.com/wmsc/upload/file/pdf/v2/lcsc/2402181505_XINGLIGHT-XL-1608UWC-04_C965808.pdf</t>
    </r>
  </si>
  <si>
    <r>
      <rPr>
        <sz val="10"/>
        <color indexed="8"/>
        <rFont val="Arial"/>
      </rPr>
      <t>LED_Green Emerald_0603_20mA</t>
    </r>
  </si>
  <si>
    <r>
      <rPr>
        <sz val="10"/>
        <color indexed="8"/>
        <rFont val="Arial"/>
      </rPr>
      <t>Green Emerald LED clear 3.3V 20mA 810mcd</t>
    </r>
  </si>
  <si>
    <r>
      <rPr>
        <u val="single"/>
        <sz val="10"/>
        <color indexed="8"/>
        <rFont val="Arial"/>
      </rPr>
      <t>C965804</t>
    </r>
  </si>
  <si>
    <r>
      <rPr>
        <sz val="10"/>
        <color indexed="8"/>
        <rFont val="Arial"/>
      </rPr>
      <t>Green Emerald</t>
    </r>
  </si>
  <si>
    <t>Green Emerald</t>
  </si>
  <si>
    <t>C965804</t>
  </si>
  <si>
    <t>20mA 810mcd Colorless transparent  515nm~535nm -20℃~+85℃ Positive Stick Emerald Green 120° 70mW 3.3V 0603 LED Indication</t>
  </si>
  <si>
    <t>515nm~535nm</t>
  </si>
  <si>
    <t>810</t>
  </si>
  <si>
    <t>XL-1608UGC-04</t>
  </si>
  <si>
    <r>
      <rPr>
        <u val="single"/>
        <sz val="10"/>
        <color indexed="8"/>
        <rFont val="Arial"/>
      </rPr>
      <t>https://wmsc.lcsc.com/wmsc/upload/file/pdf/v2/lcsc/2402181505_XINGLIGHT-XL-1608UGC-04_C965804.pdf</t>
    </r>
  </si>
  <si>
    <r>
      <rPr>
        <sz val="10"/>
        <color indexed="8"/>
        <rFont val="Arial"/>
      </rPr>
      <t>LED_Yellow Green_0603_20mA</t>
    </r>
  </si>
  <si>
    <r>
      <rPr>
        <sz val="10"/>
        <color indexed="8"/>
        <rFont val="Arial"/>
      </rPr>
      <t>Yellow Green LED clear 2.4V 20mA 240mcd</t>
    </r>
  </si>
  <si>
    <r>
      <rPr>
        <u val="single"/>
        <sz val="10"/>
        <color indexed="8"/>
        <rFont val="Arial"/>
      </rPr>
      <t>C965806</t>
    </r>
  </si>
  <si>
    <r>
      <rPr>
        <sz val="10"/>
        <color indexed="8"/>
        <rFont val="Arial"/>
      </rPr>
      <t>Yellow Green</t>
    </r>
  </si>
  <si>
    <t>Yellow Green</t>
  </si>
  <si>
    <t>C965806</t>
  </si>
  <si>
    <t>20mA 240mcd Colorless transparent 565nm~575nm -20℃~+85℃ Positive Stick Yellow Green 120° 50mW 2.4V 0603 LED Indication</t>
  </si>
  <si>
    <t>2.4V</t>
  </si>
  <si>
    <t>565nm~575nm</t>
  </si>
  <si>
    <t>XL-1608SYGC-04</t>
  </si>
  <si>
    <r>
      <rPr>
        <u val="single"/>
        <sz val="10"/>
        <color indexed="8"/>
        <rFont val="Arial"/>
      </rPr>
      <t>https://wmsc.lcsc.com/wmsc/upload/file/pdf/v2/lcsc/2402181505_XINGLIGHT-XL-1608SYGC-04_C965806.pdf</t>
    </r>
  </si>
  <si>
    <r>
      <rPr>
        <sz val="10"/>
        <color indexed="8"/>
        <rFont val="Arial"/>
      </rPr>
      <t>LED_Orange_0603_10mA</t>
    </r>
  </si>
  <si>
    <r>
      <rPr>
        <sz val="10"/>
        <color indexed="8"/>
        <rFont val="Arial"/>
      </rPr>
      <t>Orange LED clear 2.2V 10mA 70mcd</t>
    </r>
  </si>
  <si>
    <r>
      <rPr>
        <u val="single"/>
        <sz val="10"/>
        <color indexed="8"/>
        <rFont val="Arial"/>
      </rPr>
      <t>C22371303</t>
    </r>
  </si>
  <si>
    <r>
      <rPr>
        <sz val="10"/>
        <color indexed="8"/>
        <rFont val="Arial"/>
      </rPr>
      <t>Orange</t>
    </r>
  </si>
  <si>
    <t>Orange</t>
  </si>
  <si>
    <t>C22371303</t>
  </si>
  <si>
    <t>10mA Orange 0603 LED Indication</t>
  </si>
  <si>
    <t>2.2V</t>
  </si>
  <si>
    <t>10mA</t>
  </si>
  <si>
    <t>600nm~612nm</t>
  </si>
  <si>
    <t>70</t>
  </si>
  <si>
    <t>HONGLITRONIC</t>
  </si>
  <si>
    <t>HL-PSC-1608S25OC-G4</t>
  </si>
  <si>
    <r>
      <rPr>
        <u val="single"/>
        <sz val="10"/>
        <color indexed="8"/>
        <rFont val="Arial"/>
      </rPr>
      <t>https://wmsc.lcsc.com/wmsc/upload/file/pdf/v2/lcsc/2403281522_HONGLITRONIC-Hongli-Zhihui--HONGLITRONIC-HL-PSC-1608S25OC-G4_C22371303.pdf</t>
    </r>
  </si>
  <si>
    <r>
      <rPr>
        <sz val="10"/>
        <color indexed="8"/>
        <rFont val="Arial"/>
      </rPr>
      <t>LED_Orange_0603_20mA</t>
    </r>
  </si>
  <si>
    <r>
      <rPr>
        <sz val="10"/>
        <color indexed="8"/>
        <rFont val="Arial"/>
      </rPr>
      <t>Orange LED clear 2.3V 20mA 315mcd</t>
    </r>
  </si>
  <si>
    <r>
      <rPr>
        <u val="single"/>
        <sz val="10"/>
        <color indexed="8"/>
        <rFont val="Arial"/>
      </rPr>
      <t>C965800</t>
    </r>
  </si>
  <si>
    <t>C965800</t>
  </si>
  <si>
    <t>20mA 315mcd Colorless transparent -20℃~+85℃ 600nm~610nm Positive Stick Orange 120° 50mW 2.3V 0603 LED Indication</t>
  </si>
  <si>
    <t>2.3V</t>
  </si>
  <si>
    <t>315</t>
  </si>
  <si>
    <t>XL-1608UOC-06</t>
  </si>
  <si>
    <r>
      <rPr>
        <u val="single"/>
        <sz val="10"/>
        <color indexed="8"/>
        <rFont val="Arial"/>
      </rPr>
      <t>https://wmsc.lcsc.com/wmsc/upload/file/pdf/v2/lcsc/2402181505_XINGLIGHT-XL-1608UOC-06_C965800.pdf</t>
    </r>
  </si>
  <si>
    <r>
      <rPr>
        <u val="single"/>
        <sz val="10"/>
        <color indexed="8"/>
        <rFont val="Arial"/>
      </rPr>
      <t>C965801</t>
    </r>
  </si>
  <si>
    <t>C965801</t>
  </si>
  <si>
    <t>600nm~610nm</t>
  </si>
  <si>
    <t>XL-1608UOC-04</t>
  </si>
  <si>
    <r>
      <rPr>
        <sz val="10"/>
        <color indexed="8"/>
        <rFont val="Arial"/>
      </rPr>
      <t>LED_Yellow_0603_20mA</t>
    </r>
  </si>
  <si>
    <r>
      <rPr>
        <sz val="10"/>
        <color indexed="8"/>
        <rFont val="Arial"/>
      </rPr>
      <t>Yellow LED clear 2.3V 20mA 450mcd</t>
    </r>
  </si>
  <si>
    <r>
      <rPr>
        <u val="single"/>
        <sz val="10"/>
        <color indexed="8"/>
        <rFont val="Arial"/>
      </rPr>
      <t>C965803</t>
    </r>
  </si>
  <si>
    <r>
      <rPr>
        <sz val="10"/>
        <color indexed="8"/>
        <rFont val="Arial"/>
      </rPr>
      <t>Yellow</t>
    </r>
  </si>
  <si>
    <t>Yellow</t>
  </si>
  <si>
    <t>C965803</t>
  </si>
  <si>
    <t>20mA 450mcd Colorless transparent -20℃~+85℃ 585nm~595nm Positive Stick Yellow 120° 50mW 2.3V 0603 LED Indication</t>
  </si>
  <si>
    <t>585nm~595nm</t>
  </si>
  <si>
    <t>450</t>
  </si>
  <si>
    <t>XL-1608UYC-04</t>
  </si>
  <si>
    <r>
      <rPr>
        <u val="single"/>
        <sz val="10"/>
        <color indexed="8"/>
        <rFont val="Arial"/>
      </rPr>
      <t>https://wmsc.lcsc.com/wmsc/upload/file/pdf/v2/lcsc/2402181505_XINGLIGHT-XL-1608UOC-04_C965801.pdf</t>
    </r>
  </si>
  <si>
    <r>
      <rPr>
        <sz val="10"/>
        <color indexed="8"/>
        <rFont val="Arial"/>
      </rPr>
      <t>LED_Red_0603_20mA</t>
    </r>
  </si>
  <si>
    <r>
      <rPr>
        <sz val="10"/>
        <color indexed="8"/>
        <rFont val="Arial"/>
      </rPr>
      <t>Red LED clear 2.2V 20mA 150mcd</t>
    </r>
  </si>
  <si>
    <r>
      <rPr>
        <u val="single"/>
        <sz val="10"/>
        <color indexed="8"/>
        <rFont val="Arial"/>
      </rPr>
      <t>C7288939</t>
    </r>
  </si>
  <si>
    <r>
      <rPr>
        <sz val="10"/>
        <color indexed="8"/>
        <rFont val="Arial"/>
      </rPr>
      <t>Red</t>
    </r>
  </si>
  <si>
    <t>Red</t>
  </si>
  <si>
    <t>C7288939</t>
  </si>
  <si>
    <t>20mA 150mcd 622nm Red 120° 2.2V 0603 LED Indication</t>
  </si>
  <si>
    <t>150</t>
  </si>
  <si>
    <t>Inolux</t>
  </si>
  <si>
    <t>IN-S63ASR</t>
  </si>
  <si>
    <r>
      <rPr>
        <u val="single"/>
        <sz val="10"/>
        <color indexed="8"/>
        <rFont val="Arial"/>
      </rPr>
      <t>https://wmsc.lcsc.com/wmsc/upload/file/pdf/v2/lcsc/2404241146_Inolux-IN-S63ASR_C7288939.pdf</t>
    </r>
  </si>
  <si>
    <r>
      <rPr>
        <sz val="10"/>
        <color indexed="8"/>
        <rFont val="Arial"/>
      </rPr>
      <t>Red LED clear 2.3V 20mA 330mcd</t>
    </r>
  </si>
  <si>
    <r>
      <rPr>
        <u val="single"/>
        <sz val="10"/>
        <color indexed="8"/>
        <rFont val="Arial"/>
      </rPr>
      <t>C965799</t>
    </r>
  </si>
  <si>
    <t>C965799</t>
  </si>
  <si>
    <t>20mA 330mcd Colorless transparent -20℃~+85℃ Positive Stick 620nm~630nm Red 120° 50mW 2.3V 0603 LED Indication</t>
  </si>
  <si>
    <t>330</t>
  </si>
  <si>
    <t>XL-1608SURC-06</t>
  </si>
  <si>
    <r>
      <rPr>
        <u val="single"/>
        <sz val="10"/>
        <color indexed="8"/>
        <rFont val="Arial"/>
      </rPr>
      <t>https://wmsc.lcsc.com/wmsc/upload/file/pdf/v2/lcsc/2402181505_XINGLIGHT-XL-1608SURC-06_C965799.pdf</t>
    </r>
  </si>
  <si>
    <r>
      <rPr>
        <sz val="10"/>
        <color indexed="8"/>
        <rFont val="Arial"/>
      </rPr>
      <t>Red LED clear 2.4V 20mA 360mcd</t>
    </r>
  </si>
  <si>
    <r>
      <rPr>
        <u val="single"/>
        <sz val="10"/>
        <color indexed="8"/>
        <rFont val="Arial"/>
      </rPr>
      <t>C965798</t>
    </r>
  </si>
  <si>
    <t>C965798</t>
  </si>
  <si>
    <t>20mA 360mcd Colorless transparent 615nm~625nm -20℃~+85℃ Positive Stick Red 120° 50mW 2.4V 0603 LED Indication</t>
  </si>
  <si>
    <t>615nm~625nm</t>
  </si>
  <si>
    <t>360</t>
  </si>
  <si>
    <t xml:space="preserve">XL-1608SURC-04
</t>
  </si>
  <si>
    <r>
      <rPr>
        <u val="single"/>
        <sz val="10"/>
        <color indexed="8"/>
        <rFont val="Arial"/>
      </rPr>
      <t>https://wmsc.lcsc.com/wmsc/upload/file/pdf/v2/lcsc/2402181505_XINGLIGHT-XL-1608SURC-04_C965798.pdf</t>
    </r>
  </si>
  <si>
    <r>
      <rPr>
        <sz val="10"/>
        <color indexed="8"/>
        <rFont val="Arial"/>
      </rPr>
      <t>LED_WS2812B_SMD5050</t>
    </r>
  </si>
  <si>
    <r>
      <rPr>
        <sz val="10"/>
        <color indexed="8"/>
        <rFont val="Arial"/>
      </rPr>
      <t>WS2812B LED WS2812B-WS2812B5050 5v 12mA</t>
    </r>
  </si>
  <si>
    <r>
      <rPr>
        <u val="single"/>
        <sz val="10"/>
        <color indexed="8"/>
        <rFont val="Arial"/>
      </rPr>
      <t>C2843785</t>
    </r>
  </si>
  <si>
    <r>
      <rPr>
        <sz val="10"/>
        <color indexed="8"/>
        <rFont val="Arial"/>
      </rPr>
      <t>WS2812B</t>
    </r>
  </si>
  <si>
    <t>WS2812B</t>
  </si>
  <si>
    <t>WS2812B-WS2812B5050</t>
  </si>
  <si>
    <t>C2843785</t>
  </si>
  <si>
    <t>SMD5050 RGB LEDs(Built-in IC) NeoPixel</t>
  </si>
  <si>
    <t>SMD5050</t>
  </si>
  <si>
    <t>5v</t>
  </si>
  <si>
    <t>12mA</t>
  </si>
  <si>
    <t>XL-5050RGBC-WS2812B</t>
  </si>
  <si>
    <t>SPCoast:WS2812B</t>
  </si>
  <si>
    <r>
      <rPr>
        <u val="single"/>
        <sz val="10"/>
        <color indexed="8"/>
        <rFont val="Arial"/>
      </rPr>
      <t>https://www.lcsc.com/datasheet/lcsc_datasheet_2404120946_XINGLIGHT-XL-5050RGBC-WS2812B_C2843785.pdf</t>
    </r>
  </si>
  <si>
    <r>
      <rPr>
        <sz val="10"/>
        <color indexed="8"/>
        <rFont val="Arial"/>
      </rPr>
      <t>REG_AMS1117-ADJ_SOT-223-3</t>
    </r>
  </si>
  <si>
    <r>
      <rPr>
        <sz val="10"/>
        <color indexed="8"/>
        <rFont val="Arial"/>
      </rPr>
      <t>AMS1117-ADJ ADJ 1.25-10.5v 1A</t>
    </r>
  </si>
  <si>
    <r>
      <rPr>
        <sz val="10"/>
        <color indexed="8"/>
        <rFont val="Arial"/>
      </rPr>
      <t>AMS1117-ADJ REG ADJ 1.25-10.5v 1A</t>
    </r>
  </si>
  <si>
    <r>
      <rPr>
        <u val="single"/>
        <sz val="10"/>
        <color indexed="8"/>
        <rFont val="Arial"/>
      </rPr>
      <t>C5345985</t>
    </r>
  </si>
  <si>
    <r>
      <rPr>
        <sz val="10"/>
        <color indexed="8"/>
        <rFont val="Arial"/>
      </rPr>
      <t>AMS1117-ADJ</t>
    </r>
  </si>
  <si>
    <t>REG</t>
  </si>
  <si>
    <t>AMS1117-ADJ</t>
  </si>
  <si>
    <t>ADJ</t>
  </si>
  <si>
    <t>C5345985</t>
  </si>
  <si>
    <r>
      <rPr>
        <sz val="10"/>
        <color indexed="8"/>
        <rFont val="American Typewriter"/>
      </rPr>
      <t>1A Low Dropout regulator positive adjustable output / fixed: 1.5V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(V</t>
    </r>
    <r>
      <rPr>
        <sz val="5"/>
        <color indexed="8"/>
        <rFont val="American Typewriter"/>
      </rPr>
      <t>IN</t>
    </r>
    <r>
      <rPr>
        <sz val="10"/>
        <color indexed="8"/>
        <rFont val="American Typewriter"/>
      </rPr>
      <t xml:space="preserve"> - V</t>
    </r>
    <r>
      <rPr>
        <sz val="5"/>
        <color indexed="8"/>
        <rFont val="American Typewriter"/>
      </rPr>
      <t>OUT</t>
    </r>
    <r>
      <rPr>
        <sz val="10"/>
        <color indexed="8"/>
        <rFont val="American Typewriter"/>
      </rPr>
      <t xml:space="preserve">) 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12V 1.5V 1.8V 2.5V 2.85V 3.3V and 5.0V</t>
    </r>
  </si>
  <si>
    <t>SOT-223-3</t>
  </si>
  <si>
    <t>1.25-10.5v</t>
  </si>
  <si>
    <t>1A</t>
  </si>
  <si>
    <t>HXY MOSFET</t>
  </si>
  <si>
    <t>SPCoast:AMS1117</t>
  </si>
  <si>
    <t>SPCoast:SOT-223-3_TabPin2</t>
  </si>
  <si>
    <r>
      <rPr>
        <u val="single"/>
        <sz val="10"/>
        <color indexed="8"/>
        <rFont val="Arial"/>
      </rPr>
      <t>https://wmsc.lcsc.com/wmsc/upload/file/pdf/v2/lcsc/2301120930_HXY-MOSFET-AMS1117-ADJ_C5345985.pdf</t>
    </r>
  </si>
  <si>
    <r>
      <rPr>
        <sz val="10"/>
        <color indexed="8"/>
        <rFont val="Arial"/>
      </rPr>
      <t>REG_AMS1117-3.3_SOT-223-3</t>
    </r>
  </si>
  <si>
    <r>
      <rPr>
        <sz val="10"/>
        <color indexed="8"/>
        <rFont val="Arial"/>
      </rPr>
      <t>AMS1117-3.3 3v3 3v3 1A</t>
    </r>
  </si>
  <si>
    <r>
      <rPr>
        <sz val="10"/>
        <color indexed="8"/>
        <rFont val="Arial"/>
      </rPr>
      <t>AMS1117-3.3 REG 3v3 3v3 1A</t>
    </r>
  </si>
  <si>
    <r>
      <rPr>
        <u val="single"/>
        <sz val="10"/>
        <color indexed="8"/>
        <rFont val="Arial"/>
      </rPr>
      <t>C5345982</t>
    </r>
  </si>
  <si>
    <r>
      <rPr>
        <sz val="10"/>
        <color indexed="8"/>
        <rFont val="Arial"/>
      </rPr>
      <t>AMS1117-3.3</t>
    </r>
  </si>
  <si>
    <t>AMS1117-3.3</t>
  </si>
  <si>
    <t>3v3</t>
  </si>
  <si>
    <t>C5345982</t>
  </si>
  <si>
    <t>1A Low Dropout regulator positive fixed 3.3V</t>
  </si>
  <si>
    <r>
      <rPr>
        <u val="single"/>
        <sz val="10"/>
        <color indexed="8"/>
        <rFont val="Arial"/>
      </rPr>
      <t>https://wmsc.lcsc.com/wmsc/upload/file/pdf/v2/lcsc/2301120930_HXY-MOSFET-AMS1117-3-3_C5345982.pdf</t>
    </r>
  </si>
  <si>
    <r>
      <rPr>
        <sz val="10"/>
        <color indexed="8"/>
        <rFont val="Arial"/>
      </rPr>
      <t>REG_AMS1117-5.0_SOT-223-3</t>
    </r>
  </si>
  <si>
    <r>
      <rPr>
        <sz val="10"/>
        <color indexed="8"/>
        <rFont val="Arial"/>
      </rPr>
      <t>AMS1117-5.0 5v 5v0 1A</t>
    </r>
  </si>
  <si>
    <r>
      <rPr>
        <sz val="10"/>
        <color indexed="8"/>
        <rFont val="Arial"/>
      </rPr>
      <t>AMS1117-5.0 REG 5v 5v0 1A</t>
    </r>
  </si>
  <si>
    <r>
      <rPr>
        <u val="single"/>
        <sz val="10"/>
        <color indexed="8"/>
        <rFont val="Arial"/>
      </rPr>
      <t>C5345984</t>
    </r>
  </si>
  <si>
    <r>
      <rPr>
        <sz val="10"/>
        <color indexed="8"/>
        <rFont val="Arial"/>
      </rPr>
      <t>AMS1117-5.0</t>
    </r>
  </si>
  <si>
    <t>AMS1117-5.0</t>
  </si>
  <si>
    <t>C5345984</t>
  </si>
  <si>
    <t>1A Low Dropout regulator positive fixed 5.0V</t>
  </si>
  <si>
    <t>5v0</t>
  </si>
  <si>
    <r>
      <rPr>
        <u val="single"/>
        <sz val="10"/>
        <color indexed="8"/>
        <rFont val="Arial"/>
      </rPr>
      <t>https://wmsc.lcsc.com/wmsc/upload/file/pdf/v2/lcsc/2301120930_HXY-MOSFET-AMS1117-5-0_C5345984.pdf</t>
    </r>
  </si>
  <si>
    <r>
      <rPr>
        <sz val="10"/>
        <color indexed="8"/>
        <rFont val="Arial"/>
      </rPr>
      <t>REG_78L05_TO-220</t>
    </r>
  </si>
  <si>
    <r>
      <rPr>
        <sz val="10"/>
        <color indexed="8"/>
        <rFont val="Arial"/>
      </rPr>
      <t>78L05 5v 5v 1A</t>
    </r>
  </si>
  <si>
    <r>
      <rPr>
        <sz val="10"/>
        <color indexed="8"/>
        <rFont val="Arial"/>
      </rPr>
      <t>78L05 REG 5v 5v 1A</t>
    </r>
  </si>
  <si>
    <r>
      <rPr>
        <sz val="10"/>
        <color indexed="8"/>
        <rFont val="Arial"/>
      </rPr>
      <t>78L05</t>
    </r>
  </si>
  <si>
    <t>78L05</t>
  </si>
  <si>
    <t>Linear Voltage Regulator IC Positive Fixed 1 Output 1A TO-220</t>
  </si>
  <si>
    <t>TO-220</t>
  </si>
  <si>
    <r>
      <rPr>
        <sz val="10"/>
        <color indexed="8"/>
        <rFont val="Arial"/>
      </rPr>
      <t>REG_78M05_TO-252-2</t>
    </r>
  </si>
  <si>
    <r>
      <rPr>
        <sz val="10"/>
        <color indexed="8"/>
        <rFont val="Arial"/>
      </rPr>
      <t>78M05 5v 5v 1A</t>
    </r>
  </si>
  <si>
    <r>
      <rPr>
        <sz val="10"/>
        <color indexed="8"/>
        <rFont val="Arial"/>
      </rPr>
      <t>78M05 REG 5v 5v 1A</t>
    </r>
  </si>
  <si>
    <r>
      <rPr>
        <u val="single"/>
        <sz val="10"/>
        <color indexed="8"/>
        <rFont val="Arial"/>
      </rPr>
      <t>C347278</t>
    </r>
  </si>
  <si>
    <t>78M05</t>
  </si>
  <si>
    <t>C347278</t>
  </si>
  <si>
    <t>Linear Voltage Regulator IC Positive Fixed 1 Output 1A TO-252</t>
  </si>
  <si>
    <t>TO-252-2</t>
  </si>
  <si>
    <t>UMW</t>
  </si>
  <si>
    <t>Regulator_Linear:LM78M05_TO252</t>
  </si>
  <si>
    <t>Package_TO_SOT_SMD:TO-252-2</t>
  </si>
  <si>
    <r>
      <rPr>
        <u val="single"/>
        <sz val="10"/>
        <color indexed="8"/>
        <rFont val="Arial"/>
      </rPr>
      <t>https://www.lcsc.com/datasheet/C347278.pdf?spm=wm.sxq.inf.ggs&amp;lcsc_vid=TlhaVVxSFQRdBQZVQVQPVAdWFABYBlFeRFMKUQcARlMxVlNRQ1hWVlFTTllbUDsOAxUeFF5JWBYZEEoKFBINSQcJGk4dAgUUFAk=</t>
    </r>
  </si>
  <si>
    <r>
      <rPr>
        <sz val="10"/>
        <color indexed="8"/>
        <rFont val="Arial"/>
      </rPr>
      <t>RLY_G2RL-2_29x12.7x15.7mm</t>
    </r>
  </si>
  <si>
    <r>
      <rPr>
        <sz val="10"/>
        <color indexed="8"/>
        <rFont val="Arial"/>
      </rPr>
      <t>G2RL-2 24v DPDT 24v 8A</t>
    </r>
  </si>
  <si>
    <r>
      <rPr>
        <sz val="10"/>
        <color indexed="8"/>
        <rFont val="Arial"/>
      </rPr>
      <t>G2RL-2 RLY 24v DPDT 24v 8A</t>
    </r>
  </si>
  <si>
    <r>
      <rPr>
        <sz val="10"/>
        <color indexed="8"/>
        <rFont val="Arial"/>
      </rPr>
      <t>G2RL-2</t>
    </r>
  </si>
  <si>
    <t>RLY</t>
  </si>
  <si>
    <t>G2RL-2</t>
  </si>
  <si>
    <t>24v DPDT</t>
  </si>
  <si>
    <t>DPDT Low profile power relay 15.7mmH</t>
  </si>
  <si>
    <t>29x12.7x15.7mm</t>
  </si>
  <si>
    <t>24v</t>
  </si>
  <si>
    <t>8A</t>
  </si>
  <si>
    <t>Omron</t>
  </si>
  <si>
    <t>G2RL-2 / 24v</t>
  </si>
  <si>
    <t>SPCoast:G2RL-2</t>
  </si>
  <si>
    <t>SPCoast:Relay_DPDT_Omron_G2RL-2</t>
  </si>
  <si>
    <r>
      <rPr>
        <u val="single"/>
        <sz val="10"/>
        <color indexed="8"/>
        <rFont val="Arial"/>
      </rPr>
      <t>https://omronfs.omron.com/en_US/ecb/products/pdf/en-g2rl.pdf</t>
    </r>
  </si>
  <si>
    <r>
      <rPr>
        <sz val="10"/>
        <color indexed="8"/>
        <rFont val="Arial"/>
      </rPr>
      <t>Q_NPN_600mA_SOT-23_MMBT2222LT1G</t>
    </r>
  </si>
  <si>
    <r>
      <rPr>
        <sz val="10"/>
        <color indexed="8"/>
        <rFont val="Arial"/>
      </rPr>
      <t>MMBT2222LT1G NPN 30V 600mA 300mW</t>
    </r>
  </si>
  <si>
    <r>
      <rPr>
        <sz val="10"/>
        <color indexed="8"/>
        <rFont val="Arial"/>
      </rPr>
      <t>MMBT2222LT1G Q NPN 30V 600mA 300mW</t>
    </r>
  </si>
  <si>
    <r>
      <rPr>
        <sz val="10"/>
        <color indexed="8"/>
        <rFont val="Arial"/>
      </rPr>
      <t>MMBT2222LT1G</t>
    </r>
  </si>
  <si>
    <t>Q</t>
  </si>
  <si>
    <t>NPN</t>
  </si>
  <si>
    <t>NPN 30 V 600 mA 250MHz 300 mW Surface Mount SOT-23-3 (TO-236)</t>
  </si>
  <si>
    <t>600mA</t>
  </si>
  <si>
    <t>300mW</t>
  </si>
  <si>
    <t>ONSemi</t>
  </si>
  <si>
    <t>MMBT2222LT1G</t>
  </si>
  <si>
    <t>Device:Q_NPN_BEC</t>
  </si>
  <si>
    <r>
      <rPr>
        <sz val="10"/>
        <color indexed="8"/>
        <rFont val="Arial"/>
      </rPr>
      <t>Q_NPN_200mA_SOT-23_MMBT3904</t>
    </r>
  </si>
  <si>
    <r>
      <rPr>
        <sz val="10"/>
        <color indexed="8"/>
        <rFont val="Arial"/>
      </rPr>
      <t>MMBT3904 NPN 40V 200mA 200mW</t>
    </r>
  </si>
  <si>
    <r>
      <rPr>
        <sz val="10"/>
        <color indexed="8"/>
        <rFont val="Arial"/>
      </rPr>
      <t>MMBT3904 Q NPN 40V 200mA 200mW</t>
    </r>
  </si>
  <si>
    <r>
      <rPr>
        <u val="single"/>
        <sz val="10"/>
        <color indexed="8"/>
        <rFont val="Arial"/>
      </rPr>
      <t>C5184404</t>
    </r>
  </si>
  <si>
    <r>
      <rPr>
        <sz val="10"/>
        <color indexed="8"/>
        <rFont val="Arial"/>
      </rPr>
      <t>MMBT3904</t>
    </r>
  </si>
  <si>
    <t>C5184404</t>
  </si>
  <si>
    <t>NPN 40V 200mW 100@10mA 1V 200mA NPN SOT-23</t>
  </si>
  <si>
    <t>40V</t>
  </si>
  <si>
    <t>200mA</t>
  </si>
  <si>
    <t>MMBT3904</t>
  </si>
  <si>
    <r>
      <rPr>
        <u val="single"/>
        <sz val="10"/>
        <color indexed="8"/>
        <rFont val="Arial"/>
      </rPr>
      <t>https://wmsc.lcsc.com/wmsc/upload/file/pdf/v2/lcsc/2407151447_HXY-MOSFET-MMBT3904_C5184404.pdf</t>
    </r>
  </si>
  <si>
    <r>
      <rPr>
        <sz val="10"/>
        <color indexed="8"/>
        <rFont val="Arial"/>
      </rPr>
      <t>Q_PNP_500mA_SOT-23_BC807</t>
    </r>
  </si>
  <si>
    <r>
      <rPr>
        <sz val="10"/>
        <color indexed="8"/>
        <rFont val="Arial"/>
      </rPr>
      <t>BC807 PNP 45V 500mA 300mW</t>
    </r>
  </si>
  <si>
    <r>
      <rPr>
        <sz val="10"/>
        <color indexed="8"/>
        <rFont val="Arial"/>
      </rPr>
      <t>BC807 Q PNP 45V 500mA 300mW</t>
    </r>
  </si>
  <si>
    <r>
      <rPr>
        <u val="single"/>
        <sz val="10"/>
        <color indexed="8"/>
        <rFont val="Arial"/>
      </rPr>
      <t>C5184433</t>
    </r>
  </si>
  <si>
    <r>
      <rPr>
        <sz val="10"/>
        <color indexed="8"/>
        <rFont val="Arial"/>
      </rPr>
      <t>BC807</t>
    </r>
  </si>
  <si>
    <t>BC807</t>
  </si>
  <si>
    <t>PNP</t>
  </si>
  <si>
    <t>C5184433</t>
  </si>
  <si>
    <t>PNP 45V 300mW 250@100mA 1V 500mA PNP SOT-23</t>
  </si>
  <si>
    <t>45V</t>
  </si>
  <si>
    <t>500mA</t>
  </si>
  <si>
    <t>BC807-40</t>
  </si>
  <si>
    <t>Device:Q_PNP_BEC</t>
  </si>
  <si>
    <r>
      <rPr>
        <u val="single"/>
        <sz val="10"/>
        <color indexed="8"/>
        <rFont val="Arial"/>
      </rPr>
      <t>https://wmsc.lcsc.com/wmsc/upload/file/pdf/v2/lcsc/2303091430_HXY-MOSFET-BC807-40_C5184433.pdf</t>
    </r>
  </si>
  <si>
    <r>
      <rPr>
        <sz val="10"/>
        <color indexed="8"/>
        <rFont val="Arial"/>
      </rPr>
      <t>Q_N-FET_300mA_SO-8_2N7002</t>
    </r>
  </si>
  <si>
    <r>
      <rPr>
        <sz val="10"/>
        <color indexed="8"/>
        <rFont val="Arial"/>
      </rPr>
      <t>2N7002 N-FET 60v 300mA</t>
    </r>
  </si>
  <si>
    <r>
      <rPr>
        <sz val="10"/>
        <color indexed="8"/>
        <rFont val="Arial"/>
      </rPr>
      <t>2N7002 Q N-FET 60v 300mA</t>
    </r>
  </si>
  <si>
    <r>
      <rPr>
        <u val="single"/>
        <sz val="10"/>
        <color indexed="8"/>
        <rFont val="Arial"/>
      </rPr>
      <t>C5224215</t>
    </r>
  </si>
  <si>
    <r>
      <rPr>
        <sz val="10"/>
        <color indexed="8"/>
        <rFont val="Arial"/>
      </rPr>
      <t>2N7002</t>
    </r>
  </si>
  <si>
    <t>N-FET</t>
  </si>
  <si>
    <t>C5224215</t>
  </si>
  <si>
    <t>60V 300mA 1.5@10V 500mA 200mW 1.5V@250uA N-Channel SOT-23 MOSFETs</t>
  </si>
  <si>
    <t>60v</t>
  </si>
  <si>
    <t>300mA</t>
  </si>
  <si>
    <t>ElecSuper</t>
  </si>
  <si>
    <t>2N7002</t>
  </si>
  <si>
    <t>Device:Q_NMOS_GSD</t>
  </si>
  <si>
    <r>
      <rPr>
        <u val="single"/>
        <sz val="10"/>
        <color indexed="8"/>
        <rFont val="Arial"/>
      </rPr>
      <t>https://wmsc.lcsc.com/wmsc/upload/file/pdf/v2/lcsc/2210271630_ElecSuper-2N7002_C5224215.pdf</t>
    </r>
  </si>
  <si>
    <r>
      <rPr>
        <sz val="10"/>
        <color indexed="8"/>
        <rFont val="Arial"/>
      </rPr>
      <t>Q_N-FET_10A_SOT-23_DMN4468</t>
    </r>
  </si>
  <si>
    <r>
      <rPr>
        <sz val="10"/>
        <color indexed="8"/>
        <rFont val="Arial"/>
      </rPr>
      <t>DMN4468 N-FET 30v 10A</t>
    </r>
  </si>
  <si>
    <r>
      <rPr>
        <sz val="10"/>
        <color indexed="8"/>
        <rFont val="Arial"/>
      </rPr>
      <t>DMN4468 Q N-FET 30v 10A</t>
    </r>
  </si>
  <si>
    <r>
      <rPr>
        <u val="single"/>
        <sz val="10"/>
        <color indexed="8"/>
        <rFont val="Arial"/>
      </rPr>
      <t>C878901</t>
    </r>
  </si>
  <si>
    <r>
      <rPr>
        <sz val="10"/>
        <color indexed="8"/>
        <rFont val="Arial"/>
      </rPr>
      <t>DMN4468</t>
    </r>
  </si>
  <si>
    <t>DMN4468</t>
  </si>
  <si>
    <t>C878901</t>
  </si>
  <si>
    <t>30V 10A 14m@10V00mA N-Channel SO-8 MOSFETs</t>
  </si>
  <si>
    <t>SO-8</t>
  </si>
  <si>
    <t>30v</t>
  </si>
  <si>
    <t>10A</t>
  </si>
  <si>
    <t>Diodes</t>
  </si>
  <si>
    <t>DMN4468LSS</t>
  </si>
  <si>
    <t>SPCoast:MOSFET-N</t>
  </si>
  <si>
    <t>SPCoast:SO-8</t>
  </si>
  <si>
    <r>
      <rPr>
        <u val="single"/>
        <sz val="10"/>
        <color indexed="8"/>
        <rFont val="Arial"/>
      </rPr>
      <t>https://www.diodes.com/assets/Datasheets/ds31773.pdf</t>
    </r>
  </si>
  <si>
    <r>
      <rPr>
        <sz val="10"/>
        <color indexed="8"/>
        <rFont val="Arial"/>
      </rPr>
      <t>Q_P-FET_2.3A_0603_2301V</t>
    </r>
  </si>
  <si>
    <r>
      <rPr>
        <sz val="10"/>
        <color indexed="8"/>
        <rFont val="Arial"/>
      </rPr>
      <t>2301V P-FET 20V 2.3A</t>
    </r>
  </si>
  <si>
    <r>
      <rPr>
        <sz val="10"/>
        <color indexed="8"/>
        <rFont val="Arial"/>
      </rPr>
      <t>2301V Q P-FET 20V 2.3A</t>
    </r>
  </si>
  <si>
    <r>
      <rPr>
        <u val="single"/>
        <sz val="10"/>
        <color indexed="8"/>
        <rFont val="Arial"/>
      </rPr>
      <t>C7499856</t>
    </r>
  </si>
  <si>
    <r>
      <rPr>
        <sz val="10"/>
        <color indexed="8"/>
        <rFont val="Arial"/>
      </rPr>
      <t>2301V</t>
    </r>
  </si>
  <si>
    <t>P-FET</t>
  </si>
  <si>
    <t>C7499856</t>
  </si>
  <si>
    <t>20V 2.3A 95m 1V 1 Piece P-Channel SOT-23 MOSFET</t>
  </si>
  <si>
    <t>20V</t>
  </si>
  <si>
    <t>2.3A</t>
  </si>
  <si>
    <t>HL</t>
  </si>
  <si>
    <t>2301V</t>
  </si>
  <si>
    <t>Device:Q_PMOS_GSD</t>
  </si>
  <si>
    <r>
      <rPr>
        <u val="single"/>
        <sz val="10"/>
        <color indexed="8"/>
        <rFont val="Arial"/>
      </rPr>
      <t>https://wmsc.lcsc.com/wmsc/upload/file/pdf/v2/lcsc/2310251707_HL-2301V_C7499856.pdf</t>
    </r>
  </si>
  <si>
    <r>
      <rPr>
        <sz val="10"/>
        <color indexed="8"/>
        <rFont val="Arial"/>
      </rPr>
      <t>RES_5%_100mW_0603_200</t>
    </r>
  </si>
  <si>
    <r>
      <rPr>
        <sz val="10"/>
        <color indexed="8"/>
        <rFont val="Arial"/>
      </rPr>
      <t>200 5% thick film 75V 100mW</t>
    </r>
  </si>
  <si>
    <r>
      <rPr>
        <sz val="10"/>
        <color indexed="8"/>
        <rFont val="Arial"/>
      </rPr>
      <t>200 RES 5% thick film 75V 100mW</t>
    </r>
  </si>
  <si>
    <r>
      <rPr>
        <u val="single"/>
        <sz val="10"/>
        <color indexed="8"/>
        <rFont val="Arial"/>
      </rPr>
      <t>C2907123</t>
    </r>
  </si>
  <si>
    <r>
      <rPr>
        <sz val="10"/>
        <color indexed="8"/>
        <rFont val="Arial"/>
      </rPr>
      <t>200</t>
    </r>
  </si>
  <si>
    <t>RES</t>
  </si>
  <si>
    <t>thick film</t>
  </si>
  <si>
    <t>C2907123</t>
  </si>
  <si>
    <t>200 100mW  75V ±100ppm/℃ ±5% 0603</t>
  </si>
  <si>
    <t>200</t>
  </si>
  <si>
    <t>5%</t>
  </si>
  <si>
    <t>75V</t>
  </si>
  <si>
    <t>100mW</t>
  </si>
  <si>
    <t>FOJAN</t>
  </si>
  <si>
    <t>FRC0603J201 TS</t>
  </si>
  <si>
    <t>Device:R_US</t>
  </si>
  <si>
    <t>SPCoast:0603-RES</t>
  </si>
  <si>
    <r>
      <rPr>
        <u val="single"/>
        <sz val="10"/>
        <color indexed="8"/>
        <rFont val="Arial"/>
      </rPr>
      <t>https://wmsc.lcsc.com/wmsc/upload/file/pdf/v2/lcsc/2308241947_FOJAN-FRC0603J201-TS_C2907123.pdf</t>
    </r>
  </si>
  <si>
    <r>
      <rPr>
        <sz val="9"/>
        <color indexed="8"/>
        <rFont val="Arial"/>
      </rPr>
      <t>RES_1%_100mW_0603_220</t>
    </r>
  </si>
  <si>
    <r>
      <rPr>
        <sz val="10"/>
        <color indexed="8"/>
        <rFont val="Arial"/>
      </rPr>
      <t>220 1% thick film 150V 100mW</t>
    </r>
  </si>
  <si>
    <r>
      <rPr>
        <sz val="10"/>
        <color indexed="8"/>
        <rFont val="Arial"/>
      </rPr>
      <t>220 RES 1% thick film 150V 100mW</t>
    </r>
  </si>
  <si>
    <r>
      <rPr>
        <u val="single"/>
        <sz val="10"/>
        <color indexed="8"/>
        <rFont val="Arial"/>
      </rPr>
      <t>C5842375</t>
    </r>
  </si>
  <si>
    <r>
      <rPr>
        <sz val="10"/>
        <color indexed="8"/>
        <rFont val="Arial"/>
      </rPr>
      <t>220</t>
    </r>
  </si>
  <si>
    <t>C5842375</t>
  </si>
  <si>
    <t>220 100mW s 150V ±100ppm/℃ ±1% 0603</t>
  </si>
  <si>
    <t>220</t>
  </si>
  <si>
    <t>1%</t>
  </si>
  <si>
    <t>150V</t>
  </si>
  <si>
    <t>RC0603FR-13220RL</t>
  </si>
  <si>
    <r>
      <rPr>
        <u val="single"/>
        <sz val="10"/>
        <color indexed="8"/>
        <rFont val="Arial"/>
      </rPr>
      <t>https://wmsc.lcsc.com/wmsc/upload/file/pdf/v2/lcsc/2312030915_YAGEO-RC0603FR-13220RL_C5842375.pdf</t>
    </r>
  </si>
  <si>
    <r>
      <rPr>
        <sz val="9"/>
        <color indexed="8"/>
        <rFont val="Arial"/>
      </rPr>
      <t>RES_5%_100mW_0603_220</t>
    </r>
  </si>
  <si>
    <r>
      <rPr>
        <sz val="10"/>
        <color indexed="8"/>
        <rFont val="Arial"/>
      </rPr>
      <t>220 5% thick film 75V 100mW</t>
    </r>
  </si>
  <si>
    <r>
      <rPr>
        <sz val="10"/>
        <color indexed="8"/>
        <rFont val="Arial"/>
      </rPr>
      <t>220 RES 5% thick film 75V 100mW</t>
    </r>
  </si>
  <si>
    <r>
      <rPr>
        <u val="single"/>
        <sz val="10"/>
        <color indexed="8"/>
        <rFont val="Arial"/>
      </rPr>
      <t>C1226</t>
    </r>
  </si>
  <si>
    <t>C1226</t>
  </si>
  <si>
    <t>220 100mW  75V ±100ppm/℃ ±5% 0603</t>
  </si>
  <si>
    <t>UNI-ROYAL</t>
  </si>
  <si>
    <t>0603WAJ0221T5E</t>
  </si>
  <si>
    <r>
      <rPr>
        <u val="single"/>
        <sz val="10"/>
        <color indexed="8"/>
        <rFont val="Arial"/>
      </rPr>
      <t>https://www.lcsc.com/datasheet/lcsc_datasheet_2206010230_UNI-ROYAL-Uniroyal-Elec-0603WAJ0221T5E_C1226.pdf</t>
    </r>
  </si>
  <si>
    <r>
      <rPr>
        <sz val="9"/>
        <color indexed="8"/>
        <rFont val="Arial"/>
      </rPr>
      <t>RES_5%_100mW_0603_330</t>
    </r>
  </si>
  <si>
    <r>
      <rPr>
        <sz val="10"/>
        <color indexed="8"/>
        <rFont val="Arial"/>
      </rPr>
      <t>330 5% thick film 75V 100mW</t>
    </r>
  </si>
  <si>
    <r>
      <rPr>
        <sz val="10"/>
        <color indexed="8"/>
        <rFont val="Arial"/>
      </rPr>
      <t>330 RES 5% thick film 75V 100mW</t>
    </r>
  </si>
  <si>
    <r>
      <rPr>
        <u val="single"/>
        <sz val="10"/>
        <color indexed="8"/>
        <rFont val="Arial"/>
      </rPr>
      <t>C25231</t>
    </r>
  </si>
  <si>
    <r>
      <rPr>
        <sz val="10"/>
        <color indexed="8"/>
        <rFont val="Arial"/>
      </rPr>
      <t>330</t>
    </r>
  </si>
  <si>
    <t>C25231</t>
  </si>
  <si>
    <t>330 100mW  75V ±100ppm/℃ ±5% 0603</t>
  </si>
  <si>
    <t>0603WAJ0331T5E</t>
  </si>
  <si>
    <r>
      <rPr>
        <u val="single"/>
        <sz val="10"/>
        <color indexed="8"/>
        <rFont val="Arial"/>
      </rPr>
      <t>https://www.lcsc.com/datasheet/lcsc_datasheet_2205311845_UNI-ROYAL-Uniroyal-Elec-0603WAJ0331T5E_C25231.pdf</t>
    </r>
  </si>
  <si>
    <r>
      <rPr>
        <sz val="9"/>
        <color indexed="8"/>
        <rFont val="Arial"/>
      </rPr>
      <t>RES_5%_100mW_0603_470</t>
    </r>
  </si>
  <si>
    <r>
      <rPr>
        <sz val="10"/>
        <color indexed="8"/>
        <rFont val="Arial"/>
      </rPr>
      <t>470 5% thick film 75V 100mW</t>
    </r>
  </si>
  <si>
    <r>
      <rPr>
        <sz val="10"/>
        <color indexed="8"/>
        <rFont val="Arial"/>
      </rPr>
      <t>470 RES 5% thick film 75V 100mW</t>
    </r>
  </si>
  <si>
    <r>
      <rPr>
        <u val="single"/>
        <sz val="10"/>
        <color indexed="8"/>
        <rFont val="Arial"/>
      </rPr>
      <t>C25241</t>
    </r>
  </si>
  <si>
    <r>
      <rPr>
        <sz val="10"/>
        <color indexed="8"/>
        <rFont val="Arial"/>
      </rPr>
      <t>470</t>
    </r>
  </si>
  <si>
    <t>C25241</t>
  </si>
  <si>
    <t>470 100mW  75V ±100ppm/℃ ±5% 0603</t>
  </si>
  <si>
    <t>470</t>
  </si>
  <si>
    <t>0603WAJ0471T5E</t>
  </si>
  <si>
    <r>
      <rPr>
        <u val="single"/>
        <sz val="10"/>
        <color indexed="8"/>
        <rFont val="Arial"/>
      </rPr>
      <t>https://www.lcsc.com/datasheet/lcsc_datasheet_2205311845_UNI-ROYAL-Uniroyal-Elec-0603WAJ0471T5E_C25241.pdf</t>
    </r>
  </si>
  <si>
    <r>
      <rPr>
        <sz val="9"/>
        <color indexed="8"/>
        <rFont val="Arial"/>
      </rPr>
      <t>RES_5%_100mW_0603_1K</t>
    </r>
  </si>
  <si>
    <r>
      <rPr>
        <sz val="10"/>
        <color indexed="8"/>
        <rFont val="Arial"/>
      </rPr>
      <t>1K 5% thick film 75V 100mW</t>
    </r>
  </si>
  <si>
    <r>
      <rPr>
        <sz val="10"/>
        <color indexed="8"/>
        <rFont val="Arial"/>
      </rPr>
      <t>1K RES 5% thick film 75V 100mW</t>
    </r>
  </si>
  <si>
    <r>
      <rPr>
        <u val="single"/>
        <sz val="10"/>
        <color indexed="8"/>
        <rFont val="Arial"/>
      </rPr>
      <t>C25585</t>
    </r>
  </si>
  <si>
    <r>
      <rPr>
        <sz val="10"/>
        <color indexed="8"/>
        <rFont val="Arial"/>
      </rPr>
      <t>1K</t>
    </r>
  </si>
  <si>
    <t>C25585</t>
  </si>
  <si>
    <t>1k 100mW  75V ±100ppm/℃ ±5% 0603</t>
  </si>
  <si>
    <t>1K</t>
  </si>
  <si>
    <t>0603WAJ0102T5E</t>
  </si>
  <si>
    <r>
      <rPr>
        <u val="single"/>
        <sz val="10"/>
        <color indexed="8"/>
        <rFont val="Arial"/>
      </rPr>
      <t>https://www.lcsc.com/datasheet/lcsc_datasheet_2206010100_UNI-ROYAL-Uniroyal-Elec-0603WAJ0102T5E_C25585.pdf</t>
    </r>
  </si>
  <si>
    <r>
      <rPr>
        <sz val="9"/>
        <color indexed="8"/>
        <rFont val="Arial"/>
      </rPr>
      <t>RES_5%_100mW_0603_2.2K</t>
    </r>
  </si>
  <si>
    <r>
      <rPr>
        <sz val="10"/>
        <color indexed="8"/>
        <rFont val="Arial"/>
      </rPr>
      <t>2.2K 5% thick film 75V 100mW</t>
    </r>
  </si>
  <si>
    <r>
      <rPr>
        <sz val="10"/>
        <color indexed="8"/>
        <rFont val="Arial"/>
      </rPr>
      <t>2.2K RES 5% thick film 75V 100mW</t>
    </r>
  </si>
  <si>
    <r>
      <rPr>
        <u val="single"/>
        <sz val="10"/>
        <color indexed="8"/>
        <rFont val="Arial"/>
      </rPr>
      <t>C25992</t>
    </r>
  </si>
  <si>
    <r>
      <rPr>
        <sz val="10"/>
        <color indexed="8"/>
        <rFont val="Arial"/>
      </rPr>
      <t>2.2K</t>
    </r>
  </si>
  <si>
    <t>C25992</t>
  </si>
  <si>
    <t>2.2k 100mW  75V ±100ppm/℃ ±5% 0603</t>
  </si>
  <si>
    <t>2.2K</t>
  </si>
  <si>
    <t>0603WAJ0222T5E</t>
  </si>
  <si>
    <r>
      <rPr>
        <u val="single"/>
        <sz val="10"/>
        <color indexed="8"/>
        <rFont val="Arial"/>
      </rPr>
      <t>https://www.lcsc.com/datasheet/lcsc_datasheet_2206010045_UNI-ROYAL-Uniroyal-Elec-0603WAJ0222T5E_C25992.pdf</t>
    </r>
  </si>
  <si>
    <r>
      <rPr>
        <sz val="9"/>
        <color indexed="8"/>
        <rFont val="Arial"/>
      </rPr>
      <t>RES_1%_100mW_0603_3.3K</t>
    </r>
  </si>
  <si>
    <r>
      <rPr>
        <sz val="10"/>
        <color indexed="8"/>
        <rFont val="Arial"/>
      </rPr>
      <t>3.3K 1% thick film 75V 100mW</t>
    </r>
  </si>
  <si>
    <r>
      <rPr>
        <sz val="10"/>
        <color indexed="8"/>
        <rFont val="Arial"/>
      </rPr>
      <t>3.3K RES 1% thick film 75V 100mW</t>
    </r>
  </si>
  <si>
    <r>
      <rPr>
        <u val="single"/>
        <sz val="10"/>
        <color indexed="8"/>
        <rFont val="Arial"/>
      </rPr>
      <t>C2907023</t>
    </r>
  </si>
  <si>
    <r>
      <rPr>
        <sz val="10"/>
        <color indexed="8"/>
        <rFont val="Arial"/>
      </rPr>
      <t>3.3K</t>
    </r>
  </si>
  <si>
    <t>C2907023</t>
  </si>
  <si>
    <t>3.3k 100mW s 75V ±100ppm/℃ ±1% 0603</t>
  </si>
  <si>
    <t>3.3K</t>
  </si>
  <si>
    <t>FRC0603F3301TS</t>
  </si>
  <si>
    <r>
      <rPr>
        <u val="single"/>
        <sz val="10"/>
        <color indexed="8"/>
        <rFont val="Arial"/>
      </rPr>
      <t>https://wmsc.lcsc.com/wmsc/upload/file/pdf/v2/lcsc/2308241947_FOJAN-FRC0603F3301TS_C2907023.pdf</t>
    </r>
  </si>
  <si>
    <r>
      <rPr>
        <sz val="9"/>
        <color indexed="8"/>
        <rFont val="Arial"/>
      </rPr>
      <t>RES_5%_100mW_0603_3.3K</t>
    </r>
  </si>
  <si>
    <r>
      <rPr>
        <sz val="10"/>
        <color indexed="8"/>
        <rFont val="Arial"/>
      </rPr>
      <t>3.3K 5% thick film 75V 100mW</t>
    </r>
  </si>
  <si>
    <r>
      <rPr>
        <sz val="10"/>
        <color indexed="8"/>
        <rFont val="Arial"/>
      </rPr>
      <t>3.3K RES 5% thick film 75V 100mW</t>
    </r>
  </si>
  <si>
    <r>
      <rPr>
        <u val="single"/>
        <sz val="10"/>
        <color indexed="8"/>
        <rFont val="Arial"/>
      </rPr>
      <t>C25995</t>
    </r>
  </si>
  <si>
    <t>C25995</t>
  </si>
  <si>
    <t>3.3k 100mW  75V ±100ppm/℃ ±5% 0603</t>
  </si>
  <si>
    <t>0603WAJ0332T5E</t>
  </si>
  <si>
    <r>
      <rPr>
        <u val="single"/>
        <sz val="10"/>
        <color indexed="8"/>
        <rFont val="Arial"/>
      </rPr>
      <t>https://www.lcsc.com/datasheet/lcsc_datasheet_2206010045_UNI-ROYAL-Uniroyal-Elec-0603WAJ0332T5E_C25995.pdf</t>
    </r>
  </si>
  <si>
    <r>
      <rPr>
        <sz val="9"/>
        <color indexed="8"/>
        <rFont val="Arial"/>
      </rPr>
      <t>RES_5%_100mW_0603_4.7K</t>
    </r>
  </si>
  <si>
    <r>
      <rPr>
        <sz val="10"/>
        <color indexed="8"/>
        <rFont val="Arial"/>
      </rPr>
      <t>4.7K 5% thick film 75V 100mW</t>
    </r>
  </si>
  <si>
    <r>
      <rPr>
        <sz val="10"/>
        <color indexed="8"/>
        <rFont val="Arial"/>
      </rPr>
      <t>4.7K RES 5% thick film 75V 100mW</t>
    </r>
  </si>
  <si>
    <r>
      <rPr>
        <u val="single"/>
        <sz val="10"/>
        <color indexed="8"/>
        <rFont val="Arial"/>
      </rPr>
      <t>C25999</t>
    </r>
  </si>
  <si>
    <r>
      <rPr>
        <sz val="10"/>
        <color indexed="8"/>
        <rFont val="Arial"/>
      </rPr>
      <t>4.7K</t>
    </r>
  </si>
  <si>
    <t>C25999</t>
  </si>
  <si>
    <t>4.7k 100mW  75V ±100ppm/℃ ±5% 0603</t>
  </si>
  <si>
    <t>4.7K</t>
  </si>
  <si>
    <t>0603WAJ0472T5E</t>
  </si>
  <si>
    <r>
      <rPr>
        <u val="single"/>
        <sz val="10"/>
        <color indexed="8"/>
        <rFont val="Arial"/>
      </rPr>
      <t>https://www.lcsc.com/datasheet/lcsc_datasheet_2206010045_UNI-ROYAL-Uniroyal-Elec-0603WAJ0472T5E_C25999.pdf</t>
    </r>
  </si>
  <si>
    <r>
      <rPr>
        <sz val="9"/>
        <color indexed="8"/>
        <rFont val="Arial"/>
      </rPr>
      <t>RES_5%_100mW_0603_5.6K</t>
    </r>
  </si>
  <si>
    <r>
      <rPr>
        <sz val="10"/>
        <color indexed="8"/>
        <rFont val="Arial"/>
      </rPr>
      <t>5.6K 5% thick film 75V 100mW</t>
    </r>
  </si>
  <si>
    <r>
      <rPr>
        <sz val="10"/>
        <color indexed="8"/>
        <rFont val="Arial"/>
      </rPr>
      <t>5.6K RES 5% thick film 75V 100mW</t>
    </r>
  </si>
  <si>
    <r>
      <rPr>
        <u val="single"/>
        <sz val="10"/>
        <color indexed="8"/>
        <rFont val="Arial"/>
      </rPr>
      <t>C26001</t>
    </r>
  </si>
  <si>
    <r>
      <rPr>
        <sz val="10"/>
        <color indexed="8"/>
        <rFont val="Arial"/>
      </rPr>
      <t>5.6K</t>
    </r>
  </si>
  <si>
    <t>C26001</t>
  </si>
  <si>
    <t>5.6k 100mW  75V ±100ppm/℃ ±5% 0603</t>
  </si>
  <si>
    <t>5.6K</t>
  </si>
  <si>
    <t>0603WAJ0562T5E</t>
  </si>
  <si>
    <r>
      <rPr>
        <u val="single"/>
        <sz val="10"/>
        <color indexed="8"/>
        <rFont val="Arial"/>
      </rPr>
      <t>https://www.lcsc.com/datasheet/lcsc_datasheet_2206010045_UNI-ROYAL-Uniroyal-Elec-0603WAJ0562T5E_C26001.pdf</t>
    </r>
  </si>
  <si>
    <r>
      <rPr>
        <sz val="9"/>
        <color indexed="8"/>
        <rFont val="Arial"/>
      </rPr>
      <t>RES_5%_100mW_0603_10K</t>
    </r>
  </si>
  <si>
    <r>
      <rPr>
        <sz val="10"/>
        <color indexed="8"/>
        <rFont val="Arial"/>
      </rPr>
      <t>10K 5% thick film 150V 100mW</t>
    </r>
  </si>
  <si>
    <r>
      <rPr>
        <sz val="10"/>
        <color indexed="8"/>
        <rFont val="Arial"/>
      </rPr>
      <t>10K RES 5% thick film 150V 100mW</t>
    </r>
  </si>
  <si>
    <r>
      <rPr>
        <u val="single"/>
        <sz val="10"/>
        <color indexed="8"/>
        <rFont val="Arial"/>
      </rPr>
      <t>C4118381</t>
    </r>
  </si>
  <si>
    <r>
      <rPr>
        <sz val="10"/>
        <color indexed="8"/>
        <rFont val="Arial"/>
      </rPr>
      <t>10K</t>
    </r>
  </si>
  <si>
    <t>C4118381</t>
  </si>
  <si>
    <t>10k 100mW s 150V ±100ppm/℃ ±5% 0603</t>
  </si>
  <si>
    <t>10K</t>
  </si>
  <si>
    <t>RC0603JR-1310KL</t>
  </si>
  <si>
    <r>
      <rPr>
        <u val="single"/>
        <sz val="10"/>
        <color indexed="8"/>
        <rFont val="Arial"/>
      </rPr>
      <t>https://wmsc.lcsc.com/wmsc/upload/file/pdf/v2/lcsc/2404101024_YAGEO-RC0603JR-1310KL_C4118381.pdf</t>
    </r>
  </si>
  <si>
    <r>
      <rPr>
        <sz val="10"/>
        <color indexed="8"/>
        <rFont val="Arial"/>
      </rPr>
      <t>10K 5% thick film 75V 100mW</t>
    </r>
  </si>
  <si>
    <r>
      <rPr>
        <sz val="10"/>
        <color indexed="8"/>
        <rFont val="Arial"/>
      </rPr>
      <t>10K RES 5% thick film 75V 100mW</t>
    </r>
  </si>
  <si>
    <r>
      <rPr>
        <u val="single"/>
        <sz val="10"/>
        <color indexed="8"/>
        <rFont val="Arial"/>
      </rPr>
      <t>C2930027</t>
    </r>
  </si>
  <si>
    <t>C2930027</t>
  </si>
  <si>
    <t>10k 100mW  75V ±100ppm/℃ ±5% 0603</t>
  </si>
  <si>
    <t>FRC0603J103TS</t>
  </si>
  <si>
    <r>
      <rPr>
        <u val="single"/>
        <sz val="10"/>
        <color indexed="8"/>
        <rFont val="Arial"/>
      </rPr>
      <t>https://wmsc.lcsc.com/wmsc/upload/file/pdf/v2/lcsc/2308241009_FOJAN-FRC0603J103TS_C2930027.pdf</t>
    </r>
  </si>
  <si>
    <r>
      <rPr>
        <u val="single"/>
        <sz val="10"/>
        <color indexed="8"/>
        <rFont val="Arial"/>
      </rPr>
      <t>C15401</t>
    </r>
  </si>
  <si>
    <t>C15401</t>
  </si>
  <si>
    <t>0603WAJ0103T5E</t>
  </si>
  <si>
    <r>
      <rPr>
        <u val="single"/>
        <sz val="10"/>
        <color indexed="8"/>
        <rFont val="Arial"/>
      </rPr>
      <t>https://www.lcsc.com/datasheet/lcsc_datasheet_2206010216_UNI-ROYAL-Uniroyal-Elec-0603WAJ0103T5E_C15401.pdf</t>
    </r>
  </si>
  <si>
    <r>
      <rPr>
        <sz val="9"/>
        <color indexed="8"/>
        <rFont val="Arial"/>
      </rPr>
      <t>RES_5%_100mW_0603_12k</t>
    </r>
  </si>
  <si>
    <r>
      <rPr>
        <sz val="10"/>
        <color indexed="8"/>
        <rFont val="Arial"/>
      </rPr>
      <t>12k 5% thick film 75V 100mW</t>
    </r>
  </si>
  <si>
    <r>
      <rPr>
        <sz val="10"/>
        <color indexed="8"/>
        <rFont val="Arial"/>
      </rPr>
      <t>12k RES 5% thick film 75V 100mW</t>
    </r>
  </si>
  <si>
    <r>
      <rPr>
        <u val="single"/>
        <sz val="10"/>
        <color indexed="8"/>
        <rFont val="Arial"/>
      </rPr>
      <t>C25577</t>
    </r>
  </si>
  <si>
    <r>
      <rPr>
        <sz val="10"/>
        <color indexed="8"/>
        <rFont val="Arial"/>
      </rPr>
      <t>12k</t>
    </r>
  </si>
  <si>
    <t>C25577</t>
  </si>
  <si>
    <t>12k 100mW  75V ±100ppm/℃ ±5% 0603</t>
  </si>
  <si>
    <t>12k</t>
  </si>
  <si>
    <t>0603WAJ0123T5E</t>
  </si>
  <si>
    <r>
      <rPr>
        <u val="single"/>
        <sz val="10"/>
        <color indexed="8"/>
        <rFont val="Arial"/>
      </rPr>
      <t>https://www.lcsc.com/datasheet/lcsc_datasheet_2205311900_UNI-ROYAL-Uniroyal-Elec-0603WAJ0123T5E_C25577.pdf</t>
    </r>
  </si>
  <si>
    <r>
      <rPr>
        <sz val="9"/>
        <color indexed="8"/>
        <rFont val="Arial"/>
      </rPr>
      <t>RES_5%_100mW_0603_22K</t>
    </r>
  </si>
  <si>
    <r>
      <rPr>
        <sz val="10"/>
        <color indexed="8"/>
        <rFont val="Arial"/>
      </rPr>
      <t>22K 5% thick film 75V 100mW</t>
    </r>
  </si>
  <si>
    <r>
      <rPr>
        <sz val="10"/>
        <color indexed="8"/>
        <rFont val="Arial"/>
      </rPr>
      <t>22K RES 5% thick film 75V 100mW</t>
    </r>
  </si>
  <si>
    <r>
      <rPr>
        <u val="single"/>
        <sz val="10"/>
        <color indexed="8"/>
        <rFont val="Arial"/>
      </rPr>
      <t>C23344</t>
    </r>
  </si>
  <si>
    <r>
      <rPr>
        <sz val="10"/>
        <color indexed="8"/>
        <rFont val="Arial"/>
      </rPr>
      <t>22K</t>
    </r>
  </si>
  <si>
    <t>C23344</t>
  </si>
  <si>
    <t>22k 100mW  75V ±100ppm/℃ ±5% 0603</t>
  </si>
  <si>
    <t>22K</t>
  </si>
  <si>
    <t>0603WAJ0223T5E</t>
  </si>
  <si>
    <r>
      <rPr>
        <u val="single"/>
        <sz val="10"/>
        <color indexed="8"/>
        <rFont val="Arial"/>
      </rPr>
      <t>https://www.lcsc.com/datasheet/lcsc_datasheet_2206010100_UNI-ROYAL-Uniroyal-Elec-0603WAJ0223T5E_C23344.pdf</t>
    </r>
  </si>
  <si>
    <r>
      <rPr>
        <sz val="9"/>
        <color indexed="8"/>
        <rFont val="Arial"/>
      </rPr>
      <t>RES_5%_100mW_0603_100K</t>
    </r>
  </si>
  <si>
    <r>
      <rPr>
        <sz val="10"/>
        <color indexed="8"/>
        <rFont val="Arial"/>
      </rPr>
      <t>100K 5% thick film 75V 100mW</t>
    </r>
  </si>
  <si>
    <r>
      <rPr>
        <sz val="10"/>
        <color indexed="8"/>
        <rFont val="Arial"/>
      </rPr>
      <t>100K RES 5% thick film 75V 100mW</t>
    </r>
  </si>
  <si>
    <r>
      <rPr>
        <u val="single"/>
        <sz val="10"/>
        <color indexed="8"/>
        <rFont val="Arial"/>
      </rPr>
      <t>C15458</t>
    </r>
  </si>
  <si>
    <r>
      <rPr>
        <sz val="10"/>
        <color indexed="8"/>
        <rFont val="Arial"/>
      </rPr>
      <t>100K</t>
    </r>
  </si>
  <si>
    <t>C15458</t>
  </si>
  <si>
    <t>100k 100mW  75V ±100ppm/℃ ±5% 0603</t>
  </si>
  <si>
    <t>100K</t>
  </si>
  <si>
    <t>0603WAJ0104T5E</t>
  </si>
  <si>
    <r>
      <rPr>
        <u val="single"/>
        <sz val="10"/>
        <color indexed="8"/>
        <rFont val="Arial"/>
      </rPr>
      <t>https://www.lcsc.com/datasheet/lcsc_datasheet_2206010216_UNI-ROYAL-Uniroyal-Elec-0603WAJ0104T5E_C15458.pdf</t>
    </r>
  </si>
  <si>
    <r>
      <rPr>
        <sz val="9"/>
        <color indexed="8"/>
        <rFont val="Arial"/>
      </rPr>
      <t>RES_1%_100mW_0603_1M</t>
    </r>
  </si>
  <si>
    <r>
      <rPr>
        <sz val="10"/>
        <color indexed="8"/>
        <rFont val="Arial"/>
      </rPr>
      <t>1M 1% thick film 75V 100mW</t>
    </r>
  </si>
  <si>
    <r>
      <rPr>
        <sz val="10"/>
        <color indexed="8"/>
        <rFont val="Arial"/>
      </rPr>
      <t>1M RES 1% thick film 75V 100mW</t>
    </r>
  </si>
  <si>
    <r>
      <rPr>
        <u val="single"/>
        <sz val="10"/>
        <color indexed="8"/>
        <rFont val="Arial"/>
      </rPr>
      <t>C22935</t>
    </r>
  </si>
  <si>
    <r>
      <rPr>
        <sz val="10"/>
        <color indexed="8"/>
        <rFont val="Arial"/>
      </rPr>
      <t>1M</t>
    </r>
  </si>
  <si>
    <t>C22935</t>
  </si>
  <si>
    <t>1.0M 100mW  75V ±100ppm/℃ ±1% 0603</t>
  </si>
  <si>
    <t>1M</t>
  </si>
  <si>
    <t>0603WAF1004T5E</t>
  </si>
  <si>
    <r>
      <rPr>
        <u val="single"/>
        <sz val="10"/>
        <color indexed="8"/>
        <rFont val="Arial"/>
      </rPr>
      <t>https://www.lcsc.com/datasheet/lcsc_datasheet_2206010130_UNI-ROYAL-Uniroyal-Elec-0603WAF1004T5E_C22935.pdf</t>
    </r>
  </si>
  <si>
    <r>
      <rPr>
        <sz val="9"/>
        <color indexed="8"/>
        <rFont val="Arial"/>
      </rPr>
      <t>RES_5%_100mW_0603_1M</t>
    </r>
  </si>
  <si>
    <r>
      <rPr>
        <sz val="10"/>
        <color indexed="8"/>
        <rFont val="Arial"/>
      </rPr>
      <t>1M 5% thick film 75V 100mW</t>
    </r>
  </si>
  <si>
    <r>
      <rPr>
        <sz val="10"/>
        <color indexed="8"/>
        <rFont val="Arial"/>
      </rPr>
      <t>1M RES 5% thick film 75V 100mW</t>
    </r>
  </si>
  <si>
    <r>
      <rPr>
        <u val="single"/>
        <sz val="10"/>
        <color indexed="8"/>
        <rFont val="Arial"/>
      </rPr>
      <t>C26098</t>
    </r>
  </si>
  <si>
    <t>C26098</t>
  </si>
  <si>
    <t>1.0M 100mW  75V ±100ppm/℃ ±5% 0603</t>
  </si>
  <si>
    <t>0603WAJ0105T5E</t>
  </si>
  <si>
    <r>
      <rPr>
        <u val="single"/>
        <sz val="10"/>
        <color indexed="8"/>
        <rFont val="Arial"/>
      </rPr>
      <t>https://www.lcsc.com/datasheet/lcsc_datasheet_2206010030_UNI-ROYAL-Uniroyal-Elec-0603WAJ0105T5E_C26098.pdf</t>
    </r>
  </si>
  <si>
    <r>
      <rPr>
        <sz val="9"/>
        <color indexed="8"/>
        <rFont val="Arial"/>
      </rPr>
      <t>RES_5%_100mW_0603_2.2M</t>
    </r>
  </si>
  <si>
    <r>
      <rPr>
        <sz val="10"/>
        <color indexed="8"/>
        <rFont val="Arial"/>
      </rPr>
      <t>2.2M 5% thick film 75V 100mW</t>
    </r>
  </si>
  <si>
    <r>
      <rPr>
        <sz val="10"/>
        <color indexed="8"/>
        <rFont val="Arial"/>
      </rPr>
      <t>2.2M RES 5% thick film 75V 100mW</t>
    </r>
  </si>
  <si>
    <r>
      <rPr>
        <u val="single"/>
        <sz val="10"/>
        <color indexed="8"/>
        <rFont val="Arial"/>
      </rPr>
      <t>C18679</t>
    </r>
  </si>
  <si>
    <r>
      <rPr>
        <sz val="10"/>
        <color indexed="8"/>
        <rFont val="Arial"/>
      </rPr>
      <t>2.2M</t>
    </r>
  </si>
  <si>
    <t>C18679</t>
  </si>
  <si>
    <t>2.2M 100mW  75V ±100ppm/℃ ±5% 0603</t>
  </si>
  <si>
    <t>2.2M</t>
  </si>
  <si>
    <t>0603WAJ0225T5E</t>
  </si>
  <si>
    <r>
      <rPr>
        <u val="single"/>
        <sz val="10"/>
        <color indexed="8"/>
        <rFont val="Arial"/>
      </rPr>
      <t>https://www.lcsc.com/datasheet/lcsc_datasheet_2206010145_UNI-ROYAL-Uniroyal-Elec-0603WAJ0225T5E_C18679.pdf</t>
    </r>
  </si>
  <si>
    <r>
      <rPr>
        <sz val="10"/>
        <color indexed="8"/>
        <rFont val="Arial"/>
      </rPr>
      <t>2.2M 5% thick film 50V 100mW</t>
    </r>
  </si>
  <si>
    <r>
      <rPr>
        <sz val="10"/>
        <color indexed="8"/>
        <rFont val="Arial"/>
      </rPr>
      <t>2.2M RES 5% thick film 50V 100mW</t>
    </r>
  </si>
  <si>
    <r>
      <rPr>
        <u val="single"/>
        <sz val="10"/>
        <color indexed="8"/>
        <rFont val="Arial"/>
      </rPr>
      <t>C403986</t>
    </r>
  </si>
  <si>
    <t>C403986</t>
  </si>
  <si>
    <t>2.2M 100mW  50V ±250ppm/℃ ±5% 0603</t>
  </si>
  <si>
    <t>FH</t>
  </si>
  <si>
    <t>RS-03L225JJT</t>
  </si>
  <si>
    <r>
      <rPr>
        <u val="single"/>
        <sz val="10"/>
        <color indexed="8"/>
        <rFont val="Arial"/>
      </rPr>
      <t>https://wmsc.lcsc.com/wmsc/upload/file/pdf/v2/lcsc/2304140030_FH--Guangdong-Fenghua-Advanced-Tech-RS-03L225JJT_C403986.pdf</t>
    </r>
  </si>
  <si>
    <r>
      <rPr>
        <sz val="9"/>
        <color indexed="8"/>
        <rFont val="Arial"/>
      </rPr>
      <t>RLY___ISOPLUS-264_CPC1709J</t>
    </r>
  </si>
  <si>
    <r>
      <rPr>
        <sz val="10"/>
        <color indexed="8"/>
        <rFont val="Arial"/>
      </rPr>
      <t>CPC1709J SSR 1.42V 9A-22.8A</t>
    </r>
  </si>
  <si>
    <r>
      <rPr>
        <sz val="10"/>
        <color indexed="8"/>
        <rFont val="Arial"/>
      </rPr>
      <t>CPC1709J RLY SSR 1.42V 9A-22.8A</t>
    </r>
  </si>
  <si>
    <r>
      <rPr>
        <u val="single"/>
        <sz val="10"/>
        <color indexed="8"/>
        <rFont val="Arial"/>
      </rPr>
      <t>C1525253</t>
    </r>
  </si>
  <si>
    <r>
      <rPr>
        <sz val="10"/>
        <color indexed="8"/>
        <rFont val="Arial"/>
      </rPr>
      <t>CPC1709J</t>
    </r>
  </si>
  <si>
    <t>SSR</t>
  </si>
  <si>
    <t>C1525253</t>
  </si>
  <si>
    <t>2.5kV 220us 27mΩ 7ms DC ISOPLUS-264 Solid State Relays (MOS Output) -40c-+85c 1.42V 10mA</t>
  </si>
  <si>
    <t>ISOPLUS-264</t>
  </si>
  <si>
    <t>1.42V</t>
  </si>
  <si>
    <t>9A-22.8A</t>
  </si>
  <si>
    <t>Littelfuse/IXYS</t>
  </si>
  <si>
    <t>CPC1709J</t>
  </si>
  <si>
    <t>SPCoast:Relay_CPC1709J</t>
  </si>
  <si>
    <r>
      <rPr>
        <u val="single"/>
        <sz val="10"/>
        <color indexed="8"/>
        <rFont val="Arial"/>
      </rPr>
      <t>https://jlcpcb.com/api/file/downloadByFileSystemAccessId/8589033743424368640</t>
    </r>
  </si>
  <si>
    <r>
      <rPr>
        <sz val="9"/>
        <color indexed="8"/>
        <rFont val="Arial"/>
      </rPr>
      <t>IC___SMD-6P_4N28SM</t>
    </r>
  </si>
  <si>
    <r>
      <rPr>
        <sz val="10"/>
        <color indexed="8"/>
        <rFont val="Arial"/>
      </rPr>
      <t>4N28SM Phototransistor</t>
    </r>
  </si>
  <si>
    <r>
      <rPr>
        <sz val="10"/>
        <color indexed="8"/>
        <rFont val="Arial"/>
      </rPr>
      <t>4N28SM IC Phototransistor</t>
    </r>
  </si>
  <si>
    <r>
      <rPr>
        <u val="single"/>
        <sz val="10"/>
        <color indexed="8"/>
        <rFont val="Arial"/>
      </rPr>
      <t>C898949</t>
    </r>
  </si>
  <si>
    <r>
      <rPr>
        <sz val="10"/>
        <color indexed="8"/>
        <rFont val="Arial"/>
      </rPr>
      <t>4N28SM</t>
    </r>
  </si>
  <si>
    <t>Phototransistor</t>
  </si>
  <si>
    <t>C898949</t>
  </si>
  <si>
    <t>4.17kV 6V Phototransistor SMD-6P Transistor Photovoltaic Output Optoisolators -40c+10c 1 1.18V 10% 10mA 30V</t>
  </si>
  <si>
    <t>SMD-6P</t>
  </si>
  <si>
    <t>6</t>
  </si>
  <si>
    <t>0.100</t>
  </si>
  <si>
    <t>4N28SM</t>
  </si>
  <si>
    <t>Isolator:4N28</t>
  </si>
  <si>
    <t>Package_DIP:SMDIP-6_W7.62mm</t>
  </si>
  <si>
    <r>
      <rPr>
        <u val="single"/>
        <sz val="10"/>
        <color indexed="8"/>
        <rFont val="Arial"/>
      </rPr>
      <t>https://jlcpcb.com/api/file/downloadByFileSystemAccessId/8588917274006720512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</si>
</sst>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15">
    <font>
      <sz val="10"/>
      <color indexed="8"/>
      <name val="Helvetica Neue"/>
    </font>
    <font>
      <sz val="12"/>
      <color indexed="8"/>
      <name val="Helvetica Neue"/>
    </font>
    <font>
      <b val="1"/>
      <sz val="24"/>
      <color indexed="8"/>
      <name val="Helvetica Neue"/>
    </font>
    <font>
      <b val="1"/>
      <sz val="14"/>
      <color indexed="8"/>
      <name val="Helvetica Neue"/>
    </font>
    <font>
      <b val="1"/>
      <sz val="14"/>
      <color indexed="8"/>
      <name val="American Typewriter"/>
    </font>
    <font>
      <sz val="10"/>
      <color indexed="8"/>
      <name val="Arial"/>
    </font>
    <font>
      <sz val="10"/>
      <color indexed="8"/>
      <name val="American Typewriter"/>
    </font>
    <font>
      <u val="single"/>
      <sz val="10"/>
      <color indexed="8"/>
      <name val="Arial"/>
    </font>
    <font>
      <sz val="14"/>
      <color indexed="15"/>
      <name val="Helvetica Neue"/>
    </font>
    <font>
      <sz val="14"/>
      <color indexed="16"/>
      <name val="Helvetica Neue"/>
    </font>
    <font>
      <sz val="10"/>
      <color indexed="8"/>
      <name val="Symbol"/>
    </font>
    <font>
      <sz val="5"/>
      <color indexed="8"/>
      <name val="American Typewriter"/>
    </font>
    <font>
      <sz val="9"/>
      <color indexed="8"/>
      <name val="Arial"/>
    </font>
    <font>
      <b val="1"/>
      <sz val="18"/>
      <color indexed="8"/>
      <name val="Helvetica Neue"/>
    </font>
    <font>
      <b val="1"/>
      <sz val="18"/>
      <color indexed="8"/>
      <name val="American Typewriter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</fills>
  <borders count="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3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vertical="center"/>
    </xf>
    <xf numFmtId="49" fontId="3" fillId="2" borderId="1" applyNumberFormat="1" applyFont="1" applyFill="1" applyBorder="1" applyAlignment="1" applyProtection="0">
      <alignment vertical="top" wrapText="1"/>
    </xf>
    <xf numFmtId="49" fontId="4" fillId="2" borderId="1" applyNumberFormat="1" applyFont="1" applyFill="1" applyBorder="1" applyAlignment="1" applyProtection="0">
      <alignment vertical="top" wrapText="1"/>
    </xf>
    <xf numFmtId="49" fontId="3" fillId="2" borderId="1" applyNumberFormat="1" applyFont="1" applyFill="1" applyBorder="1" applyAlignment="1" applyProtection="0">
      <alignment vertical="top"/>
    </xf>
    <xf numFmtId="0" fontId="5" fillId="3" borderId="2" applyNumberFormat="0" applyFont="1" applyFill="1" applyBorder="1" applyAlignment="1" applyProtection="0">
      <alignment horizontal="left" vertical="center"/>
    </xf>
    <xf numFmtId="0" fontId="5" fillId="4" borderId="2" applyNumberFormat="0" applyFont="1" applyFill="1" applyBorder="1" applyAlignment="1" applyProtection="0">
      <alignment horizontal="left" vertical="center"/>
    </xf>
    <xf numFmtId="49" fontId="5" borderId="2" applyNumberFormat="1" applyFont="1" applyFill="0" applyBorder="1" applyAlignment="1" applyProtection="0">
      <alignment horizontal="left" vertical="center"/>
    </xf>
    <xf numFmtId="0" fontId="5" borderId="2" applyNumberFormat="0" applyFont="1" applyFill="0" applyBorder="1" applyAlignment="1" applyProtection="0">
      <alignment horizontal="left" vertical="center"/>
    </xf>
    <xf numFmtId="49" fontId="6" borderId="2" applyNumberFormat="1" applyFont="1" applyFill="0" applyBorder="1" applyAlignment="1" applyProtection="0">
      <alignment horizontal="left" vertical="center"/>
    </xf>
    <xf numFmtId="0" fontId="0" borderId="2" applyNumberFormat="1" applyFont="1" applyFill="0" applyBorder="1" applyAlignment="1" applyProtection="0">
      <alignment horizontal="center" vertical="top" wrapText="1"/>
    </xf>
    <xf numFmtId="0" fontId="5" fillId="5" borderId="2" applyNumberFormat="0" applyFont="1" applyFill="1" applyBorder="1" applyAlignment="1" applyProtection="0">
      <alignment horizontal="left" vertical="center"/>
    </xf>
    <xf numFmtId="49" fontId="5" borderId="2" applyNumberFormat="1" applyFont="1" applyFill="0" applyBorder="1" applyAlignment="1" applyProtection="0">
      <alignment horizontal="left" vertical="top"/>
    </xf>
    <xf numFmtId="49" fontId="6" borderId="2" applyNumberFormat="1" applyFont="1" applyFill="0" applyBorder="1" applyAlignment="1" applyProtection="0">
      <alignment horizontal="left" vertical="top"/>
    </xf>
    <xf numFmtId="0" fontId="5" fillId="3" borderId="3" applyNumberFormat="0" applyFont="1" applyFill="1" applyBorder="1" applyAlignment="1" applyProtection="0">
      <alignment horizontal="left" vertical="center"/>
    </xf>
    <xf numFmtId="0" fontId="5" fillId="4" borderId="3" applyNumberFormat="0" applyFont="1" applyFill="1" applyBorder="1" applyAlignment="1" applyProtection="0">
      <alignment horizontal="left" vertical="center"/>
    </xf>
    <xf numFmtId="49" fontId="5" borderId="3" applyNumberFormat="1" applyFont="1" applyFill="0" applyBorder="1" applyAlignment="1" applyProtection="0">
      <alignment horizontal="left" vertical="center"/>
    </xf>
    <xf numFmtId="0" fontId="5" borderId="3" applyNumberFormat="0" applyFont="1" applyFill="0" applyBorder="1" applyAlignment="1" applyProtection="0">
      <alignment horizontal="left" vertical="center"/>
    </xf>
    <xf numFmtId="49" fontId="6" borderId="3" applyNumberFormat="1" applyFont="1" applyFill="0" applyBorder="1" applyAlignment="1" applyProtection="0">
      <alignment horizontal="left" vertical="center"/>
    </xf>
    <xf numFmtId="0" fontId="0" borderId="3" applyNumberFormat="1" applyFont="1" applyFill="0" applyBorder="1" applyAlignment="1" applyProtection="0">
      <alignment horizontal="center" vertical="top" wrapText="1"/>
    </xf>
    <xf numFmtId="0" fontId="5" fillId="5" borderId="3" applyNumberFormat="0" applyFont="1" applyFill="1" applyBorder="1" applyAlignment="1" applyProtection="0">
      <alignment horizontal="left" vertical="center"/>
    </xf>
    <xf numFmtId="49" fontId="5" borderId="3" applyNumberFormat="1" applyFont="1" applyFill="0" applyBorder="1" applyAlignment="1" applyProtection="0">
      <alignment horizontal="left" vertical="top"/>
    </xf>
    <xf numFmtId="49" fontId="6" borderId="3" applyNumberFormat="1" applyFont="1" applyFill="0" applyBorder="1" applyAlignment="1" applyProtection="0">
      <alignment horizontal="left" vertical="top"/>
    </xf>
    <xf numFmtId="0" fontId="6" borderId="3" applyNumberFormat="0" applyFont="1" applyFill="0" applyBorder="1" applyAlignment="1" applyProtection="0">
      <alignment horizontal="left" vertical="center"/>
    </xf>
    <xf numFmtId="49" fontId="5" fillId="5" borderId="3" applyNumberFormat="1" applyFont="1" applyFill="1" applyBorder="1" applyAlignment="1" applyProtection="0">
      <alignment horizontal="left" vertical="center"/>
    </xf>
    <xf numFmtId="49" fontId="6" fillId="5" borderId="3" applyNumberFormat="1" applyFont="1" applyFill="1" applyBorder="1" applyAlignment="1" applyProtection="0">
      <alignment horizontal="left" vertical="center"/>
    </xf>
    <xf numFmtId="0" fontId="0" borderId="3" applyNumberFormat="0" applyFont="1" applyFill="0" applyBorder="1" applyAlignment="1" applyProtection="0">
      <alignment horizontal="center" vertical="top" wrapText="1"/>
    </xf>
    <xf numFmtId="0" fontId="5" borderId="3" applyNumberFormat="0" applyFont="1" applyFill="0" applyBorder="1" applyAlignment="1" applyProtection="0">
      <alignment horizontal="left" vertical="top"/>
    </xf>
    <xf numFmtId="0" fontId="6" borderId="3" applyNumberFormat="0" applyFont="1" applyFill="0" applyBorder="1" applyAlignment="1" applyProtection="0">
      <alignment horizontal="left" vertical="top"/>
    </xf>
    <xf numFmtId="49" fontId="5" fillId="3" borderId="3" applyNumberFormat="1" applyFont="1" applyFill="1" applyBorder="1" applyAlignment="1" applyProtection="0">
      <alignment horizontal="left" vertical="center"/>
    </xf>
    <xf numFmtId="49" fontId="8" borderId="3" applyNumberFormat="1" applyFont="1" applyFill="0" applyBorder="1" applyAlignment="1" applyProtection="0">
      <alignment horizontal="left" vertical="center"/>
    </xf>
    <xf numFmtId="49" fontId="9" borderId="3" applyNumberFormat="1" applyFont="1" applyFill="0" applyBorder="1" applyAlignment="1" applyProtection="0">
      <alignment horizontal="left" vertical="center"/>
    </xf>
    <xf numFmtId="0" fontId="5" borderId="3" applyNumberFormat="1" applyFont="1" applyFill="0" applyBorder="1" applyAlignment="1" applyProtection="0">
      <alignment horizontal="center" vertical="center"/>
    </xf>
    <xf numFmtId="0" fontId="9" borderId="3" applyNumberFormat="0" applyFont="1" applyFill="0" applyBorder="1" applyAlignment="1" applyProtection="0">
      <alignment horizontal="left" vertical="center"/>
    </xf>
    <xf numFmtId="49" fontId="5" borderId="3" applyNumberFormat="1" applyFont="1" applyFill="0" applyBorder="1" applyAlignment="1" applyProtection="0">
      <alignment horizontal="left" vertical="center" readingOrder="1"/>
    </xf>
    <xf numFmtId="49" fontId="6" borderId="3" applyNumberFormat="1" applyFont="1" applyFill="0" applyBorder="1" applyAlignment="1" applyProtection="0">
      <alignment horizontal="left" vertical="center" readingOrder="1"/>
    </xf>
    <xf numFmtId="0" fontId="5" borderId="3" applyNumberFormat="0" applyFont="1" applyFill="0" applyBorder="1" applyAlignment="1" applyProtection="0">
      <alignment horizontal="left" vertical="center" readingOrder="1"/>
    </xf>
    <xf numFmtId="49" fontId="5" fillId="5" borderId="3" applyNumberFormat="1" applyFont="1" applyFill="1" applyBorder="1" applyAlignment="1" applyProtection="0">
      <alignment horizontal="left" vertical="center" readingOrder="1"/>
    </xf>
    <xf numFmtId="49" fontId="6" borderId="3" applyNumberFormat="1" applyFont="1" applyFill="0" applyBorder="1" applyAlignment="1" applyProtection="0">
      <alignment vertical="top" wrapText="1"/>
    </xf>
    <xf numFmtId="49" fontId="5" borderId="3" applyNumberFormat="1" applyFont="1" applyFill="0" applyBorder="1" applyAlignment="1" applyProtection="0">
      <alignment horizontal="left" vertical="top" wrapText="1"/>
    </xf>
    <xf numFmtId="49" fontId="6" borderId="3" applyNumberFormat="1" applyFont="1" applyFill="0" applyBorder="1" applyAlignment="1" applyProtection="0">
      <alignment horizontal="left" vertical="top" wrapText="1"/>
    </xf>
    <xf numFmtId="0" fontId="5" borderId="3" applyNumberFormat="0" applyFont="1" applyFill="0" applyBorder="1" applyAlignment="1" applyProtection="0">
      <alignment horizontal="center" vertical="center"/>
    </xf>
    <xf numFmtId="49" fontId="9" fillId="5" borderId="3" applyNumberFormat="1" applyFont="1" applyFill="1" applyBorder="1" applyAlignment="1" applyProtection="0">
      <alignment horizontal="left" vertical="center"/>
    </xf>
    <xf numFmtId="49" fontId="9" fillId="5" borderId="3" applyNumberFormat="1" applyFont="1" applyFill="1" applyBorder="1" applyAlignment="1" applyProtection="0">
      <alignment horizontal="left" vertical="center" readingOrder="1"/>
    </xf>
    <xf numFmtId="49" fontId="9" borderId="3" applyNumberFormat="1" applyFont="1" applyFill="0" applyBorder="1" applyAlignment="1" applyProtection="0">
      <alignment horizontal="left" vertical="center" readingOrder="1"/>
    </xf>
    <xf numFmtId="49" fontId="5" borderId="3" applyNumberFormat="1" applyFont="1" applyFill="0" applyBorder="1" applyAlignment="1" applyProtection="0">
      <alignment horizontal="left" vertical="center" wrapText="1"/>
    </xf>
    <xf numFmtId="0" fontId="6" fillId="5" borderId="3" applyNumberFormat="0" applyFont="1" applyFill="1" applyBorder="1" applyAlignment="1" applyProtection="0">
      <alignment horizontal="left" vertical="center"/>
    </xf>
    <xf numFmtId="0" fontId="12" fillId="3" borderId="3" applyNumberFormat="0" applyFont="1" applyFill="1" applyBorder="1" applyAlignment="1" applyProtection="0">
      <alignment horizontal="left" vertical="center"/>
    </xf>
    <xf numFmtId="0" fontId="12" fillId="3" borderId="1" applyNumberFormat="0" applyFont="1" applyFill="1" applyBorder="1" applyAlignment="1" applyProtection="0">
      <alignment horizontal="left" vertical="center"/>
    </xf>
    <xf numFmtId="0" fontId="5" fillId="4" borderId="1" applyNumberFormat="0" applyFont="1" applyFill="1" applyBorder="1" applyAlignment="1" applyProtection="0">
      <alignment horizontal="left" vertical="center"/>
    </xf>
    <xf numFmtId="0" fontId="5" fillId="3" borderId="1" applyNumberFormat="0" applyFont="1" applyFill="1" applyBorder="1" applyAlignment="1" applyProtection="0">
      <alignment horizontal="left" vertical="center"/>
    </xf>
    <xf numFmtId="49" fontId="5" borderId="1" applyNumberFormat="1" applyFont="1" applyFill="0" applyBorder="1" applyAlignment="1" applyProtection="0">
      <alignment horizontal="left" vertical="center"/>
    </xf>
    <xf numFmtId="0" fontId="5" borderId="1" applyNumberFormat="0" applyFont="1" applyFill="0" applyBorder="1" applyAlignment="1" applyProtection="0">
      <alignment horizontal="left" vertical="center"/>
    </xf>
    <xf numFmtId="49" fontId="6" borderId="1" applyNumberFormat="1" applyFont="1" applyFill="0" applyBorder="1" applyAlignment="1" applyProtection="0">
      <alignment horizontal="left" vertical="center"/>
    </xf>
    <xf numFmtId="0" fontId="6" borderId="1" applyNumberFormat="0" applyFont="1" applyFill="0" applyBorder="1" applyAlignment="1" applyProtection="0">
      <alignment horizontal="left" vertical="center"/>
    </xf>
    <xf numFmtId="0" fontId="5" borderId="1" applyNumberFormat="1" applyFont="1" applyFill="0" applyBorder="1" applyAlignment="1" applyProtection="0">
      <alignment horizontal="center" vertical="center"/>
    </xf>
    <xf numFmtId="49" fontId="5" fillId="5" borderId="1" applyNumberFormat="1" applyFont="1" applyFill="1" applyBorder="1" applyAlignment="1" applyProtection="0">
      <alignment horizontal="left" vertical="center"/>
    </xf>
    <xf numFmtId="49" fontId="5" borderId="1" applyNumberFormat="1" applyFont="1" applyFill="0" applyBorder="1" applyAlignment="1" applyProtection="0">
      <alignment horizontal="left" vertical="top" wrapText="1"/>
    </xf>
    <xf numFmtId="49" fontId="6" borderId="1" applyNumberFormat="1" applyFont="1" applyFill="0" applyBorder="1" applyAlignment="1" applyProtection="0">
      <alignment horizontal="left" vertical="top"/>
    </xf>
    <xf numFmtId="49" fontId="13" borderId="2" applyNumberFormat="1" applyFont="1" applyFill="0" applyBorder="1" applyAlignment="1" applyProtection="0">
      <alignment vertical="top"/>
    </xf>
    <xf numFmtId="0" fontId="13" borderId="2" applyNumberFormat="0" applyFont="1" applyFill="0" applyBorder="1" applyAlignment="1" applyProtection="0">
      <alignment vertical="top"/>
    </xf>
    <xf numFmtId="0" fontId="14" borderId="2" applyNumberFormat="0" applyFont="1" applyFill="0" applyBorder="1" applyAlignment="1" applyProtection="0">
      <alignment vertical="top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e6f7e2"/>
      <rgbColor rgb="ffdfffdf"/>
      <rgbColor rgb="ffffffff"/>
      <rgbColor rgb="ff1b1f22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0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merican Typewriter"/>
            <a:ea typeface="American Typewriter"/>
            <a:cs typeface="American Typewriter"/>
            <a:sym typeface="American Typewriter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lcpcb.com/partdetail/C840579" TargetMode="External"/><Relationship Id="rId2" Type="http://schemas.openxmlformats.org/officeDocument/2006/relationships/hyperlink" Target="https://wmsc.lcsc.com/wmsc/upload/file/pdf/v2/lcsc/2311231642_ECE-EDG104S33_C840579.pdf" TargetMode="External"/><Relationship Id="rId3" Type="http://schemas.openxmlformats.org/officeDocument/2006/relationships/hyperlink" Target="https://jlcpcb.com/partdetail/C5340138" TargetMode="External"/><Relationship Id="rId4" Type="http://schemas.openxmlformats.org/officeDocument/2006/relationships/hyperlink" Target="https://wmsc.lcsc.com/wmsc/upload/file/pdf/v2/lcsc/2212291730_hanxia-HX-TS666CJ-250gf-009_C5340138.pdf" TargetMode="External"/><Relationship Id="rId5" Type="http://schemas.openxmlformats.org/officeDocument/2006/relationships/hyperlink" Target="https://jlcpcb.com/partdetail/C5340123" TargetMode="External"/><Relationship Id="rId6" Type="http://schemas.openxmlformats.org/officeDocument/2006/relationships/hyperlink" Target="https://wmsc.lcsc.com/wmsc/upload/file/pdf/v2/lcsc/2212271430_hanxia-HX-TS666TP-250gf-009_C5340123.pdf" TargetMode="External"/><Relationship Id="rId7" Type="http://schemas.openxmlformats.org/officeDocument/2006/relationships/hyperlink" Target="https://jlcpcb.com/partdetail/C7205130" TargetMode="External"/><Relationship Id="rId8" Type="http://schemas.openxmlformats.org/officeDocument/2006/relationships/hyperlink" Target="https://www.lcsc.com/datasheet/C7205130.pdf?spm=wm.sxq.inf.ggs___wm.ssy.bg.20.cbh&amp;lcsc_vid=QVZeA1dfQFALX1AFTlJbVAcFR1ldAgAEQVILVlZfRwcxVlNRQ1hXUFBQQVNdUzsOAxUeFF5JWBYZEEoKFBINSQcJGk4eFQsCAgIaSgADAwAHC0slRVJcUkoOAwwC" TargetMode="External"/><Relationship Id="rId9" Type="http://schemas.openxmlformats.org/officeDocument/2006/relationships/hyperlink" Target="https://jlcpcb.com/partdetail/C2325" TargetMode="External"/><Relationship Id="rId10" Type="http://schemas.openxmlformats.org/officeDocument/2006/relationships/hyperlink" Target="https://jlcpcb.com/partdetail/C3029316" TargetMode="External"/><Relationship Id="rId11" Type="http://schemas.openxmlformats.org/officeDocument/2006/relationships/hyperlink" Target="https://jlcpcb.com/partdetail/C429966" TargetMode="External"/><Relationship Id="rId12" Type="http://schemas.openxmlformats.org/officeDocument/2006/relationships/hyperlink" Target="https://jlcpcb.com/partdetail/C2691448" TargetMode="External"/><Relationship Id="rId13" Type="http://schemas.openxmlformats.org/officeDocument/2006/relationships/hyperlink" Target="https://jlcpcb.com/partdetail/C18214184" TargetMode="External"/><Relationship Id="rId14" Type="http://schemas.openxmlformats.org/officeDocument/2006/relationships/hyperlink" Target="https://jlcpcb.com/partdetail/C3816889" TargetMode="External"/><Relationship Id="rId15" Type="http://schemas.openxmlformats.org/officeDocument/2006/relationships/hyperlink" Target="https://jlcpcb.com/partdetail/C3646874" TargetMode="External"/><Relationship Id="rId16" Type="http://schemas.openxmlformats.org/officeDocument/2006/relationships/hyperlink" Target="https://jlcpcb.com/partdetail/C27438" TargetMode="External"/><Relationship Id="rId17" Type="http://schemas.openxmlformats.org/officeDocument/2006/relationships/hyperlink" Target="https://jlcpcb.com/partdetail/C2905419" TargetMode="External"/><Relationship Id="rId18" Type="http://schemas.openxmlformats.org/officeDocument/2006/relationships/hyperlink" Target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 TargetMode="External"/><Relationship Id="rId19" Type="http://schemas.openxmlformats.org/officeDocument/2006/relationships/hyperlink" Target="https://mischianti.org/wp-content/uploads/2020/11/ESP32-DOIT-DEV-KIT-v1-pinout-mischianti.png" TargetMode="External"/><Relationship Id="rId20" Type="http://schemas.openxmlformats.org/officeDocument/2006/relationships/hyperlink" Target="https://jlcpcb.com/partdetail/C1852832" TargetMode="External"/><Relationship Id="rId21" Type="http://schemas.openxmlformats.org/officeDocument/2006/relationships/hyperlink" Target="https://wmsc.lcsc.com/wmsc/upload/file/pdf/v2/lcsc/2201271000_YAGEO-CC0603KPX7R8BB103_C1852832.pdf" TargetMode="External"/><Relationship Id="rId22" Type="http://schemas.openxmlformats.org/officeDocument/2006/relationships/hyperlink" Target="https://jlcpcb.com/partdetail/C3910010" TargetMode="External"/><Relationship Id="rId23" Type="http://schemas.openxmlformats.org/officeDocument/2006/relationships/hyperlink" Target="https://jlcpcb.com/partdetail/C100042" TargetMode="External"/><Relationship Id="rId24" Type="http://schemas.openxmlformats.org/officeDocument/2006/relationships/hyperlink" Target="https://www.lcsc.com/datasheet/lcsc_datasheet_2304140030_YAGEO-CC0603KRX7R9BB103_C100042.pdf" TargetMode="External"/><Relationship Id="rId25" Type="http://schemas.openxmlformats.org/officeDocument/2006/relationships/hyperlink" Target="https://jlcpcb.com/partdetail/C3853265" TargetMode="External"/><Relationship Id="rId26" Type="http://schemas.openxmlformats.org/officeDocument/2006/relationships/hyperlink" Target="https://jlcpcb.com/partdetail/C14663" TargetMode="External"/><Relationship Id="rId27" Type="http://schemas.openxmlformats.org/officeDocument/2006/relationships/hyperlink" Target="https://www.lcsc.com/datasheet/lcsc_datasheet_2211101700_YAGEO-CC0603KRX7R9BB104_C14663.pdf" TargetMode="External"/><Relationship Id="rId28" Type="http://schemas.openxmlformats.org/officeDocument/2006/relationships/hyperlink" Target="https://jlcpcb.com/partdetail/C2169859" TargetMode="External"/><Relationship Id="rId29" Type="http://schemas.openxmlformats.org/officeDocument/2006/relationships/hyperlink" Target="https://wmsc.lcsc.com/wmsc/upload/file/pdf/v2/lcsc/2309051403_Taiyo-Yuden-GMK107BJ105KAHT_C2169859.pdf" TargetMode="External"/><Relationship Id="rId30" Type="http://schemas.openxmlformats.org/officeDocument/2006/relationships/hyperlink" Target="https://jlcpcb.com/partdetail/C15849" TargetMode="External"/><Relationship Id="rId31" Type="http://schemas.openxmlformats.org/officeDocument/2006/relationships/hyperlink" Target="https://www.lcsc.com/datasheet/lcsc_datasheet_2304140030_Samsung-Electro-Mechanics-CL10A105KB8NNNC_C15849.pdf" TargetMode="External"/><Relationship Id="rId32" Type="http://schemas.openxmlformats.org/officeDocument/2006/relationships/hyperlink" Target="https://jlcpcb.com/partdetail/C13585" TargetMode="External"/><Relationship Id="rId33" Type="http://schemas.openxmlformats.org/officeDocument/2006/relationships/hyperlink" Target="https://www.lcsc.com/datasheet/lcsc_datasheet_2304140030_Samsung-Electro-Mechanics-CL31A106KBHNNNE_C13585.pdf" TargetMode="External"/><Relationship Id="rId34" Type="http://schemas.openxmlformats.org/officeDocument/2006/relationships/hyperlink" Target="https://jlcpcb.com/partdetail/C136294" TargetMode="External"/><Relationship Id="rId35" Type="http://schemas.openxmlformats.org/officeDocument/2006/relationships/hyperlink" Target="https://www.lcsc.com/datasheet/lcsc_datasheet_1808312007_Nichicon-UCD1V221MNL1GS_C136294.pdf" TargetMode="External"/><Relationship Id="rId36" Type="http://schemas.openxmlformats.org/officeDocument/2006/relationships/hyperlink" Target="https://www.mouser.com/ProductDetail/Nichicon/UVR0J102MPD1TD" TargetMode="External"/><Relationship Id="rId37" Type="http://schemas.openxmlformats.org/officeDocument/2006/relationships/hyperlink" Target="https://jlcpcb.com/partdetail/C970714" TargetMode="External"/><Relationship Id="rId38" Type="http://schemas.openxmlformats.org/officeDocument/2006/relationships/hyperlink" Target="https://jlcpcb.com/api/file/downloadByFileSystemAccessId/8590911073887604736" TargetMode="External"/><Relationship Id="rId39" Type="http://schemas.openxmlformats.org/officeDocument/2006/relationships/hyperlink" Target="https://jlcpcb.com/partdetail/C353517" TargetMode="External"/><Relationship Id="rId40" Type="http://schemas.openxmlformats.org/officeDocument/2006/relationships/hyperlink" Target="https://www.lcsc.com/datasheet/lcsc_datasheet_2304140030_Shandong-Jingdao-Microelectronics-BZT52C4V7S_C353517.pdf" TargetMode="External"/><Relationship Id="rId41" Type="http://schemas.openxmlformats.org/officeDocument/2006/relationships/hyperlink" Target="https://jlcpcb.com/partdetail/C5261070" TargetMode="External"/><Relationship Id="rId42" Type="http://schemas.openxmlformats.org/officeDocument/2006/relationships/hyperlink" Target="https://wmsc.lcsc.com/wmsc/upload/file/pdf/v2/lcsc/2406051353_HXY-MOSFET-BAT54_C5261070.pdf" TargetMode="External"/><Relationship Id="rId43" Type="http://schemas.openxmlformats.org/officeDocument/2006/relationships/hyperlink" Target="https://jlcpcb.com/partdetail/C2926172" TargetMode="External"/><Relationship Id="rId44" Type="http://schemas.openxmlformats.org/officeDocument/2006/relationships/hyperlink" Target="https://wmsc.lcsc.com/wmsc/upload/file/pdf/v2/lcsc/2112031830_FOSAN-BAT54A_C2926172.pdf" TargetMode="External"/><Relationship Id="rId45" Type="http://schemas.openxmlformats.org/officeDocument/2006/relationships/hyperlink" Target="https://jlcpcb.com/partdetail/C2926174" TargetMode="External"/><Relationship Id="rId46" Type="http://schemas.openxmlformats.org/officeDocument/2006/relationships/hyperlink" Target="https://wmsc.lcsc.com/wmsc/upload/file/pdf/v2/lcsc/2112031830_FOSAN-BAT54S_C2926174.pdf" TargetMode="External"/><Relationship Id="rId47" Type="http://schemas.openxmlformats.org/officeDocument/2006/relationships/hyperlink" Target="https://jlcpcb.com/partdetail/C408388" TargetMode="External"/><Relationship Id="rId48" Type="http://schemas.openxmlformats.org/officeDocument/2006/relationships/hyperlink" Target="https://www.lcsc.com/datasheet/lcsc_datasheet_2407101108_MDD-Microdiode-Semiconductor-BAT54C_C408388.pdf" TargetMode="External"/><Relationship Id="rId49" Type="http://schemas.openxmlformats.org/officeDocument/2006/relationships/hyperlink" Target="https://jlcpcb.com/partdetail/C2500" TargetMode="External"/><Relationship Id="rId50" Type="http://schemas.openxmlformats.org/officeDocument/2006/relationships/hyperlink" Target="https://jlcpcb.com/partdetail/C2683482" TargetMode="External"/><Relationship Id="rId51" Type="http://schemas.openxmlformats.org/officeDocument/2006/relationships/hyperlink" Target="https://www.lcsc.com/datasheet/lcsc_datasheet_2403081523_IDCHIP-LM358D_C2683482.pdf" TargetMode="External"/><Relationship Id="rId52" Type="http://schemas.openxmlformats.org/officeDocument/2006/relationships/hyperlink" Target="https://jlcpcb.com/partdetail/C695838" TargetMode="External"/><Relationship Id="rId53" Type="http://schemas.openxmlformats.org/officeDocument/2006/relationships/hyperlink" Target="https://jlcpcb.com/partdetail/C5145392" TargetMode="External"/><Relationship Id="rId54" Type="http://schemas.openxmlformats.org/officeDocument/2006/relationships/hyperlink" Target="https://wmsc.lcsc.com/wmsc/upload/file/pdf/v2/lcsc/2209290930_HANSCHIP-semiconductor-NE556DRG_C5145392.pdf" TargetMode="External"/><Relationship Id="rId55" Type="http://schemas.openxmlformats.org/officeDocument/2006/relationships/hyperlink" Target="https://jlcpcb.com/partdetail/C629440" TargetMode="External"/><Relationship Id="rId56" Type="http://schemas.openxmlformats.org/officeDocument/2006/relationships/hyperlink" Target="https://wmsc.lcsc.com/wmsc/upload/file/pdf/v2/lcsc/2203221230_Microchip-Tech-MCP23017T-E-SO_C629440.pdf" TargetMode="External"/><Relationship Id="rId57" Type="http://schemas.openxmlformats.org/officeDocument/2006/relationships/hyperlink" Target="https://jlcpcb.com/partdetail/C2678753" TargetMode="External"/><Relationship Id="rId58" Type="http://schemas.openxmlformats.org/officeDocument/2006/relationships/hyperlink" Target="https://www.lcsc.com/datasheet/lcsc_datasheet_2405281434_NXP-Semicon-PCA9685PW-118_C2678753.pdf" TargetMode="External"/><Relationship Id="rId59" Type="http://schemas.openxmlformats.org/officeDocument/2006/relationships/hyperlink" Target="https://jlcpcb.com/partdetail/C965807" TargetMode="External"/><Relationship Id="rId60" Type="http://schemas.openxmlformats.org/officeDocument/2006/relationships/hyperlink" Target="https://wmsc.lcsc.com/wmsc/upload/file/pdf/v2/lcsc/2402181505_XINGLIGHT-XL-1608UBC-04_C965807.pdf" TargetMode="External"/><Relationship Id="rId61" Type="http://schemas.openxmlformats.org/officeDocument/2006/relationships/hyperlink" Target="https://jlcpcb.com/partdetail/C965808" TargetMode="External"/><Relationship Id="rId62" Type="http://schemas.openxmlformats.org/officeDocument/2006/relationships/hyperlink" Target="https://wmsc.lcsc.com/wmsc/upload/file/pdf/v2/lcsc/2402181505_XINGLIGHT-XL-1608UWC-04_C965808.pdf" TargetMode="External"/><Relationship Id="rId63" Type="http://schemas.openxmlformats.org/officeDocument/2006/relationships/hyperlink" Target="https://jlcpcb.com/partdetail/C965804" TargetMode="External"/><Relationship Id="rId64" Type="http://schemas.openxmlformats.org/officeDocument/2006/relationships/hyperlink" Target="https://wmsc.lcsc.com/wmsc/upload/file/pdf/v2/lcsc/2402181505_XINGLIGHT-XL-1608UGC-04_C965804.pdf" TargetMode="External"/><Relationship Id="rId65" Type="http://schemas.openxmlformats.org/officeDocument/2006/relationships/hyperlink" Target="https://jlcpcb.com/partdetail/C965806" TargetMode="External"/><Relationship Id="rId66" Type="http://schemas.openxmlformats.org/officeDocument/2006/relationships/hyperlink" Target="https://wmsc.lcsc.com/wmsc/upload/file/pdf/v2/lcsc/2402181505_XINGLIGHT-XL-1608SYGC-04_C965806.pdf" TargetMode="External"/><Relationship Id="rId67" Type="http://schemas.openxmlformats.org/officeDocument/2006/relationships/hyperlink" Target="https://jlcpcb.com/partdetail/C22371303" TargetMode="External"/><Relationship Id="rId68" Type="http://schemas.openxmlformats.org/officeDocument/2006/relationships/hyperlink" Target="https://wmsc.lcsc.com/wmsc/upload/file/pdf/v2/lcsc/2403281522_HONGLITRONIC-Hongli-Zhihui--HONGLITRONIC-HL-PSC-1608S25OC-G4_C22371303.pdf" TargetMode="External"/><Relationship Id="rId69" Type="http://schemas.openxmlformats.org/officeDocument/2006/relationships/hyperlink" Target="https://jlcpcb.com/partdetail/C965800" TargetMode="External"/><Relationship Id="rId70" Type="http://schemas.openxmlformats.org/officeDocument/2006/relationships/hyperlink" Target="https://wmsc.lcsc.com/wmsc/upload/file/pdf/v2/lcsc/2402181505_XINGLIGHT-XL-1608UOC-06_C965800.pdf" TargetMode="External"/><Relationship Id="rId71" Type="http://schemas.openxmlformats.org/officeDocument/2006/relationships/hyperlink" Target="https://jlcpcb.com/partdetail/C965801" TargetMode="External"/><Relationship Id="rId72" Type="http://schemas.openxmlformats.org/officeDocument/2006/relationships/hyperlink" Target="https://wmsc.lcsc.com/wmsc/upload/file/pdf/v2/lcsc/2402181505_XINGLIGHT-XL-1608UOC-06_C965800.pdf" TargetMode="External"/><Relationship Id="rId73" Type="http://schemas.openxmlformats.org/officeDocument/2006/relationships/hyperlink" Target="https://jlcpcb.com/partdetail/C965803" TargetMode="External"/><Relationship Id="rId74" Type="http://schemas.openxmlformats.org/officeDocument/2006/relationships/hyperlink" Target="https://wmsc.lcsc.com/wmsc/upload/file/pdf/v2/lcsc/2402181505_XINGLIGHT-XL-1608UOC-04_C965801.pdf" TargetMode="External"/><Relationship Id="rId75" Type="http://schemas.openxmlformats.org/officeDocument/2006/relationships/hyperlink" Target="https://jlcpcb.com/partdetail/C7288939" TargetMode="External"/><Relationship Id="rId76" Type="http://schemas.openxmlformats.org/officeDocument/2006/relationships/hyperlink" Target="https://wmsc.lcsc.com/wmsc/upload/file/pdf/v2/lcsc/2404241146_Inolux-IN-S63ASR_C7288939.pdf" TargetMode="External"/><Relationship Id="rId77" Type="http://schemas.openxmlformats.org/officeDocument/2006/relationships/hyperlink" Target="https://jlcpcb.com/partdetail/C965799" TargetMode="External"/><Relationship Id="rId78" Type="http://schemas.openxmlformats.org/officeDocument/2006/relationships/hyperlink" Target="https://wmsc.lcsc.com/wmsc/upload/file/pdf/v2/lcsc/2402181505_XINGLIGHT-XL-1608SURC-06_C965799.pdf" TargetMode="External"/><Relationship Id="rId79" Type="http://schemas.openxmlformats.org/officeDocument/2006/relationships/hyperlink" Target="https://jlcpcb.com/partdetail/C965798" TargetMode="External"/><Relationship Id="rId80" Type="http://schemas.openxmlformats.org/officeDocument/2006/relationships/hyperlink" Target="https://wmsc.lcsc.com/wmsc/upload/file/pdf/v2/lcsc/2402181505_XINGLIGHT-XL-1608SURC-04_C965798.pdf" TargetMode="External"/><Relationship Id="rId81" Type="http://schemas.openxmlformats.org/officeDocument/2006/relationships/hyperlink" Target="https://jlcpcb.com/partdetail/C2843785" TargetMode="External"/><Relationship Id="rId82" Type="http://schemas.openxmlformats.org/officeDocument/2006/relationships/hyperlink" Target="https://www.lcsc.com/datasheet/lcsc_datasheet_2404120946_XINGLIGHT-XL-5050RGBC-WS2812B_C2843785.pdf" TargetMode="External"/><Relationship Id="rId83" Type="http://schemas.openxmlformats.org/officeDocument/2006/relationships/hyperlink" Target="https://jlcpcb.com/partdetail/C5345985" TargetMode="External"/><Relationship Id="rId84" Type="http://schemas.openxmlformats.org/officeDocument/2006/relationships/hyperlink" Target="https://wmsc.lcsc.com/wmsc/upload/file/pdf/v2/lcsc/2301120930_HXY-MOSFET-AMS1117-ADJ_C5345985.pdf" TargetMode="External"/><Relationship Id="rId85" Type="http://schemas.openxmlformats.org/officeDocument/2006/relationships/hyperlink" Target="https://jlcpcb.com/partdetail/C5345982" TargetMode="External"/><Relationship Id="rId86" Type="http://schemas.openxmlformats.org/officeDocument/2006/relationships/hyperlink" Target="https://wmsc.lcsc.com/wmsc/upload/file/pdf/v2/lcsc/2301120930_HXY-MOSFET-AMS1117-3-3_C5345982.pdf" TargetMode="External"/><Relationship Id="rId87" Type="http://schemas.openxmlformats.org/officeDocument/2006/relationships/hyperlink" Target="https://jlcpcb.com/partdetail/C5345984" TargetMode="External"/><Relationship Id="rId88" Type="http://schemas.openxmlformats.org/officeDocument/2006/relationships/hyperlink" Target="https://wmsc.lcsc.com/wmsc/upload/file/pdf/v2/lcsc/2301120930_HXY-MOSFET-AMS1117-5-0_C5345984.pdf" TargetMode="External"/><Relationship Id="rId89" Type="http://schemas.openxmlformats.org/officeDocument/2006/relationships/hyperlink" Target="https://jlcpcb.com/partdetail/C347278" TargetMode="External"/><Relationship Id="rId90" Type="http://schemas.openxmlformats.org/officeDocument/2006/relationships/hyperlink" Target="https://www.lcsc.com/datasheet/C347278.pdf?spm=wm.sxq.inf.ggs&amp;lcsc_vid=TlhaVVxSFQRdBQZVQVQPVAdWFABYBlFeRFMKUQcARlMxVlNRQ1hWVlFTTllbUDsOAxUeFF5JWBYZEEoKFBINSQcJGk4dAgUUFAk=" TargetMode="External"/><Relationship Id="rId91" Type="http://schemas.openxmlformats.org/officeDocument/2006/relationships/hyperlink" Target="https://omronfs.omron.com/en_US/ecb/products/pdf/en-g2rl.pdf" TargetMode="External"/><Relationship Id="rId92" Type="http://schemas.openxmlformats.org/officeDocument/2006/relationships/hyperlink" Target="https://jlcpcb.com/partdetail/C5184404" TargetMode="External"/><Relationship Id="rId93" Type="http://schemas.openxmlformats.org/officeDocument/2006/relationships/hyperlink" Target="https://wmsc.lcsc.com/wmsc/upload/file/pdf/v2/lcsc/2407151447_HXY-MOSFET-MMBT3904_C5184404.pdf" TargetMode="External"/><Relationship Id="rId94" Type="http://schemas.openxmlformats.org/officeDocument/2006/relationships/hyperlink" Target="https://jlcpcb.com/partdetail/C5184433" TargetMode="External"/><Relationship Id="rId95" Type="http://schemas.openxmlformats.org/officeDocument/2006/relationships/hyperlink" Target="https://wmsc.lcsc.com/wmsc/upload/file/pdf/v2/lcsc/2303091430_HXY-MOSFET-BC807-40_C5184433.pdf" TargetMode="External"/><Relationship Id="rId96" Type="http://schemas.openxmlformats.org/officeDocument/2006/relationships/hyperlink" Target="https://jlcpcb.com/partdetail/C5224215" TargetMode="External"/><Relationship Id="rId97" Type="http://schemas.openxmlformats.org/officeDocument/2006/relationships/hyperlink" Target="https://wmsc.lcsc.com/wmsc/upload/file/pdf/v2/lcsc/2210271630_ElecSuper-2N7002_C5224215.pdf" TargetMode="External"/><Relationship Id="rId98" Type="http://schemas.openxmlformats.org/officeDocument/2006/relationships/hyperlink" Target="https://jlcpcb.com/partdetail/C878901" TargetMode="External"/><Relationship Id="rId99" Type="http://schemas.openxmlformats.org/officeDocument/2006/relationships/hyperlink" Target="https://www.diodes.com/assets/Datasheets/ds31773.pdf" TargetMode="External"/><Relationship Id="rId100" Type="http://schemas.openxmlformats.org/officeDocument/2006/relationships/hyperlink" Target="https://jlcpcb.com/partdetail/C7499856" TargetMode="External"/><Relationship Id="rId101" Type="http://schemas.openxmlformats.org/officeDocument/2006/relationships/hyperlink" Target="https://wmsc.lcsc.com/wmsc/upload/file/pdf/v2/lcsc/2310251707_HL-2301V_C7499856.pdf" TargetMode="External"/><Relationship Id="rId102" Type="http://schemas.openxmlformats.org/officeDocument/2006/relationships/hyperlink" Target="https://jlcpcb.com/partdetail/C2907123" TargetMode="External"/><Relationship Id="rId103" Type="http://schemas.openxmlformats.org/officeDocument/2006/relationships/hyperlink" Target="https://wmsc.lcsc.com/wmsc/upload/file/pdf/v2/lcsc/2308241947_FOJAN-FRC0603J201-TS_C2907123.pdf" TargetMode="External"/><Relationship Id="rId104" Type="http://schemas.openxmlformats.org/officeDocument/2006/relationships/hyperlink" Target="https://jlcpcb.com/partdetail/C5842375" TargetMode="External"/><Relationship Id="rId105" Type="http://schemas.openxmlformats.org/officeDocument/2006/relationships/hyperlink" Target="https://wmsc.lcsc.com/wmsc/upload/file/pdf/v2/lcsc/2312030915_YAGEO-RC0603FR-13220RL_C5842375.pdf" TargetMode="External"/><Relationship Id="rId106" Type="http://schemas.openxmlformats.org/officeDocument/2006/relationships/hyperlink" Target="https://jlcpcb.com/partdetail/C1226" TargetMode="External"/><Relationship Id="rId107" Type="http://schemas.openxmlformats.org/officeDocument/2006/relationships/hyperlink" Target="https://www.lcsc.com/datasheet/lcsc_datasheet_2206010230_UNI-ROYAL-Uniroyal-Elec-0603WAJ0221T5E_C1226.pdf" TargetMode="External"/><Relationship Id="rId108" Type="http://schemas.openxmlformats.org/officeDocument/2006/relationships/hyperlink" Target="https://jlcpcb.com/partdetail/C25231" TargetMode="External"/><Relationship Id="rId109" Type="http://schemas.openxmlformats.org/officeDocument/2006/relationships/hyperlink" Target="https://www.lcsc.com/datasheet/lcsc_datasheet_2205311845_UNI-ROYAL-Uniroyal-Elec-0603WAJ0331T5E_C25231.pdf" TargetMode="External"/><Relationship Id="rId110" Type="http://schemas.openxmlformats.org/officeDocument/2006/relationships/hyperlink" Target="https://jlcpcb.com/partdetail/C25241" TargetMode="External"/><Relationship Id="rId111" Type="http://schemas.openxmlformats.org/officeDocument/2006/relationships/hyperlink" Target="https://www.lcsc.com/datasheet/lcsc_datasheet_2205311845_UNI-ROYAL-Uniroyal-Elec-0603WAJ0471T5E_C25241.pdf" TargetMode="External"/><Relationship Id="rId112" Type="http://schemas.openxmlformats.org/officeDocument/2006/relationships/hyperlink" Target="https://jlcpcb.com/partdetail/C25585" TargetMode="External"/><Relationship Id="rId113" Type="http://schemas.openxmlformats.org/officeDocument/2006/relationships/hyperlink" Target="https://www.lcsc.com/datasheet/lcsc_datasheet_2206010100_UNI-ROYAL-Uniroyal-Elec-0603WAJ0102T5E_C25585.pdf" TargetMode="External"/><Relationship Id="rId114" Type="http://schemas.openxmlformats.org/officeDocument/2006/relationships/hyperlink" Target="https://jlcpcb.com/partdetail/C25992" TargetMode="External"/><Relationship Id="rId115" Type="http://schemas.openxmlformats.org/officeDocument/2006/relationships/hyperlink" Target="https://www.lcsc.com/datasheet/lcsc_datasheet_2206010045_UNI-ROYAL-Uniroyal-Elec-0603WAJ0222T5E_C25992.pdf" TargetMode="External"/><Relationship Id="rId116" Type="http://schemas.openxmlformats.org/officeDocument/2006/relationships/hyperlink" Target="https://jlcpcb.com/partdetail/C2907023" TargetMode="External"/><Relationship Id="rId117" Type="http://schemas.openxmlformats.org/officeDocument/2006/relationships/hyperlink" Target="https://wmsc.lcsc.com/wmsc/upload/file/pdf/v2/lcsc/2308241947_FOJAN-FRC0603F3301TS_C2907023.pdf" TargetMode="External"/><Relationship Id="rId118" Type="http://schemas.openxmlformats.org/officeDocument/2006/relationships/hyperlink" Target="https://jlcpcb.com/partdetail/C25995" TargetMode="External"/><Relationship Id="rId119" Type="http://schemas.openxmlformats.org/officeDocument/2006/relationships/hyperlink" Target="https://www.lcsc.com/datasheet/lcsc_datasheet_2206010045_UNI-ROYAL-Uniroyal-Elec-0603WAJ0332T5E_C25995.pdf" TargetMode="External"/><Relationship Id="rId120" Type="http://schemas.openxmlformats.org/officeDocument/2006/relationships/hyperlink" Target="https://jlcpcb.com/partdetail/C25999" TargetMode="External"/><Relationship Id="rId121" Type="http://schemas.openxmlformats.org/officeDocument/2006/relationships/hyperlink" Target="https://www.lcsc.com/datasheet/lcsc_datasheet_2206010045_UNI-ROYAL-Uniroyal-Elec-0603WAJ0472T5E_C25999.pdf" TargetMode="External"/><Relationship Id="rId122" Type="http://schemas.openxmlformats.org/officeDocument/2006/relationships/hyperlink" Target="https://jlcpcb.com/partdetail/C26001" TargetMode="External"/><Relationship Id="rId123" Type="http://schemas.openxmlformats.org/officeDocument/2006/relationships/hyperlink" Target="https://www.lcsc.com/datasheet/lcsc_datasheet_2206010045_UNI-ROYAL-Uniroyal-Elec-0603WAJ0562T5E_C26001.pdf" TargetMode="External"/><Relationship Id="rId124" Type="http://schemas.openxmlformats.org/officeDocument/2006/relationships/hyperlink" Target="https://jlcpcb.com/partdetail/C4118381" TargetMode="External"/><Relationship Id="rId125" Type="http://schemas.openxmlformats.org/officeDocument/2006/relationships/hyperlink" Target="https://wmsc.lcsc.com/wmsc/upload/file/pdf/v2/lcsc/2404101024_YAGEO-RC0603JR-1310KL_C4118381.pdf" TargetMode="External"/><Relationship Id="rId126" Type="http://schemas.openxmlformats.org/officeDocument/2006/relationships/hyperlink" Target="https://jlcpcb.com/partdetail/C2930027" TargetMode="External"/><Relationship Id="rId127" Type="http://schemas.openxmlformats.org/officeDocument/2006/relationships/hyperlink" Target="https://wmsc.lcsc.com/wmsc/upload/file/pdf/v2/lcsc/2308241009_FOJAN-FRC0603J103TS_C2930027.pdf" TargetMode="External"/><Relationship Id="rId128" Type="http://schemas.openxmlformats.org/officeDocument/2006/relationships/hyperlink" Target="https://jlcpcb.com/partdetail/C15401" TargetMode="External"/><Relationship Id="rId129" Type="http://schemas.openxmlformats.org/officeDocument/2006/relationships/hyperlink" Target="https://www.lcsc.com/datasheet/lcsc_datasheet_2206010216_UNI-ROYAL-Uniroyal-Elec-0603WAJ0103T5E_C15401.pdf" TargetMode="External"/><Relationship Id="rId130" Type="http://schemas.openxmlformats.org/officeDocument/2006/relationships/hyperlink" Target="https://jlcpcb.com/partdetail/C25577" TargetMode="External"/><Relationship Id="rId131" Type="http://schemas.openxmlformats.org/officeDocument/2006/relationships/hyperlink" Target="https://www.lcsc.com/datasheet/lcsc_datasheet_2205311900_UNI-ROYAL-Uniroyal-Elec-0603WAJ0123T5E_C25577.pdf" TargetMode="External"/><Relationship Id="rId132" Type="http://schemas.openxmlformats.org/officeDocument/2006/relationships/hyperlink" Target="https://jlcpcb.com/partdetail/C23344" TargetMode="External"/><Relationship Id="rId133" Type="http://schemas.openxmlformats.org/officeDocument/2006/relationships/hyperlink" Target="https://www.lcsc.com/datasheet/lcsc_datasheet_2206010100_UNI-ROYAL-Uniroyal-Elec-0603WAJ0223T5E_C23344.pdf" TargetMode="External"/><Relationship Id="rId134" Type="http://schemas.openxmlformats.org/officeDocument/2006/relationships/hyperlink" Target="https://jlcpcb.com/partdetail/C15458" TargetMode="External"/><Relationship Id="rId135" Type="http://schemas.openxmlformats.org/officeDocument/2006/relationships/hyperlink" Target="https://www.lcsc.com/datasheet/lcsc_datasheet_2206010216_UNI-ROYAL-Uniroyal-Elec-0603WAJ0104T5E_C15458.pdf" TargetMode="External"/><Relationship Id="rId136" Type="http://schemas.openxmlformats.org/officeDocument/2006/relationships/hyperlink" Target="https://jlcpcb.com/partdetail/C22935" TargetMode="External"/><Relationship Id="rId137" Type="http://schemas.openxmlformats.org/officeDocument/2006/relationships/hyperlink" Target="https://www.lcsc.com/datasheet/lcsc_datasheet_2206010130_UNI-ROYAL-Uniroyal-Elec-0603WAF1004T5E_C22935.pdf" TargetMode="External"/><Relationship Id="rId138" Type="http://schemas.openxmlformats.org/officeDocument/2006/relationships/hyperlink" Target="https://jlcpcb.com/partdetail/C26098" TargetMode="External"/><Relationship Id="rId139" Type="http://schemas.openxmlformats.org/officeDocument/2006/relationships/hyperlink" Target="https://www.lcsc.com/datasheet/lcsc_datasheet_2206010030_UNI-ROYAL-Uniroyal-Elec-0603WAJ0105T5E_C26098.pdf" TargetMode="External"/><Relationship Id="rId140" Type="http://schemas.openxmlformats.org/officeDocument/2006/relationships/hyperlink" Target="https://jlcpcb.com/partdetail/C18679" TargetMode="External"/><Relationship Id="rId141" Type="http://schemas.openxmlformats.org/officeDocument/2006/relationships/hyperlink" Target="https://www.lcsc.com/datasheet/lcsc_datasheet_2206010145_UNI-ROYAL-Uniroyal-Elec-0603WAJ0225T5E_C18679.pdf" TargetMode="External"/><Relationship Id="rId142" Type="http://schemas.openxmlformats.org/officeDocument/2006/relationships/hyperlink" Target="https://jlcpcb.com/partdetail/C403986" TargetMode="External"/><Relationship Id="rId143" Type="http://schemas.openxmlformats.org/officeDocument/2006/relationships/hyperlink" Target="https://wmsc.lcsc.com/wmsc/upload/file/pdf/v2/lcsc/2304140030_FH--Guangdong-Fenghua-Advanced-Tech-RS-03L225JJT_C403986.pdf" TargetMode="External"/><Relationship Id="rId144" Type="http://schemas.openxmlformats.org/officeDocument/2006/relationships/hyperlink" Target="https://jlcpcb.com/partdetail/C18679" TargetMode="External"/><Relationship Id="rId145" Type="http://schemas.openxmlformats.org/officeDocument/2006/relationships/hyperlink" Target="https://www.lcsc.com/datasheet/lcsc_datasheet_2206010145_UNI-ROYAL-Uniroyal-Elec-0603WAJ0225T5E_C18679.pdf" TargetMode="External"/><Relationship Id="rId146" Type="http://schemas.openxmlformats.org/officeDocument/2006/relationships/hyperlink" Target="https://jlcpcb.com/partdetail/C1525253" TargetMode="External"/><Relationship Id="rId147" Type="http://schemas.openxmlformats.org/officeDocument/2006/relationships/hyperlink" Target="https://jlcpcb.com/api/file/downloadByFileSystemAccessId/8589033743424368640" TargetMode="External"/><Relationship Id="rId148" Type="http://schemas.openxmlformats.org/officeDocument/2006/relationships/hyperlink" Target="https://jlcpcb.com/partdetail/C898949" TargetMode="External"/><Relationship Id="rId149" Type="http://schemas.openxmlformats.org/officeDocument/2006/relationships/hyperlink" Target="https://jlcpcb.com/api/file/downloadByFileSystemAccessId/8588917274006720512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B3:AJ117"/>
  <sheetViews>
    <sheetView workbookViewId="0" showGridLines="0" defaultGridColor="1">
      <pane topLeftCell="A4" xSplit="0" ySplit="3" activePane="bottomLeft" state="frozen"/>
    </sheetView>
  </sheetViews>
  <sheetFormatPr defaultColWidth="16.6667" defaultRowHeight="19.9" customHeight="1" outlineLevelRow="0" outlineLevelCol="0"/>
  <cols>
    <col min="1" max="1" width="13.0625" style="1" customWidth="1"/>
    <col min="2" max="2" width="36.4141" style="1" customWidth="1"/>
    <col min="3" max="3" width="41.3906" style="1" customWidth="1"/>
    <col min="4" max="4" width="38.6719" style="1" customWidth="1"/>
    <col min="5" max="5" width="13.9453" style="1" customWidth="1"/>
    <col min="6" max="6" width="17.1328" style="1" customWidth="1"/>
    <col min="7" max="7" width="11.9766" style="1" customWidth="1"/>
    <col min="8" max="8" width="18.5547" style="1" customWidth="1"/>
    <col min="9" max="9" width="17.1328" style="1" customWidth="1"/>
    <col min="10" max="10" width="26.6797" style="1" customWidth="1"/>
    <col min="11" max="11" width="16.6719" style="1" customWidth="1"/>
    <col min="12" max="12" width="115.172" style="1" customWidth="1"/>
    <col min="13" max="13" width="14.0781" style="1" customWidth="1"/>
    <col min="14" max="14" width="16.6797" style="1" customWidth="1"/>
    <col min="15" max="16" width="14.0781" style="1" customWidth="1"/>
    <col min="17" max="17" width="10.0703" style="1" customWidth="1"/>
    <col min="18" max="18" width="7.70312" style="1" customWidth="1"/>
    <col min="19" max="19" width="10.3672" style="1" customWidth="1"/>
    <col min="20" max="20" width="12.4062" style="1" customWidth="1"/>
    <col min="21" max="21" width="7.70312" style="1" customWidth="1"/>
    <col min="22" max="22" width="9.64844" style="1" customWidth="1"/>
    <col min="23" max="24" width="9.82812" style="1" customWidth="1"/>
    <col min="25" max="25" width="10.6953" style="1" customWidth="1"/>
    <col min="26" max="26" width="8.54688" style="1" customWidth="1"/>
    <col min="27" max="27" width="16.6875" style="1" customWidth="1"/>
    <col min="28" max="29" width="16.6719" style="1" customWidth="1"/>
    <col min="30" max="30" width="13.9453" style="1" customWidth="1"/>
    <col min="31" max="31" width="16.6719" style="1" customWidth="1"/>
    <col min="32" max="32" width="24.6953" style="1" customWidth="1"/>
    <col min="33" max="33" width="34.6484" style="1" customWidth="1"/>
    <col min="34" max="34" width="24.6172" style="1" customWidth="1"/>
    <col min="35" max="35" width="39.5312" style="1" customWidth="1"/>
    <col min="36" max="36" width="118.641" style="1" customWidth="1"/>
    <col min="37" max="16384" width="16.6719" style="1" customWidth="1"/>
  </cols>
  <sheetData>
    <row r="1" ht="53.75" customHeight="1"/>
    <row r="2" ht="48.3" customHeight="1">
      <c r="B2" t="s" s="2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 ht="42.1" customHeight="1">
      <c r="B3" t="s" s="3">
        <v>1</v>
      </c>
      <c r="C3" t="s" s="3">
        <v>2</v>
      </c>
      <c r="D3" t="s" s="3">
        <v>3</v>
      </c>
      <c r="E3" t="s" s="3">
        <v>4</v>
      </c>
      <c r="F3" t="s" s="3">
        <v>5</v>
      </c>
      <c r="G3" t="s" s="3">
        <v>6</v>
      </c>
      <c r="H3" t="s" s="3">
        <v>7</v>
      </c>
      <c r="I3" t="s" s="3">
        <v>8</v>
      </c>
      <c r="J3" t="s" s="3">
        <v>9</v>
      </c>
      <c r="K3" t="s" s="3">
        <v>10</v>
      </c>
      <c r="L3" t="s" s="4">
        <v>11</v>
      </c>
      <c r="M3" t="s" s="3">
        <v>12</v>
      </c>
      <c r="N3" t="s" s="3">
        <v>13</v>
      </c>
      <c r="O3" t="s" s="3">
        <v>14</v>
      </c>
      <c r="P3" t="s" s="3">
        <v>15</v>
      </c>
      <c r="Q3" t="s" s="3">
        <v>16</v>
      </c>
      <c r="R3" t="s" s="3">
        <v>17</v>
      </c>
      <c r="S3" t="s" s="3">
        <v>18</v>
      </c>
      <c r="T3" t="s" s="3">
        <v>19</v>
      </c>
      <c r="U3" t="s" s="3">
        <v>20</v>
      </c>
      <c r="V3" t="s" s="3">
        <v>21</v>
      </c>
      <c r="W3" t="s" s="3">
        <v>22</v>
      </c>
      <c r="X3" t="s" s="3">
        <v>23</v>
      </c>
      <c r="Y3" t="s" s="3">
        <v>24</v>
      </c>
      <c r="Z3" t="s" s="3">
        <v>25</v>
      </c>
      <c r="AA3" t="s" s="3">
        <v>26</v>
      </c>
      <c r="AB3" t="s" s="3">
        <v>27</v>
      </c>
      <c r="AC3" t="s" s="3">
        <v>28</v>
      </c>
      <c r="AD3" t="s" s="3">
        <v>29</v>
      </c>
      <c r="AE3" t="s" s="3">
        <v>30</v>
      </c>
      <c r="AF3" t="s" s="3">
        <v>31</v>
      </c>
      <c r="AG3" t="s" s="3">
        <v>32</v>
      </c>
      <c r="AH3" t="s" s="5">
        <v>33</v>
      </c>
      <c r="AI3" t="s" s="5">
        <v>34</v>
      </c>
      <c r="AJ3" t="s" s="3">
        <v>35</v>
      </c>
    </row>
    <row r="4" ht="18.9" customHeight="1">
      <c r="B4" t="str" s="6" cm="1">
        <f t="array" ref="B4">G4&amp;"_"&amp;F4</f>
        <v>SLK_BRD_80x100</v>
      </c>
      <c r="C4" t="str" s="7" cm="1">
        <f t="array" ref="C4">$F4&amp;IF($G4="LED"," LED","")&amp;IF($T4="",""," ")&amp;$T4&amp;IF($J4="",""," ")&amp;$J4&amp;IF($U4="",""," ")&amp;$U4&amp;IF($V4="",""," ")&amp;$V4&amp;IF($W4="",""," ")&amp;$W4&amp;IF($Z4="",""," ")&amp;$Z4&amp;IF($Z4="","","mcd")</f>
        <v>BRD_80x100 Board Outline &amp; Milling</v>
      </c>
      <c r="D4" t="str" s="7" cm="1">
        <f t="array" ref="D4">B4&amp;" "&amp;$F4&amp;" "&amp;G4&amp;IF($T4="",""," ")&amp;$T4&amp;IF($J4="",""," ")&amp;$J4&amp;IF($U4="",""," ")&amp;$U4&amp;IF($V4="",""," ")&amp;$V4&amp;IF($W4="",""," ")&amp;$W4&amp;IF($Z4="",""," ")&amp;$Z4&amp;IF($Z4="","","mcd")</f>
        <v>SLK_BRD_80x100 BRD_80x100 SLK Board Outline &amp; Milling</v>
      </c>
      <c r="E4" t="str" s="6" cm="1">
        <f t="array" ref="E4">IF(ISBLANK(K4),"",HYPERLINK("https://jlcpcb.com/partdetail/"&amp;$K4,$K4))</f>
      </c>
      <c r="F4" t="str" s="6" cm="1">
        <f t="array" ref="F4">H4</f>
        <v>BRD_80x100</v>
      </c>
      <c r="G4" t="s" s="8">
        <v>40</v>
      </c>
      <c r="H4" t="s" s="8">
        <v>41</v>
      </c>
      <c r="I4" t="s" s="8">
        <v>42</v>
      </c>
      <c r="J4" t="s" s="8">
        <v>43</v>
      </c>
      <c r="K4" s="9"/>
      <c r="L4" t="s" s="10">
        <v>44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9"/>
      <c r="AC4" s="9"/>
      <c r="AD4" s="11">
        <v>10</v>
      </c>
      <c r="AE4" t="s" s="8">
        <v>45</v>
      </c>
      <c r="AF4" s="12"/>
      <c r="AG4" s="9"/>
      <c r="AH4" t="s" s="13">
        <v>46</v>
      </c>
      <c r="AI4" t="s" s="14">
        <v>47</v>
      </c>
      <c r="AJ4" s="9"/>
    </row>
    <row r="5" ht="18.9" customHeight="1">
      <c r="B5" t="str" s="15" cm="1">
        <f t="array" ref="B5">G5&amp;"_"&amp;F5</f>
        <v>SLK_BRD_100x50</v>
      </c>
      <c r="C5" t="str" s="16" cm="1">
        <f t="array" ref="C5">$F5&amp;IF($G5="LED"," LED","")&amp;IF($T5="",""," ")&amp;$T5&amp;IF($J5="",""," ")&amp;$J5&amp;IF($U5="",""," ")&amp;$U5&amp;IF($V5="",""," ")&amp;$V5&amp;IF($W5="",""," ")&amp;$W5&amp;IF($Z5="",""," ")&amp;$Z5&amp;IF($Z5="","","mcd")</f>
        <v>BRD_100x50 Board Outline &amp; Milling</v>
      </c>
      <c r="D5" t="str" s="16" cm="1">
        <f t="array" ref="D5">$F5&amp;" "&amp;G5&amp;IF($T5="",""," ")&amp;$T5&amp;IF($J5="",""," ")&amp;$J5&amp;IF($U5="",""," ")&amp;$U5&amp;IF($V5="",""," ")&amp;$V5&amp;IF($W5="",""," ")&amp;$W5&amp;IF($Z5="",""," ")&amp;$Z5&amp;IF($Z5="","","mcd")</f>
        <v>BRD_100x50 SLK Board Outline &amp; Milling</v>
      </c>
      <c r="E5" t="str" s="15" cm="1">
        <f t="array" ref="E5">IF(ISBLANK(K5),"",HYPERLINK("https://jlcpcb.com/partdetail/"&amp;$K5,$K5))</f>
      </c>
      <c r="F5" t="str" s="15" cm="1">
        <f t="array" ref="F5">H5</f>
        <v>BRD_100x50</v>
      </c>
      <c r="G5" t="s" s="17">
        <v>40</v>
      </c>
      <c r="H5" t="s" s="17">
        <v>52</v>
      </c>
      <c r="I5" t="s" s="17">
        <v>42</v>
      </c>
      <c r="J5" t="s" s="17">
        <v>43</v>
      </c>
      <c r="K5" s="18"/>
      <c r="L5" t="s" s="19">
        <v>53</v>
      </c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8"/>
      <c r="AC5" s="18"/>
      <c r="AD5" s="20">
        <v>10</v>
      </c>
      <c r="AE5" t="s" s="17">
        <v>45</v>
      </c>
      <c r="AF5" s="21"/>
      <c r="AG5" s="18"/>
      <c r="AH5" t="s" s="22">
        <v>46</v>
      </c>
      <c r="AI5" t="s" s="23">
        <v>54</v>
      </c>
      <c r="AJ5" s="18"/>
    </row>
    <row r="6" ht="18.9" customHeight="1">
      <c r="B6" t="str" s="15" cm="1">
        <f t="array" ref="B6">G6&amp;"_"&amp;F6</f>
        <v>SLK_BRD_100x25x2</v>
      </c>
      <c r="C6" t="str" s="16" cm="1">
        <f t="array" ref="C6">$F6&amp;IF($G6="LED"," LED","")&amp;IF($T6="",""," ")&amp;$T6&amp;IF($J6="",""," ")&amp;$J6&amp;IF($U6="",""," ")&amp;$U6&amp;IF($V6="",""," ")&amp;$V6&amp;IF($W6="",""," ")&amp;$W6&amp;IF($Z6="",""," ")&amp;$Z6&amp;IF($Z6="","","mcd")</f>
        <v>BRD_100x25x2 Board Outline &amp; Milling</v>
      </c>
      <c r="D6" t="str" s="16" cm="1">
        <f t="array" ref="D6">$F6&amp;" "&amp;G6&amp;IF($T6="",""," ")&amp;$T6&amp;IF($J6="",""," ")&amp;$J6&amp;IF($U6="",""," ")&amp;$U6&amp;IF($V6="",""," ")&amp;$V6&amp;IF($W6="",""," ")&amp;$W6&amp;IF($Z6="",""," ")&amp;$Z6&amp;IF($Z6="","","mcd")</f>
        <v>BRD_100x25x2 SLK Board Outline &amp; Milling</v>
      </c>
      <c r="E6" t="str" s="15" cm="1">
        <f t="array" ref="E6">IF(ISBLANK(K6),"",HYPERLINK("https://jlcpcb.com/partdetail/"&amp;$K6,$K6))</f>
      </c>
      <c r="F6" t="str" s="15" cm="1">
        <f t="array" ref="F6">H6</f>
        <v>BRD_100x25x2</v>
      </c>
      <c r="G6" t="s" s="17">
        <v>40</v>
      </c>
      <c r="H6" t="s" s="17">
        <v>59</v>
      </c>
      <c r="I6" t="s" s="17">
        <v>42</v>
      </c>
      <c r="J6" t="s" s="17">
        <v>43</v>
      </c>
      <c r="K6" s="18"/>
      <c r="L6" t="s" s="19">
        <v>53</v>
      </c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8"/>
      <c r="AC6" s="18"/>
      <c r="AD6" s="20">
        <v>10</v>
      </c>
      <c r="AE6" t="s" s="17">
        <v>45</v>
      </c>
      <c r="AF6" s="21"/>
      <c r="AG6" s="18"/>
      <c r="AH6" t="s" s="22">
        <v>46</v>
      </c>
      <c r="AI6" t="s" s="23">
        <v>60</v>
      </c>
      <c r="AJ6" s="18"/>
    </row>
    <row r="7" ht="18.9" customHeight="1">
      <c r="B7" t="str" s="15" cm="1">
        <f t="array" ref="B7">G7&amp;"_"&amp;F7</f>
        <v>SLK_BRD_100x75</v>
      </c>
      <c r="C7" t="str" s="16" cm="1">
        <f t="array" ref="C7">$F7&amp;IF($G7="LED"," LED","")&amp;IF($T7="",""," ")&amp;$T7&amp;IF($J7="",""," ")&amp;$J7&amp;IF($U7="",""," ")&amp;$U7&amp;IF($V7="",""," ")&amp;$V7&amp;IF($W7="",""," ")&amp;$W7&amp;IF($Z7="",""," ")&amp;$Z7&amp;IF($Z7="","","mcd")</f>
        <v>BRD_100x75 Board Outline &amp; Milling</v>
      </c>
      <c r="D7" t="str" s="16" cm="1">
        <f t="array" ref="D7">$F7&amp;" "&amp;G7&amp;IF($T7="",""," ")&amp;$T7&amp;IF($J7="",""," ")&amp;$J7&amp;IF($U7="",""," ")&amp;$U7&amp;IF($V7="",""," ")&amp;$V7&amp;IF($W7="",""," ")&amp;$W7&amp;IF($Z7="",""," ")&amp;$Z7&amp;IF($Z7="","","mcd")</f>
        <v>BRD_100x75 SLK Board Outline &amp; Milling</v>
      </c>
      <c r="E7" t="str" s="15" cm="1">
        <f t="array" ref="E7">IF(ISBLANK(K7),"",HYPERLINK("https://jlcpcb.com/partdetail/"&amp;$K7,$K7))</f>
      </c>
      <c r="F7" t="str" s="15" cm="1">
        <f t="array" ref="F7">H7</f>
        <v>BRD_100x75</v>
      </c>
      <c r="G7" t="s" s="17">
        <v>40</v>
      </c>
      <c r="H7" t="s" s="17">
        <v>65</v>
      </c>
      <c r="I7" t="s" s="17">
        <v>42</v>
      </c>
      <c r="J7" t="s" s="17">
        <v>43</v>
      </c>
      <c r="K7" s="18"/>
      <c r="L7" t="s" s="19">
        <v>53</v>
      </c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8"/>
      <c r="AC7" s="18"/>
      <c r="AD7" s="20">
        <v>10</v>
      </c>
      <c r="AE7" s="18"/>
      <c r="AF7" s="21"/>
      <c r="AG7" s="18"/>
      <c r="AH7" t="s" s="22">
        <v>46</v>
      </c>
      <c r="AI7" t="s" s="23">
        <v>66</v>
      </c>
      <c r="AJ7" s="18"/>
    </row>
    <row r="8" ht="18.9" customHeight="1">
      <c r="B8" t="str" s="15" cm="1">
        <f t="array" ref="B8">G8&amp;"_"&amp;F8</f>
        <v>SLK_BRD_100x75</v>
      </c>
      <c r="C8" t="str" s="16" cm="1">
        <f t="array" ref="C8">$F8&amp;IF($G8="LED"," LED","")&amp;IF($T8="",""," ")&amp;$T8&amp;IF($J8="",""," ")&amp;$J8&amp;IF($U8="",""," ")&amp;$U8&amp;IF($V8="",""," ")&amp;$V8&amp;IF($W8="",""," ")&amp;$W8&amp;IF($Z8="",""," ")&amp;$Z8&amp;IF($Z8="","","mcd")</f>
        <v>BRD_100x75 Board Outline &amp; Milling</v>
      </c>
      <c r="D8" t="str" s="16" cm="1">
        <f t="array" ref="D8">$F8&amp;" "&amp;G8&amp;IF($T8="",""," ")&amp;$T8&amp;IF($J8="",""," ")&amp;$J8&amp;IF($U8="",""," ")&amp;$U8&amp;IF($V8="",""," ")&amp;$V8&amp;IF($W8="",""," ")&amp;$W8&amp;IF($Z8="",""," ")&amp;$Z8&amp;IF($Z8="","","mcd")</f>
        <v>BRD_100x75 SLK Board Outline &amp; Milling</v>
      </c>
      <c r="E8" t="str" s="15" cm="1">
        <f t="array" ref="E8">IF(ISBLANK(K8),"",HYPERLINK("https://jlcpcb.com/partdetail/"&amp;$K8,$K8))</f>
      </c>
      <c r="F8" t="str" s="15" cm="1">
        <f t="array" ref="F8">H8</f>
        <v>BRD_100x75</v>
      </c>
      <c r="G8" t="s" s="17">
        <v>40</v>
      </c>
      <c r="H8" t="s" s="17">
        <v>65</v>
      </c>
      <c r="I8" t="s" s="17">
        <v>42</v>
      </c>
      <c r="J8" t="s" s="17">
        <v>43</v>
      </c>
      <c r="K8" s="18"/>
      <c r="L8" t="s" s="19">
        <v>67</v>
      </c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8"/>
      <c r="AC8" s="18"/>
      <c r="AD8" s="20">
        <v>10</v>
      </c>
      <c r="AE8" s="18"/>
      <c r="AF8" s="21"/>
      <c r="AG8" s="18"/>
      <c r="AH8" t="s" s="22">
        <v>46</v>
      </c>
      <c r="AI8" t="s" s="23">
        <v>68</v>
      </c>
      <c r="AJ8" s="18"/>
    </row>
    <row r="9" ht="18.9" customHeight="1">
      <c r="B9" t="str" s="15" cm="1">
        <f t="array" ref="B9">G9&amp;"_"&amp;F9</f>
        <v>SLK_BRD_100x100</v>
      </c>
      <c r="C9" t="str" s="16" cm="1">
        <f t="array" ref="C9">$F9&amp;IF($G9="LED"," LED","")&amp;IF($T9="",""," ")&amp;$T9&amp;IF($J9="",""," ")&amp;$J9&amp;IF($U9="",""," ")&amp;$U9&amp;IF($V9="",""," ")&amp;$V9&amp;IF($W9="",""," ")&amp;$W9&amp;IF($Z9="",""," ")&amp;$Z9&amp;IF($Z9="","","mcd")</f>
        <v>BRD_100x100 Board Outline &amp; Milling</v>
      </c>
      <c r="D9" t="str" s="16" cm="1">
        <f t="array" ref="D9">$F9&amp;" "&amp;G9&amp;IF($T9="",""," ")&amp;$T9&amp;IF($J9="",""," ")&amp;$J9&amp;IF($U9="",""," ")&amp;$U9&amp;IF($V9="",""," ")&amp;$V9&amp;IF($W9="",""," ")&amp;$W9&amp;IF($Z9="",""," ")&amp;$Z9&amp;IF($Z9="","","mcd")</f>
        <v>BRD_100x100 SLK Board Outline &amp; Milling</v>
      </c>
      <c r="E9" t="str" s="15" cm="1">
        <f t="array" ref="E9">IF(ISBLANK(K9),"",HYPERLINK("https://jlcpcb.com/partdetail/"&amp;$K9,$K9))</f>
      </c>
      <c r="F9" t="str" s="15" cm="1">
        <f t="array" ref="F9">H9</f>
        <v>BRD_100x100</v>
      </c>
      <c r="G9" t="s" s="17">
        <v>40</v>
      </c>
      <c r="H9" t="s" s="17">
        <v>73</v>
      </c>
      <c r="I9" t="s" s="17">
        <v>42</v>
      </c>
      <c r="J9" t="s" s="17">
        <v>43</v>
      </c>
      <c r="K9" s="18"/>
      <c r="L9" t="s" s="19">
        <v>53</v>
      </c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8"/>
      <c r="AC9" s="18"/>
      <c r="AD9" s="20">
        <v>10</v>
      </c>
      <c r="AE9" s="18"/>
      <c r="AF9" s="21"/>
      <c r="AG9" s="18"/>
      <c r="AH9" t="s" s="22">
        <v>46</v>
      </c>
      <c r="AI9" t="s" s="23">
        <v>74</v>
      </c>
      <c r="AJ9" s="18"/>
    </row>
    <row r="10" ht="18.9" customHeight="1">
      <c r="B10" t="str" s="15" cm="1">
        <f t="array" ref="B10">G10&amp;"_"&amp;F10</f>
        <v>SLK_BRD_100x150</v>
      </c>
      <c r="C10" t="str" s="16" cm="1">
        <f t="array" ref="C10">$F10&amp;IF($G10="LED"," LED","")&amp;IF($T10="",""," ")&amp;$T10&amp;IF($J10="",""," ")&amp;$J10&amp;IF($U10="",""," ")&amp;$U10&amp;IF($V10="",""," ")&amp;$V10&amp;IF($W10="",""," ")&amp;$W10&amp;IF($Z10="",""," ")&amp;$Z10&amp;IF($Z10="","","mcd")</f>
        <v>BRD_100x150 Board Outline &amp; Milling</v>
      </c>
      <c r="D10" t="str" s="16" cm="1">
        <f t="array" ref="D10">$F10&amp;" "&amp;G10&amp;IF($T10="",""," ")&amp;$T10&amp;IF($J10="",""," ")&amp;$J10&amp;IF($U10="",""," ")&amp;$U10&amp;IF($V10="",""," ")&amp;$V10&amp;IF($W10="",""," ")&amp;$W10&amp;IF($Z10="",""," ")&amp;$Z10&amp;IF($Z10="","","mcd")</f>
        <v>BRD_100x150 SLK Board Outline &amp; Milling</v>
      </c>
      <c r="E10" t="str" s="15" cm="1">
        <f t="array" ref="E10">IF(ISBLANK(K10),"",HYPERLINK("https://jlcpcb.com/partdetail/"&amp;$K10,$K10))</f>
      </c>
      <c r="F10" t="str" s="15" cm="1">
        <f t="array" ref="F10">H10</f>
        <v>BRD_100x150</v>
      </c>
      <c r="G10" t="s" s="17">
        <v>40</v>
      </c>
      <c r="H10" t="s" s="17">
        <v>79</v>
      </c>
      <c r="I10" t="s" s="17">
        <v>42</v>
      </c>
      <c r="J10" t="s" s="17">
        <v>43</v>
      </c>
      <c r="K10" s="18"/>
      <c r="L10" t="s" s="19">
        <v>53</v>
      </c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8"/>
      <c r="AC10" s="18"/>
      <c r="AD10" s="20">
        <v>10</v>
      </c>
      <c r="AE10" s="18"/>
      <c r="AF10" s="21"/>
      <c r="AG10" s="18"/>
      <c r="AH10" t="s" s="22">
        <v>46</v>
      </c>
      <c r="AI10" t="s" s="23">
        <v>80</v>
      </c>
      <c r="AJ10" s="18"/>
    </row>
    <row r="11" ht="18.9" customHeight="1">
      <c r="B11" t="str" s="15" cm="1">
        <f t="array" ref="B11">G11&amp;"_"&amp;F11</f>
        <v>SLK_BRD_100x200</v>
      </c>
      <c r="C11" t="str" s="16" cm="1">
        <f t="array" ref="C11">$F11&amp;IF($G11="LED"," LED","")&amp;IF($T11="",""," ")&amp;$T11&amp;IF($J11="",""," ")&amp;$J11&amp;IF($U11="",""," ")&amp;$U11&amp;IF($V11="",""," ")&amp;$V11&amp;IF($W11="",""," ")&amp;$W11&amp;IF($Z11="",""," ")&amp;$Z11&amp;IF($Z11="","","mcd")</f>
        <v>BRD_100x200 Board Outline &amp; Milling</v>
      </c>
      <c r="D11" t="str" s="16" cm="1">
        <f t="array" ref="D11">$F11&amp;" "&amp;G11&amp;IF($T11="",""," ")&amp;$T11&amp;IF($J11="",""," ")&amp;$J11&amp;IF($U11="",""," ")&amp;$U11&amp;IF($V11="",""," ")&amp;$V11&amp;IF($W11="",""," ")&amp;$W11&amp;IF($Z11="",""," ")&amp;$Z11&amp;IF($Z11="","","mcd")</f>
        <v>BRD_100x200 SLK Board Outline &amp; Milling</v>
      </c>
      <c r="E11" t="str" s="15" cm="1">
        <f t="array" ref="E11">IF(ISBLANK(K11),"",HYPERLINK("https://jlcpcb.com/partdetail/"&amp;$K11,$K11))</f>
      </c>
      <c r="F11" t="str" s="15" cm="1">
        <f t="array" ref="F11">H11</f>
        <v>BRD_100x200</v>
      </c>
      <c r="G11" t="s" s="17">
        <v>40</v>
      </c>
      <c r="H11" t="s" s="17">
        <v>85</v>
      </c>
      <c r="I11" t="s" s="17">
        <v>42</v>
      </c>
      <c r="J11" t="s" s="17">
        <v>43</v>
      </c>
      <c r="K11" s="18"/>
      <c r="L11" t="s" s="19">
        <v>53</v>
      </c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8"/>
      <c r="AC11" s="18"/>
      <c r="AD11" s="20">
        <v>10</v>
      </c>
      <c r="AE11" s="18"/>
      <c r="AF11" s="21"/>
      <c r="AG11" s="18"/>
      <c r="AH11" t="s" s="22">
        <v>46</v>
      </c>
      <c r="AI11" t="s" s="23">
        <v>86</v>
      </c>
      <c r="AJ11" s="18"/>
    </row>
    <row r="12" ht="18.9" customHeight="1">
      <c r="B12" t="str" s="15" cm="1">
        <f t="array" ref="B12">G12&amp;"_"&amp;F12</f>
        <v>SLK_DCPower+</v>
      </c>
      <c r="C12" t="str" s="16" cm="1">
        <f t="array" ref="C12">$F12&amp;IF($G12="LED"," LED","")&amp;IF($T12="",""," ")&amp;$T12&amp;IF($J12="",""," ")&amp;$J12&amp;IF($U12="",""," ")&amp;$U12&amp;IF($V12="",""," ")&amp;$V12&amp;IF($W12="",""," ")&amp;$W12&amp;IF($Z12="",""," ")&amp;$Z12&amp;IF($Z12="","","mcd")</f>
        <v>DCPower+ SilkScreen</v>
      </c>
      <c r="D12" t="str" s="16" cm="1">
        <f t="array" ref="D12">$F12&amp;" "&amp;G12&amp;IF($T12="",""," ")&amp;$T12&amp;IF($J12="",""," ")&amp;$J12&amp;IF($U12="",""," ")&amp;$U12&amp;IF($V12="",""," ")&amp;$V12&amp;IF($W12="",""," ")&amp;$W12&amp;IF($Z12="",""," ")&amp;$Z12&amp;IF($Z12="","","mcd")</f>
        <v>DCPower+ SLK SilkScreen</v>
      </c>
      <c r="E12" t="str" s="15" cm="1">
        <f t="array" ref="E12">IF(ISBLANK(K12),"",HYPERLINK("https://jlcpcb.com/partdetail/"&amp;$K12,$K12))</f>
      </c>
      <c r="F12" t="str" s="15" cm="1">
        <f t="array" ref="F12">H12</f>
        <v>DCPower+</v>
      </c>
      <c r="G12" t="s" s="17">
        <v>40</v>
      </c>
      <c r="H12" t="s" s="17">
        <v>91</v>
      </c>
      <c r="I12" t="s" s="17">
        <v>42</v>
      </c>
      <c r="J12" t="s" s="17">
        <v>92</v>
      </c>
      <c r="K12" s="18"/>
      <c r="L12" t="s" s="19">
        <v>93</v>
      </c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8"/>
      <c r="AC12" s="18"/>
      <c r="AD12" s="20">
        <v>10</v>
      </c>
      <c r="AE12" s="18"/>
      <c r="AF12" s="21"/>
      <c r="AG12" s="18"/>
      <c r="AH12" t="s" s="22">
        <v>94</v>
      </c>
      <c r="AI12" t="s" s="23">
        <v>95</v>
      </c>
      <c r="AJ12" s="18"/>
    </row>
    <row r="13" ht="18.9" customHeight="1">
      <c r="B13" t="str" s="15" cm="1">
        <f t="array" ref="B13">G13&amp;"_"&amp;F13</f>
        <v>SLK_DCPower-</v>
      </c>
      <c r="C13" t="str" s="16" cm="1">
        <f t="array" ref="C13">$F13&amp;IF($G13="LED"," LED","")&amp;IF($T13="",""," ")&amp;$T13&amp;IF($J13="",""," ")&amp;$J13&amp;IF($U13="",""," ")&amp;$U13&amp;IF($V13="",""," ")&amp;$V13&amp;IF($W13="",""," ")&amp;$W13&amp;IF($Z13="",""," ")&amp;$Z13&amp;IF($Z13="","","mcd")</f>
        <v>DCPower- SilkScreen</v>
      </c>
      <c r="D13" t="str" s="16" cm="1">
        <f t="array" ref="D13">$F13&amp;" "&amp;G13&amp;IF($T13="",""," ")&amp;$T13&amp;IF($J13="",""," ")&amp;$J13&amp;IF($U13="",""," ")&amp;$U13&amp;IF($V13="",""," ")&amp;$V13&amp;IF($W13="",""," ")&amp;$W13&amp;IF($Z13="",""," ")&amp;$Z13&amp;IF($Z13="","","mcd")</f>
        <v>DCPower- SLK SilkScreen</v>
      </c>
      <c r="E13" t="str" s="15" cm="1">
        <f t="array" ref="E13">IF(ISBLANK(K13),"",HYPERLINK("https://jlcpcb.com/partdetail/"&amp;$K13,$K13))</f>
      </c>
      <c r="F13" t="str" s="15" cm="1">
        <f t="array" ref="F13">H13</f>
        <v>DCPower-</v>
      </c>
      <c r="G13" t="s" s="17">
        <v>40</v>
      </c>
      <c r="H13" t="s" s="17">
        <v>100</v>
      </c>
      <c r="I13" t="s" s="17">
        <v>42</v>
      </c>
      <c r="J13" t="s" s="17">
        <v>92</v>
      </c>
      <c r="K13" s="18"/>
      <c r="L13" t="s" s="19">
        <v>93</v>
      </c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8"/>
      <c r="AC13" s="18"/>
      <c r="AD13" s="20">
        <v>10</v>
      </c>
      <c r="AE13" s="18"/>
      <c r="AF13" s="21"/>
      <c r="AG13" s="18"/>
      <c r="AH13" t="s" s="22">
        <v>101</v>
      </c>
      <c r="AI13" t="s" s="23">
        <v>102</v>
      </c>
      <c r="AJ13" s="18"/>
    </row>
    <row r="14" ht="18.9" customHeight="1">
      <c r="B14" t="str" s="15" cm="1">
        <f t="array" ref="B14">G14&amp;"_"&amp;F14</f>
        <v>SLK_CA65</v>
      </c>
      <c r="C14" t="str" s="16" cm="1">
        <f t="array" ref="C14">$F14&amp;IF($G14="LED"," LED","")&amp;IF($T14="",""," ")&amp;$T14&amp;IF($J14="",""," ")&amp;$J14&amp;IF($U14="",""," ")&amp;$U14&amp;IF($V14="",""," ")&amp;$V14&amp;IF($W14="",""," ")&amp;$W14&amp;IF($Z14="",""," ")&amp;$Z14&amp;IF($Z14="","","mcd")</f>
        <v>CA65 SilkScreen</v>
      </c>
      <c r="D14" t="str" s="16" cm="1">
        <f t="array" ref="D14">$F14&amp;" "&amp;G14&amp;IF($T14="",""," ")&amp;$T14&amp;IF($J14="",""," ")&amp;$J14&amp;IF($U14="",""," ")&amp;$U14&amp;IF($V14="",""," ")&amp;$V14&amp;IF($W14="",""," ")&amp;$W14&amp;IF($Z14="",""," ")&amp;$Z14&amp;IF($Z14="","","mcd")</f>
        <v>CA65 SLK SilkScreen</v>
      </c>
      <c r="E14" t="str" s="15" cm="1">
        <f t="array" ref="E14">IF(ISBLANK(K14),"",HYPERLINK("https://jlcpcb.com/partdetail/"&amp;$K14,$K14))</f>
      </c>
      <c r="F14" t="str" s="15" cm="1">
        <f t="array" ref="F14">H14</f>
        <v>CA65</v>
      </c>
      <c r="G14" t="s" s="17">
        <v>40</v>
      </c>
      <c r="H14" t="s" s="17">
        <v>107</v>
      </c>
      <c r="I14" t="s" s="17">
        <v>42</v>
      </c>
      <c r="J14" t="s" s="17">
        <v>92</v>
      </c>
      <c r="K14" s="18"/>
      <c r="L14" t="s" s="19">
        <v>108</v>
      </c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8"/>
      <c r="AC14" s="18"/>
      <c r="AD14" s="20">
        <v>10</v>
      </c>
      <c r="AE14" s="18"/>
      <c r="AF14" s="21"/>
      <c r="AG14" s="18"/>
      <c r="AH14" t="s" s="22">
        <v>109</v>
      </c>
      <c r="AI14" t="s" s="23">
        <v>110</v>
      </c>
      <c r="AJ14" s="18"/>
    </row>
    <row r="15" ht="18.9" customHeight="1">
      <c r="B15" t="str" s="15" cm="1">
        <f t="array" ref="B15">G15&amp;"_"&amp;F15</f>
        <v>SLK_CC-by-sa</v>
      </c>
      <c r="C15" t="str" s="16" cm="1">
        <f t="array" ref="C15">$F15&amp;IF($G15="LED"," LED","")&amp;IF($T15="",""," ")&amp;$T15&amp;IF($J15="",""," ")&amp;$J15&amp;IF($U15="",""," ")&amp;$U15&amp;IF($V15="",""," ")&amp;$V15&amp;IF($W15="",""," ")&amp;$W15&amp;IF($Z15="",""," ")&amp;$Z15&amp;IF($Z15="","","mcd")</f>
        <v>CC-by-sa SilkScreen</v>
      </c>
      <c r="D15" t="str" s="16" cm="1">
        <f t="array" ref="D15">$F15&amp;" "&amp;G15&amp;IF($T15="",""," ")&amp;$T15&amp;IF($J15="",""," ")&amp;$J15&amp;IF($U15="",""," ")&amp;$U15&amp;IF($V15="",""," ")&amp;$V15&amp;IF($W15="",""," ")&amp;$W15&amp;IF($Z15="",""," ")&amp;$Z15&amp;IF($Z15="","","mcd")</f>
        <v>CC-by-sa SLK SilkScreen</v>
      </c>
      <c r="E15" t="str" s="15" cm="1">
        <f t="array" ref="E15">IF(ISBLANK(K15),"",HYPERLINK("https://jlcpcb.com/partdetail/"&amp;$K15,$K15))</f>
      </c>
      <c r="F15" t="str" s="15" cm="1">
        <f t="array" ref="F15">H15</f>
        <v>CC-by-sa</v>
      </c>
      <c r="G15" t="s" s="17">
        <v>40</v>
      </c>
      <c r="H15" t="s" s="17">
        <v>115</v>
      </c>
      <c r="I15" t="s" s="17">
        <v>42</v>
      </c>
      <c r="J15" t="s" s="17">
        <v>92</v>
      </c>
      <c r="K15" s="18"/>
      <c r="L15" t="s" s="19">
        <v>116</v>
      </c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8"/>
      <c r="AC15" s="18"/>
      <c r="AD15" s="20">
        <v>10</v>
      </c>
      <c r="AE15" s="18"/>
      <c r="AF15" s="21"/>
      <c r="AG15" s="18"/>
      <c r="AH15" t="s" s="22">
        <v>117</v>
      </c>
      <c r="AI15" t="s" s="23">
        <v>118</v>
      </c>
      <c r="AJ15" s="18"/>
    </row>
    <row r="16" ht="18.9" customHeight="1">
      <c r="B16" t="str" s="15" cm="1">
        <f t="array" ref="B16">G16&amp;"_"&amp;F16</f>
        <v>SLK_Logo_MRCS</v>
      </c>
      <c r="C16" t="str" s="16" cm="1">
        <f t="array" ref="C16">$F16&amp;IF($G16="LED"," LED","")&amp;IF($T16="",""," ")&amp;$T16&amp;IF($J16="",""," ")&amp;$J16&amp;IF($U16="",""," ")&amp;$U16&amp;IF($V16="",""," ")&amp;$V16&amp;IF($W16="",""," ")&amp;$W16&amp;IF($Z16="",""," ")&amp;$Z16&amp;IF($Z16="","","mcd")</f>
        <v>Logo_MRCS SilkScreen</v>
      </c>
      <c r="D16" t="str" s="16" cm="1">
        <f t="array" ref="D16">$F16&amp;" "&amp;G16&amp;IF($T16="",""," ")&amp;$T16&amp;IF($J16="",""," ")&amp;$J16&amp;IF($U16="",""," ")&amp;$U16&amp;IF($V16="",""," ")&amp;$V16&amp;IF($W16="",""," ")&amp;$W16&amp;IF($Z16="",""," ")&amp;$Z16&amp;IF($Z16="","","mcd")</f>
        <v>Logo_MRCS SLK SilkScreen</v>
      </c>
      <c r="E16" t="str" s="15" cm="1">
        <f t="array" ref="E16">IF(ISBLANK(K16),"",HYPERLINK("https://jlcpcb.com/partdetail/"&amp;$K16,$K16))</f>
      </c>
      <c r="F16" t="str" s="15" cm="1">
        <f t="array" ref="F16">H16</f>
        <v>Logo_MRCS</v>
      </c>
      <c r="G16" t="s" s="17">
        <v>40</v>
      </c>
      <c r="H16" t="s" s="17">
        <v>123</v>
      </c>
      <c r="I16" t="s" s="17">
        <v>42</v>
      </c>
      <c r="J16" t="s" s="17">
        <v>92</v>
      </c>
      <c r="K16" s="18"/>
      <c r="L16" t="s" s="19">
        <v>124</v>
      </c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8"/>
      <c r="AC16" s="18"/>
      <c r="AD16" s="20">
        <v>10</v>
      </c>
      <c r="AE16" s="18"/>
      <c r="AF16" s="21"/>
      <c r="AG16" s="18"/>
      <c r="AH16" t="s" s="22">
        <v>125</v>
      </c>
      <c r="AI16" t="s" s="23">
        <v>126</v>
      </c>
      <c r="AJ16" s="18"/>
    </row>
    <row r="17" ht="18.9" customHeight="1">
      <c r="B17" t="str" s="15" cm="1">
        <f t="array" ref="B17">G17&amp;"_"&amp;F17</f>
        <v>SLK_Logo_SPCoast</v>
      </c>
      <c r="C17" t="str" s="16" cm="1">
        <f t="array" ref="C17">$F17&amp;IF($G17="LED"," LED","")&amp;IF($T17="",""," ")&amp;$T17&amp;IF($J17="",""," ")&amp;$J17&amp;IF($U17="",""," ")&amp;$U17&amp;IF($V17="",""," ")&amp;$V17&amp;IF($W17="",""," ")&amp;$W17&amp;IF($Z17="",""," ")&amp;$Z17&amp;IF($Z17="","","mcd")</f>
        <v>Logo_SPCoast SilkScreen</v>
      </c>
      <c r="D17" t="str" s="16" cm="1">
        <f t="array" ref="D17">$F17&amp;" "&amp;G17&amp;IF($T17="",""," ")&amp;$T17&amp;IF($J17="",""," ")&amp;$J17&amp;IF($U17="",""," ")&amp;$U17&amp;IF($V17="",""," ")&amp;$V17&amp;IF($W17="",""," ")&amp;$W17&amp;IF($Z17="",""," ")&amp;$Z17&amp;IF($Z17="","","mcd")</f>
        <v>Logo_SPCoast SLK SilkScreen</v>
      </c>
      <c r="E17" t="str" s="15" cm="1">
        <f t="array" ref="E17">IF(ISBLANK(K17),"",HYPERLINK("https://jlcpcb.com/partdetail/"&amp;$K17,$K17))</f>
      </c>
      <c r="F17" t="str" s="15" cm="1">
        <f t="array" ref="F17">H17</f>
        <v>Logo_SPCoast</v>
      </c>
      <c r="G17" t="s" s="17">
        <v>40</v>
      </c>
      <c r="H17" t="s" s="17">
        <v>131</v>
      </c>
      <c r="I17" t="s" s="17">
        <v>42</v>
      </c>
      <c r="J17" t="s" s="17">
        <v>92</v>
      </c>
      <c r="K17" s="18"/>
      <c r="L17" t="s" s="19">
        <v>132</v>
      </c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8"/>
      <c r="AC17" s="18"/>
      <c r="AD17" s="20">
        <v>10</v>
      </c>
      <c r="AE17" s="18"/>
      <c r="AF17" s="21"/>
      <c r="AG17" s="18"/>
      <c r="AH17" t="s" s="22">
        <v>133</v>
      </c>
      <c r="AI17" t="s" s="23">
        <v>134</v>
      </c>
      <c r="AJ17" s="18"/>
    </row>
    <row r="18" ht="18.9" customHeight="1">
      <c r="B18" t="str" s="15" cm="1">
        <f t="array" ref="B18">G18&amp;"_"&amp;F18</f>
        <v>SLK_Power_Draw</v>
      </c>
      <c r="C18" t="str" s="16" cm="1">
        <f t="array" ref="C18">$F18&amp;IF($G18="LED"," LED","")&amp;IF($T18="",""," ")&amp;$T18&amp;IF($J18="",""," ")&amp;$J18&amp;IF($U18="",""," ")&amp;$U18&amp;IF($V18="",""," ")&amp;$V18&amp;IF($W18="",""," ")&amp;$W18&amp;IF($Z18="",""," ")&amp;$Z18&amp;IF($Z18="","","mcd")</f>
        <v>Power_Draw SilkScreen</v>
      </c>
      <c r="D18" t="str" s="16" cm="1">
        <f t="array" ref="D18">$F18&amp;" "&amp;G18&amp;IF($T18="",""," ")&amp;$T18&amp;IF($J18="",""," ")&amp;$J18&amp;IF($U18="",""," ")&amp;$U18&amp;IF($V18="",""," ")&amp;$V18&amp;IF($W18="",""," ")&amp;$W18&amp;IF($Z18="",""," ")&amp;$Z18&amp;IF($Z18="","","mcd")</f>
        <v>Power_Draw SLK SilkScreen</v>
      </c>
      <c r="E18" t="str" s="15" cm="1">
        <f t="array" ref="E18">IF(ISBLANK(K18),"",HYPERLINK("https://jlcpcb.com/partdetail/"&amp;$K18,$K18))</f>
      </c>
      <c r="F18" t="str" s="15" cm="1">
        <f t="array" ref="F18">H18</f>
        <v>Power_Draw</v>
      </c>
      <c r="G18" t="s" s="17">
        <v>40</v>
      </c>
      <c r="H18" t="s" s="17">
        <v>139</v>
      </c>
      <c r="I18" t="s" s="17">
        <v>42</v>
      </c>
      <c r="J18" t="s" s="17">
        <v>92</v>
      </c>
      <c r="K18" s="24"/>
      <c r="L18" t="s" s="19">
        <v>140</v>
      </c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24"/>
      <c r="AC18" s="24"/>
      <c r="AD18" s="20">
        <v>10</v>
      </c>
      <c r="AE18" s="18"/>
      <c r="AF18" s="21"/>
      <c r="AG18" s="18"/>
      <c r="AH18" t="s" s="22">
        <v>141</v>
      </c>
      <c r="AI18" t="s" s="23">
        <v>142</v>
      </c>
      <c r="AJ18" s="18"/>
    </row>
    <row r="19" ht="18.9" customHeight="1">
      <c r="B19" t="str" s="15" cm="1">
        <f t="array" ref="B19">G19&amp;"_"&amp;F19</f>
        <v>SLK_Power_Provide</v>
      </c>
      <c r="C19" t="str" s="16" cm="1">
        <f t="array" ref="C19">$F19&amp;IF($G19="LED"," LED","")&amp;IF($T19="",""," ")&amp;$T19&amp;IF($J19="",""," ")&amp;$J19&amp;IF($U19="",""," ")&amp;$U19&amp;IF($V19="",""," ")&amp;$V19&amp;IF($W19="",""," ")&amp;$W19&amp;IF($Z19="",""," ")&amp;$Z19&amp;IF($Z19="","","mcd")</f>
        <v>Power_Provide SilkScreen</v>
      </c>
      <c r="D19" t="str" s="16" cm="1">
        <f t="array" ref="D19">$F19&amp;" "&amp;G19&amp;IF($T19="",""," ")&amp;$T19&amp;IF($J19="",""," ")&amp;$J19&amp;IF($U19="",""," ")&amp;$U19&amp;IF($V19="",""," ")&amp;$V19&amp;IF($W19="",""," ")&amp;$W19&amp;IF($Z19="",""," ")&amp;$Z19&amp;IF($Z19="","","mcd")</f>
        <v>Power_Provide SLK SilkScreen</v>
      </c>
      <c r="E19" t="str" s="15" cm="1">
        <f t="array" ref="E19">IF(ISBLANK(K19),"",HYPERLINK("https://jlcpcb.com/partdetail/"&amp;$K19,$K19))</f>
      </c>
      <c r="F19" t="str" s="15" cm="1">
        <f t="array" ref="F19">H19</f>
        <v>Power_Provide</v>
      </c>
      <c r="G19" t="s" s="17">
        <v>40</v>
      </c>
      <c r="H19" t="s" s="17">
        <v>147</v>
      </c>
      <c r="I19" t="s" s="17">
        <v>42</v>
      </c>
      <c r="J19" t="s" s="17">
        <v>92</v>
      </c>
      <c r="K19" s="24"/>
      <c r="L19" t="s" s="19">
        <v>148</v>
      </c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24"/>
      <c r="AC19" s="24"/>
      <c r="AD19" s="20">
        <v>10</v>
      </c>
      <c r="AE19" s="18"/>
      <c r="AF19" s="21"/>
      <c r="AG19" s="18"/>
      <c r="AH19" t="s" s="22">
        <v>149</v>
      </c>
      <c r="AI19" t="s" s="23">
        <v>150</v>
      </c>
      <c r="AJ19" s="18"/>
    </row>
    <row r="20" ht="18.9" customHeight="1">
      <c r="B20" t="str" s="15" cm="1">
        <f t="array" ref="B20">G20&amp;"_"&amp;F20</f>
        <v>CON_TC2030-NL</v>
      </c>
      <c r="C20" t="str" s="16" cm="1">
        <f t="array" ref="C20">$F20&amp;IF($G20="LED"," LED","")&amp;IF($T20="",""," ")&amp;$T20&amp;IF($J20="",""," ")&amp;$J20&amp;IF($U20="",""," ")&amp;$U20&amp;IF($V20="",""," ")&amp;$V20&amp;IF($W20="",""," ")&amp;$W20&amp;IF($Z20="",""," ")&amp;$Z20&amp;IF($Z20="","","mcd")</f>
        <v>TC2030-NL SilkScreen &amp; Pads</v>
      </c>
      <c r="D20" t="str" s="16" cm="1">
        <f t="array" ref="D20">$F20&amp;" "&amp;G20&amp;IF($T20="",""," ")&amp;$T20&amp;IF($J20="",""," ")&amp;$J20&amp;IF($U20="",""," ")&amp;$U20&amp;IF($V20="",""," ")&amp;$V20&amp;IF($W20="",""," ")&amp;$W20&amp;IF($Z20="",""," ")&amp;$Z20&amp;IF($Z20="","","mcd")</f>
        <v>TC2030-NL CON SilkScreen &amp; Pads</v>
      </c>
      <c r="E20" t="str" s="15" cm="1">
        <f t="array" ref="E20">IF(ISBLANK(K20),"",HYPERLINK("https://jlcpcb.com/partdetail/"&amp;$K20,$K20))</f>
      </c>
      <c r="F20" t="str" s="15" cm="1">
        <f t="array" ref="F20">H20</f>
        <v>TC2030-NL</v>
      </c>
      <c r="G20" t="s" s="17">
        <v>155</v>
      </c>
      <c r="H20" t="str" s="18" cm="1">
        <f t="array" ref="H20">AG20</f>
        <v>TC2030-NL</v>
      </c>
      <c r="I20" t="s" s="17">
        <v>42</v>
      </c>
      <c r="J20" t="s" s="17">
        <v>156</v>
      </c>
      <c r="K20" s="18"/>
      <c r="L20" t="s" s="19">
        <v>157</v>
      </c>
      <c r="M20" s="17"/>
      <c r="N20" s="17"/>
      <c r="O20" s="17"/>
      <c r="P20" s="17"/>
      <c r="Q20" t="s" s="17">
        <v>158</v>
      </c>
      <c r="R20" t="s" s="17">
        <v>159</v>
      </c>
      <c r="S20" t="s" s="17">
        <v>160</v>
      </c>
      <c r="T20" s="17"/>
      <c r="U20" s="17"/>
      <c r="V20" s="17"/>
      <c r="W20" s="17"/>
      <c r="X20" s="17"/>
      <c r="Y20" s="17"/>
      <c r="Z20" s="17"/>
      <c r="AA20" s="17"/>
      <c r="AB20" s="18"/>
      <c r="AC20" s="18"/>
      <c r="AD20" s="20">
        <v>10</v>
      </c>
      <c r="AE20" s="18"/>
      <c r="AF20" t="s" s="25">
        <v>161</v>
      </c>
      <c r="AG20" t="s" s="17">
        <v>162</v>
      </c>
      <c r="AH20" t="s" s="22">
        <v>163</v>
      </c>
      <c r="AI20" t="s" s="23">
        <v>164</v>
      </c>
      <c r="AJ20" s="18"/>
    </row>
    <row r="21" ht="18.9" customHeight="1">
      <c r="B21" t="str" s="15" cm="1">
        <f t="array" ref="B21">G21&amp;"_"&amp;F21</f>
        <v>CON_TC2030-FP</v>
      </c>
      <c r="C21" t="str" s="16" cm="1">
        <f t="array" ref="C21">$F21&amp;IF($G21="LED"," LED","")&amp;IF($T21="",""," ")&amp;$T21&amp;IF($J21="",""," ")&amp;$J21&amp;IF($U21="",""," ")&amp;$U21&amp;IF($V21="",""," ")&amp;$V21&amp;IF($W21="",""," ")&amp;$W21&amp;IF($Z21="",""," ")&amp;$Z21&amp;IF($Z21="","","mcd")</f>
        <v>TC2030-FP SilkScreen &amp; Pads</v>
      </c>
      <c r="D21" t="str" s="16" cm="1">
        <f t="array" ref="D21">$F21&amp;" "&amp;G21&amp;IF($T21="",""," ")&amp;$T21&amp;IF($J21="",""," ")&amp;$J21&amp;IF($U21="",""," ")&amp;$U21&amp;IF($V21="",""," ")&amp;$V21&amp;IF($W21="",""," ")&amp;$W21&amp;IF($Z21="",""," ")&amp;$Z21&amp;IF($Z21="","","mcd")</f>
        <v>TC2030-FP CON SilkScreen &amp; Pads</v>
      </c>
      <c r="E21" t="str" s="15" cm="1">
        <f t="array" ref="E21">IF(ISBLANK(K21),"",HYPERLINK("https://jlcpcb.com/partdetail/"&amp;$K21,$K21))</f>
      </c>
      <c r="F21" t="str" s="15" cm="1">
        <f t="array" ref="F21">H21</f>
        <v>TC2030-FP</v>
      </c>
      <c r="G21" t="s" s="17">
        <v>155</v>
      </c>
      <c r="H21" t="str" s="18" cm="1">
        <f t="array" ref="H21">AG21</f>
        <v>TC2030-FP</v>
      </c>
      <c r="I21" t="s" s="17">
        <v>42</v>
      </c>
      <c r="J21" t="s" s="17">
        <v>156</v>
      </c>
      <c r="K21" s="18"/>
      <c r="L21" t="s" s="19">
        <v>169</v>
      </c>
      <c r="M21" s="17"/>
      <c r="N21" s="17"/>
      <c r="O21" s="17"/>
      <c r="P21" s="17"/>
      <c r="Q21" t="s" s="17">
        <v>170</v>
      </c>
      <c r="R21" t="s" s="17">
        <v>159</v>
      </c>
      <c r="S21" t="s" s="17">
        <v>160</v>
      </c>
      <c r="T21" s="17"/>
      <c r="U21" s="17"/>
      <c r="V21" s="17"/>
      <c r="W21" s="17"/>
      <c r="X21" s="17"/>
      <c r="Y21" s="17"/>
      <c r="Z21" s="17"/>
      <c r="AA21" s="17"/>
      <c r="AB21" s="18"/>
      <c r="AC21" s="18"/>
      <c r="AD21" s="20">
        <v>10</v>
      </c>
      <c r="AE21" s="18"/>
      <c r="AF21" t="s" s="25">
        <v>161</v>
      </c>
      <c r="AG21" t="s" s="17">
        <v>171</v>
      </c>
      <c r="AH21" t="s" s="22">
        <v>163</v>
      </c>
      <c r="AI21" t="s" s="23">
        <v>172</v>
      </c>
      <c r="AJ21" s="18"/>
    </row>
    <row r="22" ht="18.9" customHeight="1">
      <c r="B22" t="str" s="15" cm="1">
        <f t="array" ref="B22">G22&amp;"_"&amp;F22</f>
        <v>CON_TC2050-NL</v>
      </c>
      <c r="C22" t="str" s="16" cm="1">
        <f t="array" ref="C22">$F22&amp;IF($G22="LED"," LED","")&amp;IF($T22="",""," ")&amp;$T22&amp;IF($J22="",""," ")&amp;$J22&amp;IF($U22="",""," ")&amp;$U22&amp;IF($V22="",""," ")&amp;$V22&amp;IF($W22="",""," ")&amp;$W22&amp;IF($Z22="",""," ")&amp;$Z22&amp;IF($Z22="","","mcd")</f>
        <v>TC2050-NL SilkScreen &amp; Pads</v>
      </c>
      <c r="D22" t="str" s="16" cm="1">
        <f t="array" ref="D22">$F22&amp;" "&amp;G22&amp;IF($T22="",""," ")&amp;$T22&amp;IF($J22="",""," ")&amp;$J22&amp;IF($U22="",""," ")&amp;$U22&amp;IF($V22="",""," ")&amp;$V22&amp;IF($W22="",""," ")&amp;$W22&amp;IF($Z22="",""," ")&amp;$Z22&amp;IF($Z22="","","mcd")</f>
        <v>TC2050-NL CON SilkScreen &amp; Pads</v>
      </c>
      <c r="E22" t="str" s="15" cm="1">
        <f t="array" ref="E22">IF(ISBLANK(K22),"",HYPERLINK("https://jlcpcb.com/partdetail/"&amp;$K22,$K22))</f>
      </c>
      <c r="F22" t="str" s="15" cm="1">
        <f t="array" ref="F22">H22</f>
        <v>TC2050-NL</v>
      </c>
      <c r="G22" t="s" s="17">
        <v>155</v>
      </c>
      <c r="H22" t="str" s="18" cm="1">
        <f t="array" ref="H22">AG22</f>
        <v>TC2050-NL</v>
      </c>
      <c r="I22" t="s" s="17">
        <v>42</v>
      </c>
      <c r="J22" t="s" s="17">
        <v>156</v>
      </c>
      <c r="K22" s="18"/>
      <c r="L22" t="s" s="19">
        <v>177</v>
      </c>
      <c r="M22" s="17"/>
      <c r="N22" s="17"/>
      <c r="O22" s="17"/>
      <c r="P22" s="17"/>
      <c r="Q22" t="s" s="17">
        <v>158</v>
      </c>
      <c r="R22" t="s" s="17">
        <v>178</v>
      </c>
      <c r="S22" t="s" s="17">
        <v>160</v>
      </c>
      <c r="T22" s="17"/>
      <c r="U22" s="17"/>
      <c r="V22" s="17"/>
      <c r="W22" s="17"/>
      <c r="X22" s="17"/>
      <c r="Y22" s="17"/>
      <c r="Z22" s="17"/>
      <c r="AA22" s="17"/>
      <c r="AB22" s="18"/>
      <c r="AC22" s="18"/>
      <c r="AD22" s="20">
        <v>10</v>
      </c>
      <c r="AE22" s="18"/>
      <c r="AF22" t="s" s="25">
        <v>161</v>
      </c>
      <c r="AG22" t="s" s="17">
        <v>179</v>
      </c>
      <c r="AH22" t="s" s="22">
        <v>180</v>
      </c>
      <c r="AI22" t="s" s="23">
        <v>181</v>
      </c>
      <c r="AJ22" s="18"/>
    </row>
    <row r="23" ht="18.9" customHeight="1">
      <c r="B23" t="str" s="15" cm="1">
        <f t="array" ref="B23">G23&amp;"_"&amp;F23</f>
        <v>CON_TC2050-FP</v>
      </c>
      <c r="C23" t="str" s="16" cm="1">
        <f t="array" ref="C23">$F23&amp;IF($G23="LED"," LED","")&amp;IF($T23="",""," ")&amp;$T23&amp;IF($J23="",""," ")&amp;$J23&amp;IF($U23="",""," ")&amp;$U23&amp;IF($V23="",""," ")&amp;$V23&amp;IF($W23="",""," ")&amp;$W23&amp;IF($Z23="",""," ")&amp;$Z23&amp;IF($Z23="","","mcd")</f>
        <v>TC2050-FP SilkScreen &amp; Pads</v>
      </c>
      <c r="D23" t="str" s="16" cm="1">
        <f t="array" ref="D23">$F23&amp;" "&amp;G23&amp;IF($T23="",""," ")&amp;$T23&amp;IF($J23="",""," ")&amp;$J23&amp;IF($U23="",""," ")&amp;$U23&amp;IF($V23="",""," ")&amp;$V23&amp;IF($W23="",""," ")&amp;$W23&amp;IF($Z23="",""," ")&amp;$Z23&amp;IF($Z23="","","mcd")</f>
        <v>TC2050-FP CON SilkScreen &amp; Pads</v>
      </c>
      <c r="E23" t="str" s="15" cm="1">
        <f t="array" ref="E23">IF(ISBLANK(K23),"",HYPERLINK("https://jlcpcb.com/partdetail/"&amp;$K23,$K23))</f>
      </c>
      <c r="F23" t="str" s="15" cm="1">
        <f t="array" ref="F23">H23</f>
        <v>TC2050-FP</v>
      </c>
      <c r="G23" t="s" s="17">
        <v>155</v>
      </c>
      <c r="H23" t="str" s="18" cm="1">
        <f t="array" ref="H23">AG23</f>
        <v>TC2050-FP</v>
      </c>
      <c r="I23" t="s" s="17">
        <v>42</v>
      </c>
      <c r="J23" t="s" s="17">
        <v>156</v>
      </c>
      <c r="K23" s="18"/>
      <c r="L23" t="s" s="19">
        <v>186</v>
      </c>
      <c r="M23" s="17"/>
      <c r="N23" s="17"/>
      <c r="O23" s="17"/>
      <c r="P23" s="17"/>
      <c r="Q23" t="s" s="17">
        <v>170</v>
      </c>
      <c r="R23" t="s" s="17">
        <v>178</v>
      </c>
      <c r="S23" t="s" s="17">
        <v>160</v>
      </c>
      <c r="T23" s="17"/>
      <c r="U23" s="17"/>
      <c r="V23" s="17"/>
      <c r="W23" s="17"/>
      <c r="X23" s="17"/>
      <c r="Y23" s="17"/>
      <c r="Z23" s="17"/>
      <c r="AA23" s="17"/>
      <c r="AB23" s="18"/>
      <c r="AC23" s="18"/>
      <c r="AD23" s="20">
        <v>10</v>
      </c>
      <c r="AE23" s="18"/>
      <c r="AF23" t="s" s="25">
        <v>161</v>
      </c>
      <c r="AG23" t="s" s="17">
        <v>187</v>
      </c>
      <c r="AH23" t="s" s="22">
        <v>180</v>
      </c>
      <c r="AI23" t="s" s="23">
        <v>188</v>
      </c>
      <c r="AJ23" s="18"/>
    </row>
    <row r="24" ht="18.9" customHeight="1">
      <c r="B24" t="str" s="15" cm="1">
        <f t="array" ref="B24">G24&amp;"_"&amp;F24</f>
        <v>CON_TC2070-FP</v>
      </c>
      <c r="C24" t="str" s="16" cm="1">
        <f t="array" ref="C24">$F24&amp;IF($G24="LED"," LED","")&amp;IF($T24="",""," ")&amp;$T24&amp;IF($J24="",""," ")&amp;$J24&amp;IF($U24="",""," ")&amp;$U24&amp;IF($V24="",""," ")&amp;$V24&amp;IF($W24="",""," ")&amp;$W24&amp;IF($Z24="",""," ")&amp;$Z24&amp;IF($Z24="","","mcd")</f>
        <v>TC2070-FP SilkScreen &amp; Pads</v>
      </c>
      <c r="D24" t="str" s="16" cm="1">
        <f t="array" ref="D24">$F24&amp;" "&amp;G24&amp;IF($T24="",""," ")&amp;$T24&amp;IF($J24="",""," ")&amp;$J24&amp;IF($U24="",""," ")&amp;$U24&amp;IF($V24="",""," ")&amp;$V24&amp;IF($W24="",""," ")&amp;$W24&amp;IF($Z24="",""," ")&amp;$Z24&amp;IF($Z24="","","mcd")</f>
        <v>TC2070-FP CON SilkScreen &amp; Pads</v>
      </c>
      <c r="E24" t="str" s="15" cm="1">
        <f t="array" ref="E24">IF(ISBLANK(K24),"",HYPERLINK("https://jlcpcb.com/partdetail/"&amp;$K24,$K24))</f>
      </c>
      <c r="F24" t="str" s="15" cm="1">
        <f t="array" ref="F24">H24</f>
        <v>TC2070-FP</v>
      </c>
      <c r="G24" t="s" s="17">
        <v>155</v>
      </c>
      <c r="H24" t="str" s="18" cm="1">
        <f t="array" ref="H24">AG24</f>
        <v>TC2070-FP</v>
      </c>
      <c r="I24" t="s" s="17">
        <v>42</v>
      </c>
      <c r="J24" t="s" s="17">
        <v>156</v>
      </c>
      <c r="K24" s="18"/>
      <c r="L24" t="s" s="19">
        <v>193</v>
      </c>
      <c r="M24" s="17"/>
      <c r="N24" s="17"/>
      <c r="O24" s="17"/>
      <c r="P24" s="17"/>
      <c r="Q24" t="s" s="17">
        <v>170</v>
      </c>
      <c r="R24" t="s" s="17">
        <v>194</v>
      </c>
      <c r="S24" t="s" s="17">
        <v>160</v>
      </c>
      <c r="T24" s="17"/>
      <c r="U24" s="17"/>
      <c r="V24" s="17"/>
      <c r="W24" s="17"/>
      <c r="X24" s="17"/>
      <c r="Y24" s="17"/>
      <c r="Z24" s="17"/>
      <c r="AA24" s="17"/>
      <c r="AB24" s="18"/>
      <c r="AC24" s="18"/>
      <c r="AD24" s="20">
        <v>10</v>
      </c>
      <c r="AE24" s="18"/>
      <c r="AF24" t="s" s="25">
        <v>161</v>
      </c>
      <c r="AG24" t="s" s="17">
        <v>195</v>
      </c>
      <c r="AH24" t="s" s="22">
        <v>196</v>
      </c>
      <c r="AI24" t="s" s="23">
        <v>197</v>
      </c>
      <c r="AJ24" s="18"/>
    </row>
    <row r="25" ht="18.9" customHeight="1">
      <c r="B25" t="str" s="15" cm="1">
        <f t="array" ref="B25">G25&amp;"_"&amp;F25</f>
        <v>SWI_EDG104S</v>
      </c>
      <c r="C25" t="str" s="16" cm="1">
        <f t="array" ref="C25">$F25&amp;IF($G25="LED"," LED","")&amp;IF($T25="",""," ")&amp;$T25&amp;IF($J25="",""," ")&amp;$J25&amp;IF($U25="",""," ")&amp;$U25&amp;IF($V25="",""," ")&amp;$V25&amp;IF($W25="",""," ")&amp;$W25&amp;IF($Z25="",""," ")&amp;$Z25&amp;IF($Z25="","","mcd")</f>
        <v>EDG104S SPSTx4 DIP</v>
      </c>
      <c r="D25" t="str" s="16" cm="1">
        <f t="array" ref="D25">$F25&amp;" "&amp;G25&amp;IF($T25="",""," ")&amp;$T25&amp;IF($J25="",""," ")&amp;$J25&amp;IF($U25="",""," ")&amp;$U25&amp;IF($V25="",""," ")&amp;$V25&amp;IF($W25="",""," ")&amp;$W25&amp;IF($Z25="",""," ")&amp;$Z25&amp;IF($Z25="","","mcd")</f>
        <v>EDG104S SWI SPSTx4 DIP</v>
      </c>
      <c r="E25" t="str" s="15" cm="1">
        <f t="array" ref="E25">IF(ISBLANK(K25),"",HYPERLINK("https://jlcpcb.com/partdetail/"&amp;$K25,$K25))</f>
        <v>C840579</v>
      </c>
      <c r="F25" t="str" s="15" cm="1">
        <f t="array" ref="F25">H25</f>
        <v>EDG104S</v>
      </c>
      <c r="G25" t="s" s="17">
        <v>203</v>
      </c>
      <c r="H25" t="str" s="18" cm="1">
        <f t="array" ref="H25">AG25</f>
        <v>EDG104S</v>
      </c>
      <c r="I25" t="s" s="19">
        <v>204</v>
      </c>
      <c r="J25" t="s" s="17">
        <v>205</v>
      </c>
      <c r="K25" t="s" s="19">
        <v>206</v>
      </c>
      <c r="L25" t="s" s="19">
        <v>207</v>
      </c>
      <c r="M25" s="17"/>
      <c r="N25" s="17"/>
      <c r="O25" s="17"/>
      <c r="P25" t="s" s="17">
        <v>208</v>
      </c>
      <c r="Q25" t="s" s="17">
        <v>209</v>
      </c>
      <c r="R25" t="s" s="17">
        <v>210</v>
      </c>
      <c r="S25" t="s" s="17">
        <v>160</v>
      </c>
      <c r="T25" s="17"/>
      <c r="U25" s="17"/>
      <c r="V25" s="17"/>
      <c r="W25" s="17"/>
      <c r="X25" s="17"/>
      <c r="Y25" s="17"/>
      <c r="Z25" s="17"/>
      <c r="AA25" s="17"/>
      <c r="AB25" s="24"/>
      <c r="AC25" s="24"/>
      <c r="AD25" s="20">
        <v>10</v>
      </c>
      <c r="AE25" t="s" s="17">
        <v>211</v>
      </c>
      <c r="AF25" t="s" s="25">
        <v>212</v>
      </c>
      <c r="AG25" t="s" s="17">
        <v>213</v>
      </c>
      <c r="AH25" t="s" s="22">
        <v>214</v>
      </c>
      <c r="AI25" t="s" s="23">
        <v>214</v>
      </c>
      <c r="AJ25" t="s" s="17">
        <v>215</v>
      </c>
    </row>
    <row r="26" ht="18.9" customHeight="1">
      <c r="B26" t="str" s="15" cm="1">
        <f t="array" ref="B26">G26&amp;"_"&amp;F26</f>
        <v>SWI_6x6x6mm_PTH</v>
      </c>
      <c r="C26" t="str" s="16" cm="1">
        <f t="array" ref="C26">$F26&amp;IF($G26="LED"," LED","")&amp;IF($T26="",""," ")&amp;$T26&amp;IF($J26="",""," ")&amp;$J26&amp;IF($U26="",""," ")&amp;$U26&amp;IF($V26="",""," ")&amp;$V26&amp;IF($W26="",""," ")&amp;$W26&amp;IF($Z26="",""," ")&amp;$Z26&amp;IF($Z26="","","mcd")</f>
        <v>6x6x6mm_PTH SPSTx1 6mm Momentary</v>
      </c>
      <c r="D26" t="str" s="16" cm="1">
        <f t="array" ref="D26">$F26&amp;" "&amp;G26&amp;IF($T26="",""," ")&amp;$T26&amp;IF($J26="",""," ")&amp;$J26&amp;IF($U26="",""," ")&amp;$U26&amp;IF($V26="",""," ")&amp;$V26&amp;IF($W26="",""," ")&amp;$W26&amp;IF($Z26="",""," ")&amp;$Z26&amp;IF($Z26="","","mcd")</f>
        <v>6x6x6mm_PTH SWI SPSTx1 6mm Momentary</v>
      </c>
      <c r="E26" t="str" s="15" cm="1">
        <f t="array" ref="E26">IF(ISBLANK(K26),"",HYPERLINK("https://jlcpcb.com/partdetail/"&amp;$K26,$K26))</f>
        <v>C5340138</v>
      </c>
      <c r="F26" t="str" s="15" cm="1">
        <f t="array" ref="F26">H26</f>
        <v>6x6x6mm_PTH</v>
      </c>
      <c r="G26" t="s" s="17">
        <v>203</v>
      </c>
      <c r="H26" t="s" s="19">
        <v>220</v>
      </c>
      <c r="I26" t="s" s="19">
        <v>204</v>
      </c>
      <c r="J26" t="s" s="17">
        <v>221</v>
      </c>
      <c r="K26" t="s" s="19">
        <v>222</v>
      </c>
      <c r="L26" t="s" s="19">
        <v>223</v>
      </c>
      <c r="M26" s="17"/>
      <c r="N26" s="17"/>
      <c r="O26" s="17"/>
      <c r="P26" t="s" s="17">
        <v>224</v>
      </c>
      <c r="Q26" s="17"/>
      <c r="R26" t="s" s="17">
        <v>225</v>
      </c>
      <c r="S26" s="17"/>
      <c r="T26" s="17"/>
      <c r="U26" s="17"/>
      <c r="V26" s="17"/>
      <c r="W26" s="17"/>
      <c r="X26" s="17"/>
      <c r="Y26" s="17"/>
      <c r="Z26" s="17"/>
      <c r="AA26" s="17"/>
      <c r="AB26" s="24"/>
      <c r="AC26" s="24"/>
      <c r="AD26" s="20">
        <v>10</v>
      </c>
      <c r="AE26" t="s" s="17">
        <v>211</v>
      </c>
      <c r="AF26" t="s" s="26">
        <v>226</v>
      </c>
      <c r="AG26" t="s" s="19">
        <v>227</v>
      </c>
      <c r="AH26" t="s" s="22">
        <v>228</v>
      </c>
      <c r="AI26" t="s" s="23">
        <v>229</v>
      </c>
      <c r="AJ26" t="s" s="17">
        <v>230</v>
      </c>
    </row>
    <row r="27" ht="18.9" customHeight="1">
      <c r="B27" t="str" s="15" cm="1">
        <f t="array" ref="B27">G27&amp;"_"&amp;F27</f>
        <v>SWI_6x6x6mm_SMD</v>
      </c>
      <c r="C27" t="str" s="16" cm="1">
        <f t="array" ref="C27">$F27&amp;IF($G27="LED"," LED","")&amp;IF($T27="",""," ")&amp;$T27&amp;IF($J27="",""," ")&amp;$J27&amp;IF($U27="",""," ")&amp;$U27&amp;IF($V27="",""," ")&amp;$V27&amp;IF($W27="",""," ")&amp;$W27&amp;IF($Z27="",""," ")&amp;$Z27&amp;IF($Z27="","","mcd")</f>
        <v>6x6x6mm_SMD SPSTx1 6mm Momentary</v>
      </c>
      <c r="D27" t="str" s="16" cm="1">
        <f t="array" ref="D27">$F27&amp;" "&amp;G27&amp;IF($T27="",""," ")&amp;$T27&amp;IF($J27="",""," ")&amp;$J27&amp;IF($U27="",""," ")&amp;$U27&amp;IF($V27="",""," ")&amp;$V27&amp;IF($W27="",""," ")&amp;$W27&amp;IF($Z27="",""," ")&amp;$Z27&amp;IF($Z27="","","mcd")</f>
        <v>6x6x6mm_SMD SWI SPSTx1 6mm Momentary</v>
      </c>
      <c r="E27" t="str" s="15" cm="1">
        <f t="array" ref="E27">IF(ISBLANK(K27),"",HYPERLINK("https://jlcpcb.com/partdetail/"&amp;$K27,$K27))</f>
        <v>C5340123</v>
      </c>
      <c r="F27" t="str" s="15" cm="1">
        <f t="array" ref="F27">H27</f>
        <v>6x6x6mm_SMD</v>
      </c>
      <c r="G27" t="s" s="17">
        <v>203</v>
      </c>
      <c r="H27" t="s" s="19">
        <v>235</v>
      </c>
      <c r="I27" t="s" s="17">
        <v>8</v>
      </c>
      <c r="J27" t="s" s="17">
        <v>221</v>
      </c>
      <c r="K27" t="s" s="19">
        <v>236</v>
      </c>
      <c r="L27" t="s" s="19">
        <v>237</v>
      </c>
      <c r="M27" s="17"/>
      <c r="N27" s="17"/>
      <c r="O27" s="17"/>
      <c r="P27" t="s" s="17">
        <v>224</v>
      </c>
      <c r="Q27" s="17"/>
      <c r="R27" t="s" s="17">
        <v>225</v>
      </c>
      <c r="S27" s="17"/>
      <c r="T27" s="17"/>
      <c r="U27" s="17"/>
      <c r="V27" s="17"/>
      <c r="W27" s="17"/>
      <c r="X27" s="17"/>
      <c r="Y27" s="17"/>
      <c r="Z27" s="17"/>
      <c r="AA27" s="17"/>
      <c r="AB27" s="24"/>
      <c r="AC27" s="24"/>
      <c r="AD27" s="20">
        <v>10</v>
      </c>
      <c r="AE27" t="s" s="17">
        <v>211</v>
      </c>
      <c r="AF27" t="s" s="26">
        <v>226</v>
      </c>
      <c r="AG27" t="s" s="19">
        <v>238</v>
      </c>
      <c r="AH27" t="s" s="22">
        <v>228</v>
      </c>
      <c r="AI27" t="s" s="23">
        <v>239</v>
      </c>
      <c r="AJ27" t="s" s="17">
        <v>240</v>
      </c>
    </row>
    <row r="28" ht="18.9" customHeight="1">
      <c r="B28" t="str" s="15" cm="1">
        <f t="array" ref="B28">G28&amp;"_"&amp;F28</f>
        <v>CON_RJ45-8P8C</v>
      </c>
      <c r="C28" t="str" s="16" cm="1">
        <f t="array" ref="C28">$F28&amp;IF($G28="LED"," LED","")&amp;IF($T28="",""," ")&amp;$T28&amp;IF($J28="",""," ")&amp;$J28&amp;IF($U28="",""," ")&amp;$U28&amp;IF($V28="",""," ")&amp;$V28&amp;IF($W28="",""," ")&amp;$W28&amp;IF($Z28="",""," ")&amp;$Z28&amp;IF($Z28="","","mcd")</f>
        <v>RJ45-8P8C</v>
      </c>
      <c r="D28" t="str" s="16" cm="1">
        <f t="array" ref="D28">$F28&amp;" "&amp;G28&amp;IF($T28="",""," ")&amp;$T28&amp;IF($J28="",""," ")&amp;$J28&amp;IF($U28="",""," ")&amp;$U28&amp;IF($V28="",""," ")&amp;$V28&amp;IF($W28="",""," ")&amp;$W28&amp;IF($Z28="",""," ")&amp;$Z28&amp;IF($Z28="","","mcd")</f>
        <v>RJ45-8P8C CON</v>
      </c>
      <c r="E28" t="str" s="15" cm="1">
        <f t="array" ref="E28">IF(ISBLANK(K28),"",HYPERLINK("https://jlcpcb.com/partdetail/"&amp;$K28,$K28))</f>
        <v>C7205130</v>
      </c>
      <c r="F28" t="str" s="15" cm="1">
        <f t="array" ref="F28">H28</f>
        <v>RJ45-8P8C</v>
      </c>
      <c r="G28" t="s" s="17">
        <v>155</v>
      </c>
      <c r="H28" t="s" s="19">
        <v>245</v>
      </c>
      <c r="I28" t="s" s="17">
        <v>204</v>
      </c>
      <c r="J28" s="17"/>
      <c r="K28" t="s" s="19">
        <v>246</v>
      </c>
      <c r="L28" t="s" s="19">
        <v>247</v>
      </c>
      <c r="M28" s="17"/>
      <c r="N28" s="17"/>
      <c r="O28" s="17"/>
      <c r="P28" t="s" s="17">
        <v>248</v>
      </c>
      <c r="Q28" s="17"/>
      <c r="R28" t="s" s="17">
        <v>249</v>
      </c>
      <c r="S28" s="17"/>
      <c r="T28" s="17"/>
      <c r="U28" s="17"/>
      <c r="V28" s="17"/>
      <c r="W28" s="17"/>
      <c r="X28" s="17"/>
      <c r="Y28" s="17"/>
      <c r="Z28" s="17"/>
      <c r="AA28" s="17"/>
      <c r="AB28" s="24"/>
      <c r="AC28" s="24"/>
      <c r="AD28" s="27"/>
      <c r="AE28" s="18"/>
      <c r="AF28" t="s" s="26">
        <v>250</v>
      </c>
      <c r="AG28" t="s" s="19">
        <v>251</v>
      </c>
      <c r="AH28" s="28"/>
      <c r="AI28" s="29"/>
      <c r="AJ28" t="s" s="17">
        <v>252</v>
      </c>
    </row>
    <row r="29" ht="18.9" customHeight="1">
      <c r="B29" t="str" s="15" cm="1">
        <f t="array" ref="B29">G29&amp;"_"&amp;F29</f>
        <v>CON_IC-14P</v>
      </c>
      <c r="C29" t="str" s="16" cm="1">
        <f t="array" ref="C29">$F29&amp;IF($G29="LED"," LED","")&amp;IF($T29="",""," ")&amp;$T29&amp;IF($J29="",""," ")&amp;$J29&amp;IF($U29="",""," ")&amp;$U29&amp;IF($V29="",""," ")&amp;$V29&amp;IF($W29="",""," ")&amp;$W29&amp;IF($Z29="",""," ")&amp;$Z29&amp;IF($Z29="","","mcd")</f>
        <v>IC-14P DIP-14</v>
      </c>
      <c r="D29" t="str" s="16" cm="1">
        <f t="array" ref="D29">$F29&amp;" "&amp;G29&amp;IF($T29="",""," ")&amp;$T29&amp;IF($J29="",""," ")&amp;$J29&amp;IF($U29="",""," ")&amp;$U29&amp;IF($V29="",""," ")&amp;$V29&amp;IF($W29="",""," ")&amp;$W29&amp;IF($Z29="",""," ")&amp;$Z29&amp;IF($Z29="","","mcd")</f>
        <v>IC-14P CON DIP-14</v>
      </c>
      <c r="E29" t="str" s="15" cm="1">
        <f t="array" ref="E29">IF(ISBLANK(K29),"",HYPERLINK("https://jlcpcb.com/partdetail/"&amp;$K29,$K29))</f>
        <v>C2325</v>
      </c>
      <c r="F29" t="s" s="30">
        <v>257</v>
      </c>
      <c r="G29" t="s" s="17">
        <v>155</v>
      </c>
      <c r="H29" t="s" s="17">
        <v>258</v>
      </c>
      <c r="I29" t="s" s="19">
        <v>204</v>
      </c>
      <c r="J29" t="s" s="17">
        <v>258</v>
      </c>
      <c r="K29" t="s" s="31">
        <v>259</v>
      </c>
      <c r="L29" t="s" s="19">
        <v>260</v>
      </c>
      <c r="M29" s="17"/>
      <c r="N29" s="17"/>
      <c r="O29" s="17"/>
      <c r="P29" t="s" s="17">
        <v>258</v>
      </c>
      <c r="Q29" t="s" s="17">
        <v>209</v>
      </c>
      <c r="R29" t="s" s="17">
        <v>194</v>
      </c>
      <c r="S29" t="s" s="17">
        <v>160</v>
      </c>
      <c r="T29" s="17"/>
      <c r="U29" s="17"/>
      <c r="V29" s="17"/>
      <c r="W29" s="17"/>
      <c r="X29" s="17"/>
      <c r="Y29" s="17"/>
      <c r="Z29" s="17"/>
      <c r="AA29" s="17"/>
      <c r="AB29" s="18"/>
      <c r="AC29" s="18"/>
      <c r="AD29" s="27"/>
      <c r="AE29" s="18"/>
      <c r="AF29" t="s" s="25">
        <v>261</v>
      </c>
      <c r="AG29" t="s" s="17">
        <v>257</v>
      </c>
      <c r="AH29" s="28"/>
      <c r="AI29" s="29"/>
      <c r="AJ29" s="18"/>
    </row>
    <row r="30" ht="18.9" customHeight="1">
      <c r="B30" t="str" s="15" cm="1">
        <f t="array" ref="B30">G30&amp;"_"&amp;F30</f>
        <v>CON_DCJ0202</v>
      </c>
      <c r="C30" t="str" s="16" cm="1">
        <f t="array" ref="C30">$F30&amp;IF($G30="LED"," LED","")&amp;IF($T30="",""," ")&amp;$T30&amp;IF($J30="",""," ")&amp;$J30&amp;IF($U30="",""," ")&amp;$U30&amp;IF($V30="",""," ")&amp;$V30&amp;IF($W30="",""," ")&amp;$W30&amp;IF($Z30="",""," ")&amp;$Z30&amp;IF($Z30="","","mcd")</f>
        <v>DCJ0202 Power Connector</v>
      </c>
      <c r="D30" t="str" s="16" cm="1">
        <f t="array" ref="D30">$F30&amp;" "&amp;G30&amp;IF($T30="",""," ")&amp;$T30&amp;IF($J30="",""," ")&amp;$J30&amp;IF($U30="",""," ")&amp;$U30&amp;IF($V30="",""," ")&amp;$V30&amp;IF($W30="",""," ")&amp;$W30&amp;IF($Z30="",""," ")&amp;$Z30&amp;IF($Z30="","","mcd")</f>
        <v>DCJ0202 CON Power Connector</v>
      </c>
      <c r="E30" t="str" s="15" cm="1">
        <f t="array" ref="E30">IF(ISBLANK(K30),"",HYPERLINK("https://jlcpcb.com/partdetail/"&amp;$K30,$K30))</f>
      </c>
      <c r="F30" t="str" s="15" cm="1">
        <f t="array" ref="F30">H30</f>
        <v>DCJ0202</v>
      </c>
      <c r="G30" t="s" s="17">
        <v>155</v>
      </c>
      <c r="H30" t="str" s="18" cm="1">
        <f t="array" ref="H30">AG30</f>
        <v>DCJ0202</v>
      </c>
      <c r="I30" t="s" s="19">
        <v>204</v>
      </c>
      <c r="J30" t="s" s="17">
        <v>266</v>
      </c>
      <c r="K30" s="18"/>
      <c r="L30" t="s" s="19">
        <v>267</v>
      </c>
      <c r="M30" s="17"/>
      <c r="N30" s="17"/>
      <c r="O30" s="17"/>
      <c r="P30" s="17"/>
      <c r="Q30" s="17"/>
      <c r="R30" t="s" s="17">
        <v>268</v>
      </c>
      <c r="S30" s="17"/>
      <c r="T30" s="17"/>
      <c r="U30" s="17"/>
      <c r="V30" s="17"/>
      <c r="W30" s="17"/>
      <c r="X30" s="17"/>
      <c r="Y30" s="17"/>
      <c r="Z30" s="17"/>
      <c r="AA30" s="17"/>
      <c r="AB30" s="18"/>
      <c r="AC30" s="18"/>
      <c r="AD30" s="20">
        <v>10</v>
      </c>
      <c r="AE30" t="s" s="17">
        <v>211</v>
      </c>
      <c r="AF30" s="21"/>
      <c r="AG30" t="s" s="17">
        <v>269</v>
      </c>
      <c r="AH30" t="s" s="22">
        <v>270</v>
      </c>
      <c r="AI30" t="s" s="23">
        <v>271</v>
      </c>
      <c r="AJ30" s="18"/>
    </row>
    <row r="31" ht="18.9" customHeight="1">
      <c r="B31" t="str" s="15" cm="1">
        <f t="array" ref="B31">G31&amp;"_"&amp;F31</f>
        <v>CON_FTDI-1x6-0.100</v>
      </c>
      <c r="C31" t="str" s="16" cm="1">
        <f t="array" ref="C31">$F31&amp;IF($G31="LED"," LED","")&amp;IF($T31="",""," ")&amp;$T31&amp;IF($J31="",""," ")&amp;$J31&amp;IF($U31="",""," ")&amp;$U31&amp;IF($V31="",""," ")&amp;$V31&amp;IF($W31="",""," ")&amp;$W31&amp;IF($Z31="",""," ")&amp;$Z31&amp;IF($Z31="","","mcd")</f>
        <v>FTDI-1x6-0.100 Male Header</v>
      </c>
      <c r="D31" t="str" s="16" cm="1">
        <f t="array" ref="D31">$F31&amp;" "&amp;G31&amp;IF($T31="",""," ")&amp;$T31&amp;IF($J31="",""," ")&amp;$J31&amp;IF($U31="",""," ")&amp;$U31&amp;IF($V31="",""," ")&amp;$V31&amp;IF($W31="",""," ")&amp;$W31&amp;IF($Z31="",""," ")&amp;$Z31&amp;IF($Z31="","","mcd")</f>
        <v>FTDI-1x6-0.100 CON Male Header</v>
      </c>
      <c r="E31" t="str" s="15" cm="1">
        <f t="array" ref="E31">IF(ISBLANK(K31),"",HYPERLINK("https://jlcpcb.com/partdetail/"&amp;$K31,$K31))</f>
      </c>
      <c r="F31" t="str" s="15" cm="1">
        <f t="array" ref="F31">H31</f>
        <v>FTDI-1x6-0.100</v>
      </c>
      <c r="G31" t="s" s="17">
        <v>155</v>
      </c>
      <c r="H31" t="s" s="17">
        <v>276</v>
      </c>
      <c r="I31" t="s" s="19">
        <v>204</v>
      </c>
      <c r="J31" t="s" s="17">
        <v>277</v>
      </c>
      <c r="K31" s="18"/>
      <c r="L31" t="s" s="19">
        <v>278</v>
      </c>
      <c r="M31" s="17"/>
      <c r="N31" s="17"/>
      <c r="O31" s="17"/>
      <c r="P31" s="17"/>
      <c r="Q31" s="17"/>
      <c r="R31" t="s" s="17">
        <v>279</v>
      </c>
      <c r="S31" t="s" s="17">
        <v>160</v>
      </c>
      <c r="T31" s="17"/>
      <c r="U31" s="17"/>
      <c r="V31" s="17"/>
      <c r="W31" s="17"/>
      <c r="X31" s="17"/>
      <c r="Y31" s="17"/>
      <c r="Z31" s="17"/>
      <c r="AA31" s="17"/>
      <c r="AB31" s="18"/>
      <c r="AC31" s="18"/>
      <c r="AD31" s="20">
        <v>10</v>
      </c>
      <c r="AE31" t="s" s="17">
        <v>211</v>
      </c>
      <c r="AF31" s="21"/>
      <c r="AG31" s="18"/>
      <c r="AH31" t="s" s="22">
        <v>280</v>
      </c>
      <c r="AI31" t="s" s="23">
        <v>281</v>
      </c>
      <c r="AJ31" s="18"/>
    </row>
    <row r="32" ht="18.9" customHeight="1">
      <c r="B32" t="str" s="15" cm="1">
        <f t="array" ref="B32">G32&amp;"_"&amp;F32</f>
        <v>CON_M5-1x6-0.100</v>
      </c>
      <c r="C32" t="str" s="16" cm="1">
        <f t="array" ref="C32">$F32&amp;IF($G32="LED"," LED","")&amp;IF($T32="",""," ")&amp;$T32&amp;IF($J32="",""," ")&amp;$J32&amp;IF($U32="",""," ")&amp;$U32&amp;IF($V32="",""," ")&amp;$V32&amp;IF($W32="",""," ")&amp;$W32&amp;IF($Z32="",""," ")&amp;$Z32&amp;IF($Z32="","","mcd")</f>
        <v>M5-1x6-0.100 Female Header</v>
      </c>
      <c r="D32" t="str" s="16" cm="1">
        <f t="array" ref="D32">$F32&amp;" "&amp;G32&amp;IF($T32="",""," ")&amp;$T32&amp;IF($J32="",""," ")&amp;$J32&amp;IF($U32="",""," ")&amp;$U32&amp;IF($V32="",""," ")&amp;$V32&amp;IF($W32="",""," ")&amp;$W32&amp;IF($Z32="",""," ")&amp;$Z32&amp;IF($Z32="","","mcd")</f>
        <v>M5-1x6-0.100 CON Female Header</v>
      </c>
      <c r="E32" t="str" s="15" cm="1">
        <f t="array" ref="E32">IF(ISBLANK(K32),"",HYPERLINK("https://jlcpcb.com/partdetail/"&amp;$K32,$K32))</f>
      </c>
      <c r="F32" t="str" s="15" cm="1">
        <f t="array" ref="F32">H32</f>
        <v>M5-1x6-0.100</v>
      </c>
      <c r="G32" t="s" s="17">
        <v>155</v>
      </c>
      <c r="H32" t="s" s="17">
        <v>286</v>
      </c>
      <c r="I32" t="s" s="19">
        <v>204</v>
      </c>
      <c r="J32" t="s" s="17">
        <v>287</v>
      </c>
      <c r="K32" s="18"/>
      <c r="L32" t="s" s="19">
        <v>288</v>
      </c>
      <c r="M32" s="17"/>
      <c r="N32" s="17"/>
      <c r="O32" s="17"/>
      <c r="P32" s="17"/>
      <c r="Q32" s="17"/>
      <c r="R32" t="s" s="17">
        <v>279</v>
      </c>
      <c r="S32" t="s" s="17">
        <v>160</v>
      </c>
      <c r="T32" s="17"/>
      <c r="U32" s="17"/>
      <c r="V32" s="17"/>
      <c r="W32" s="17"/>
      <c r="X32" s="17"/>
      <c r="Y32" s="17"/>
      <c r="Z32" s="17"/>
      <c r="AA32" s="17"/>
      <c r="AB32" s="18"/>
      <c r="AC32" s="18"/>
      <c r="AD32" s="20">
        <v>10</v>
      </c>
      <c r="AE32" t="s" s="17">
        <v>211</v>
      </c>
      <c r="AF32" s="21"/>
      <c r="AG32" s="18"/>
      <c r="AH32" t="s" s="22">
        <v>289</v>
      </c>
      <c r="AI32" t="s" s="23">
        <v>290</v>
      </c>
      <c r="AJ32" s="18"/>
    </row>
    <row r="33" ht="18.9" customHeight="1">
      <c r="B33" t="str" s="15" cm="1">
        <f t="array" ref="B33">G33&amp;"_"&amp;F33</f>
        <v>CON_1x02-0.100</v>
      </c>
      <c r="C33" t="str" s="16" cm="1">
        <f t="array" ref="C33">$F33&amp;IF($G33="LED"," LED","")&amp;IF($T33="",""," ")&amp;$T33&amp;IF($J33="",""," ")&amp;$J33&amp;IF($U33="",""," ")&amp;$U33&amp;IF($V33="",""," ")&amp;$V33&amp;IF($W33="",""," ")&amp;$W33&amp;IF($Z33="",""," ")&amp;$Z33&amp;IF($Z33="","","mcd")</f>
        <v>1x02-0.100 Male Header</v>
      </c>
      <c r="D33" t="str" s="16" cm="1">
        <f t="array" ref="D33">$F33&amp;" "&amp;G33&amp;IF($T33="",""," ")&amp;$T33&amp;IF($J33="",""," ")&amp;$J33&amp;IF($U33="",""," ")&amp;$U33&amp;IF($V33="",""," ")&amp;$V33&amp;IF($W33="",""," ")&amp;$W33&amp;IF($Z33="",""," ")&amp;$Z33&amp;IF($Z33="","","mcd")</f>
        <v>1x02-0.100 CON Male Header</v>
      </c>
      <c r="E33" t="str" s="15" cm="1">
        <f t="array" ref="E33">IF(ISBLANK(K33),"",HYPERLINK("https://jlcpcb.com/partdetail/"&amp;$K33,$K33))</f>
      </c>
      <c r="F33" t="str" s="15" cm="1">
        <f t="array" ref="F33">H33</f>
        <v>1x02-0.100</v>
      </c>
      <c r="G33" t="s" s="17">
        <v>155</v>
      </c>
      <c r="H33" t="s" s="17">
        <v>295</v>
      </c>
      <c r="I33" t="s" s="19">
        <v>204</v>
      </c>
      <c r="J33" t="s" s="17">
        <v>277</v>
      </c>
      <c r="K33" s="18"/>
      <c r="L33" t="s" s="19">
        <v>296</v>
      </c>
      <c r="M33" s="17"/>
      <c r="N33" s="17"/>
      <c r="O33" s="17"/>
      <c r="P33" s="17"/>
      <c r="Q33" s="17"/>
      <c r="R33" t="s" s="17">
        <v>297</v>
      </c>
      <c r="S33" t="s" s="17">
        <v>160</v>
      </c>
      <c r="T33" s="17"/>
      <c r="U33" s="17"/>
      <c r="V33" s="17"/>
      <c r="W33" s="17"/>
      <c r="X33" s="17"/>
      <c r="Y33" s="17"/>
      <c r="Z33" s="17"/>
      <c r="AA33" s="17"/>
      <c r="AB33" s="18"/>
      <c r="AC33" s="18"/>
      <c r="AD33" s="20">
        <v>10</v>
      </c>
      <c r="AE33" t="s" s="17">
        <v>211</v>
      </c>
      <c r="AF33" s="21"/>
      <c r="AG33" s="18"/>
      <c r="AH33" t="s" s="22">
        <v>298</v>
      </c>
      <c r="AI33" t="s" s="23">
        <v>299</v>
      </c>
      <c r="AJ33" s="18"/>
    </row>
    <row r="34" ht="18.9" customHeight="1">
      <c r="B34" t="str" s="15" cm="1">
        <f t="array" ref="B34">G34&amp;"_"&amp;F34</f>
        <v>CON_1x02-0.100-screw</v>
      </c>
      <c r="C34" t="str" s="16" cm="1">
        <f t="array" ref="C34">$F34&amp;IF($G34="LED"," LED","")&amp;IF($T34="",""," ")&amp;$T34&amp;IF($J34="",""," ")&amp;$J34&amp;IF($U34="",""," ")&amp;$U34&amp;IF($V34="",""," ")&amp;$V34&amp;IF($W34="",""," ")&amp;$W34&amp;IF($Z34="",""," ")&amp;$Z34&amp;IF($Z34="","","mcd")</f>
        <v>1x02-0.100-screw</v>
      </c>
      <c r="D34" t="str" s="16" cm="1">
        <f t="array" ref="D34">$F34&amp;" "&amp;G34&amp;IF($T34="",""," ")&amp;$T34&amp;IF($J34="",""," ")&amp;$J34&amp;IF($U34="",""," ")&amp;$U34&amp;IF($V34="",""," ")&amp;$V34&amp;IF($W34="",""," ")&amp;$W34&amp;IF($Z34="",""," ")&amp;$Z34&amp;IF($Z34="","","mcd")</f>
        <v>1x02-0.100-screw CON</v>
      </c>
      <c r="E34" t="str" s="15" cm="1">
        <f t="array" ref="E34">IF(ISBLANK(K34),"",HYPERLINK("https://jlcpcb.com/partdetail/"&amp;$K34,$K34))</f>
        <v>C3029316</v>
      </c>
      <c r="F34" t="str" s="15" cm="1">
        <f t="array" ref="F34">H34</f>
        <v>1x02-0.100-screw</v>
      </c>
      <c r="G34" t="s" s="17">
        <v>155</v>
      </c>
      <c r="H34" t="s" s="17">
        <v>304</v>
      </c>
      <c r="I34" t="s" s="19">
        <v>204</v>
      </c>
      <c r="J34" s="17"/>
      <c r="K34" t="s" s="17">
        <v>305</v>
      </c>
      <c r="L34" t="s" s="19">
        <v>306</v>
      </c>
      <c r="M34" s="17"/>
      <c r="N34" s="17"/>
      <c r="O34" s="17"/>
      <c r="P34" s="17"/>
      <c r="Q34" s="17"/>
      <c r="R34" t="s" s="17">
        <v>297</v>
      </c>
      <c r="S34" t="s" s="17">
        <v>160</v>
      </c>
      <c r="T34" s="17"/>
      <c r="U34" s="17"/>
      <c r="V34" s="17"/>
      <c r="W34" s="17"/>
      <c r="X34" s="17"/>
      <c r="Y34" s="17"/>
      <c r="Z34" s="17"/>
      <c r="AA34" s="17"/>
      <c r="AB34" s="18"/>
      <c r="AC34" s="18"/>
      <c r="AD34" s="27"/>
      <c r="AE34" s="18"/>
      <c r="AF34" s="21"/>
      <c r="AG34" s="18"/>
      <c r="AH34" t="s" s="22">
        <v>298</v>
      </c>
      <c r="AI34" t="s" s="23">
        <v>299</v>
      </c>
      <c r="AJ34" s="18"/>
    </row>
    <row r="35" ht="18.9" customHeight="1">
      <c r="B35" t="str" s="15" cm="1">
        <f t="array" ref="B35">G35&amp;"_"&amp;F35</f>
        <v>CON_1x02-0.100-socket</v>
      </c>
      <c r="C35" t="str" s="16" cm="1">
        <f t="array" ref="C35">$F35&amp;IF($G35="LED"," LED","")&amp;IF($T35="",""," ")&amp;$T35&amp;IF($J35="",""," ")&amp;$J35&amp;IF($U35="",""," ")&amp;$U35&amp;IF($V35="",""," ")&amp;$V35&amp;IF($W35="",""," ")&amp;$W35&amp;IF($Z35="",""," ")&amp;$Z35&amp;IF($Z35="","","mcd")</f>
        <v>1x02-0.100-socket Female Header</v>
      </c>
      <c r="D35" t="str" s="16" cm="1">
        <f t="array" ref="D35">$F35&amp;" "&amp;G35&amp;IF($T35="",""," ")&amp;$T35&amp;IF($J35="",""," ")&amp;$J35&amp;IF($U35="",""," ")&amp;$U35&amp;IF($V35="",""," ")&amp;$V35&amp;IF($W35="",""," ")&amp;$W35&amp;IF($Z35="",""," ")&amp;$Z35&amp;IF($Z35="","","mcd")</f>
        <v>1x02-0.100-socket CON Female Header</v>
      </c>
      <c r="E35" t="str" s="15" cm="1">
        <f t="array" ref="E35">IF(ISBLANK(K35),"",HYPERLINK("https://jlcpcb.com/partdetail/"&amp;$K35,$K35))</f>
        <v>C429966</v>
      </c>
      <c r="F35" t="str" s="15" cm="1">
        <f t="array" ref="F35">H35</f>
        <v>1x02-0.100-socket</v>
      </c>
      <c r="G35" t="s" s="17">
        <v>155</v>
      </c>
      <c r="H35" t="s" s="17">
        <v>312</v>
      </c>
      <c r="I35" t="s" s="19">
        <v>204</v>
      </c>
      <c r="J35" t="s" s="17">
        <v>287</v>
      </c>
      <c r="K35" t="s" s="32">
        <v>313</v>
      </c>
      <c r="L35" t="s" s="19">
        <v>314</v>
      </c>
      <c r="M35" s="17"/>
      <c r="N35" s="17"/>
      <c r="O35" s="17"/>
      <c r="P35" s="17"/>
      <c r="Q35" t="s" s="17">
        <v>315</v>
      </c>
      <c r="R35" t="s" s="17">
        <v>297</v>
      </c>
      <c r="S35" t="s" s="17">
        <v>160</v>
      </c>
      <c r="T35" s="17"/>
      <c r="U35" s="17"/>
      <c r="V35" s="17"/>
      <c r="W35" s="17"/>
      <c r="X35" s="17"/>
      <c r="Y35" s="17"/>
      <c r="Z35" s="17"/>
      <c r="AA35" s="17"/>
      <c r="AB35" s="18"/>
      <c r="AC35" s="18"/>
      <c r="AD35" s="27"/>
      <c r="AE35" s="18"/>
      <c r="AF35" t="s" s="25">
        <v>316</v>
      </c>
      <c r="AG35" t="s" s="32">
        <v>317</v>
      </c>
      <c r="AH35" s="28"/>
      <c r="AI35" s="29"/>
      <c r="AJ35" s="18"/>
    </row>
    <row r="36" ht="18.9" customHeight="1">
      <c r="B36" t="str" s="15" cm="1">
        <f t="array" ref="B36">G36&amp;"_"&amp;F36</f>
        <v>CON_1x03-0.100</v>
      </c>
      <c r="C36" t="str" s="16" cm="1">
        <f t="array" ref="C36">$F36&amp;IF($G36="LED"," LED","")&amp;IF($T36="",""," ")&amp;$T36&amp;IF($J36="",""," ")&amp;$J36&amp;IF($U36="",""," ")&amp;$U36&amp;IF($V36="",""," ")&amp;$V36&amp;IF($W36="",""," ")&amp;$W36&amp;IF($Z36="",""," ")&amp;$Z36&amp;IF($Z36="","","mcd")</f>
        <v>1x03-0.100 Male Header</v>
      </c>
      <c r="D36" t="str" s="16" cm="1">
        <f t="array" ref="D36">$F36&amp;" "&amp;G36&amp;IF($T36="",""," ")&amp;$T36&amp;IF($J36="",""," ")&amp;$J36&amp;IF($U36="",""," ")&amp;$U36&amp;IF($V36="",""," ")&amp;$V36&amp;IF($W36="",""," ")&amp;$W36&amp;IF($Z36="",""," ")&amp;$Z36&amp;IF($Z36="","","mcd")</f>
        <v>1x03-0.100 CON Male Header</v>
      </c>
      <c r="E36" t="str" s="15" cm="1">
        <f t="array" ref="E36">IF(ISBLANK(K36),"",HYPERLINK("https://jlcpcb.com/partdetail/"&amp;$K36,$K36))</f>
      </c>
      <c r="F36" t="str" s="15" cm="1">
        <f t="array" ref="F36">H36</f>
        <v>1x03-0.100</v>
      </c>
      <c r="G36" t="s" s="17">
        <v>155</v>
      </c>
      <c r="H36" t="s" s="17">
        <v>322</v>
      </c>
      <c r="I36" t="s" s="19">
        <v>204</v>
      </c>
      <c r="J36" t="s" s="17">
        <v>277</v>
      </c>
      <c r="K36" s="18"/>
      <c r="L36" t="s" s="19">
        <v>323</v>
      </c>
      <c r="M36" s="17"/>
      <c r="N36" s="17"/>
      <c r="O36" s="17"/>
      <c r="P36" s="17"/>
      <c r="Q36" s="17"/>
      <c r="R36" t="s" s="17">
        <v>324</v>
      </c>
      <c r="S36" t="s" s="17">
        <v>160</v>
      </c>
      <c r="T36" s="17"/>
      <c r="U36" s="17"/>
      <c r="V36" s="17"/>
      <c r="W36" s="17"/>
      <c r="X36" s="17"/>
      <c r="Y36" s="17"/>
      <c r="Z36" s="17"/>
      <c r="AA36" s="17"/>
      <c r="AB36" s="18"/>
      <c r="AC36" s="18"/>
      <c r="AD36" s="20">
        <v>10</v>
      </c>
      <c r="AE36" t="s" s="17">
        <v>211</v>
      </c>
      <c r="AF36" s="21"/>
      <c r="AG36" s="18"/>
      <c r="AH36" t="s" s="22">
        <v>325</v>
      </c>
      <c r="AI36" t="s" s="23">
        <v>326</v>
      </c>
      <c r="AJ36" s="18"/>
    </row>
    <row r="37" ht="18.9" customHeight="1">
      <c r="B37" t="str" s="15" cm="1">
        <f t="array" ref="B37">G37&amp;"_"&amp;F37</f>
        <v>CON_1x04-0.100</v>
      </c>
      <c r="C37" t="str" s="16" cm="1">
        <f t="array" ref="C37">$F37&amp;IF($G37="LED"," LED","")&amp;IF($T37="",""," ")&amp;$T37&amp;IF($J37="",""," ")&amp;$J37&amp;IF($U37="",""," ")&amp;$U37&amp;IF($V37="",""," ")&amp;$V37&amp;IF($W37="",""," ")&amp;$W37&amp;IF($Z37="",""," ")&amp;$Z37&amp;IF($Z37="","","mcd")</f>
        <v>1x04-0.100 Male Header</v>
      </c>
      <c r="D37" t="str" s="16" cm="1">
        <f t="array" ref="D37">$F37&amp;" "&amp;G37&amp;IF($T37="",""," ")&amp;$T37&amp;IF($J37="",""," ")&amp;$J37&amp;IF($U37="",""," ")&amp;$U37&amp;IF($V37="",""," ")&amp;$V37&amp;IF($W37="",""," ")&amp;$W37&amp;IF($Z37="",""," ")&amp;$Z37&amp;IF($Z37="","","mcd")</f>
        <v>1x04-0.100 CON Male Header</v>
      </c>
      <c r="E37" t="str" s="15" cm="1">
        <f t="array" ref="E37">IF(ISBLANK(K37),"",HYPERLINK("https://jlcpcb.com/partdetail/"&amp;$K37,$K37))</f>
        <v>C2691448</v>
      </c>
      <c r="F37" t="str" s="15" cm="1">
        <f t="array" ref="F37">H37</f>
        <v>1x04-0.100</v>
      </c>
      <c r="G37" t="s" s="17">
        <v>155</v>
      </c>
      <c r="H37" t="s" s="17">
        <v>332</v>
      </c>
      <c r="I37" t="s" s="19">
        <v>204</v>
      </c>
      <c r="J37" t="s" s="17">
        <v>277</v>
      </c>
      <c r="K37" t="s" s="17">
        <v>333</v>
      </c>
      <c r="L37" t="s" s="19">
        <v>334</v>
      </c>
      <c r="M37" s="17"/>
      <c r="N37" s="17"/>
      <c r="O37" s="17"/>
      <c r="P37" s="17"/>
      <c r="Q37" s="17"/>
      <c r="R37" t="s" s="17">
        <v>335</v>
      </c>
      <c r="S37" t="s" s="17">
        <v>160</v>
      </c>
      <c r="T37" s="17"/>
      <c r="U37" s="17"/>
      <c r="V37" s="17"/>
      <c r="W37" s="17"/>
      <c r="X37" s="17"/>
      <c r="Y37" s="17"/>
      <c r="Z37" s="17"/>
      <c r="AA37" s="17"/>
      <c r="AB37" s="18"/>
      <c r="AC37" s="18"/>
      <c r="AD37" s="20">
        <v>10</v>
      </c>
      <c r="AE37" t="s" s="17">
        <v>211</v>
      </c>
      <c r="AF37" t="s" s="25">
        <v>336</v>
      </c>
      <c r="AG37" t="s" s="17">
        <v>337</v>
      </c>
      <c r="AH37" t="s" s="22">
        <v>338</v>
      </c>
      <c r="AI37" t="s" s="23">
        <v>339</v>
      </c>
      <c r="AJ37" s="18"/>
    </row>
    <row r="38" ht="18.9" customHeight="1">
      <c r="B38" t="str" s="15" cm="1">
        <f t="array" ref="B38">G38&amp;"_"&amp;F38</f>
        <v>CON_1x04-0.100-RA</v>
      </c>
      <c r="C38" t="str" s="16" cm="1">
        <f t="array" ref="C38">$F38&amp;IF($G38="LED"," LED","")&amp;IF($T38="",""," ")&amp;$T38&amp;IF($J38="",""," ")&amp;$J38&amp;IF($U38="",""," ")&amp;$U38&amp;IF($V38="",""," ")&amp;$V38&amp;IF($W38="",""," ")&amp;$W38&amp;IF($Z38="",""," ")&amp;$Z38&amp;IF($Z38="","","mcd")</f>
        <v>1x04-0.100-RA Male Header</v>
      </c>
      <c r="D38" t="str" s="16" cm="1">
        <f t="array" ref="D38">$F38&amp;" "&amp;G38&amp;IF($T38="",""," ")&amp;$T38&amp;IF($J38="",""," ")&amp;$J38&amp;IF($U38="",""," ")&amp;$U38&amp;IF($V38="",""," ")&amp;$V38&amp;IF($W38="",""," ")&amp;$W38&amp;IF($Z38="",""," ")&amp;$Z38&amp;IF($Z38="","","mcd")</f>
        <v>1x04-0.100-RA CON Male Header</v>
      </c>
      <c r="E38" t="str" s="15" cm="1">
        <f t="array" ref="E38">IF(ISBLANK(K38),"",HYPERLINK("https://jlcpcb.com/partdetail/"&amp;$K38,$K38))</f>
        <v>C18214184</v>
      </c>
      <c r="F38" t="str" s="15" cm="1">
        <f t="array" ref="F38">H38</f>
        <v>1x04-0.100-RA</v>
      </c>
      <c r="G38" t="s" s="17">
        <v>155</v>
      </c>
      <c r="H38" t="s" s="17">
        <v>345</v>
      </c>
      <c r="I38" t="s" s="19">
        <v>204</v>
      </c>
      <c r="J38" t="s" s="17">
        <v>277</v>
      </c>
      <c r="K38" t="s" s="17">
        <v>346</v>
      </c>
      <c r="L38" t="s" s="19">
        <v>347</v>
      </c>
      <c r="M38" s="17"/>
      <c r="N38" s="17"/>
      <c r="O38" s="17"/>
      <c r="P38" s="17"/>
      <c r="Q38" s="17"/>
      <c r="R38" t="s" s="17">
        <v>335</v>
      </c>
      <c r="S38" t="s" s="17">
        <v>160</v>
      </c>
      <c r="T38" s="17"/>
      <c r="U38" s="17"/>
      <c r="V38" s="17"/>
      <c r="W38" s="17"/>
      <c r="X38" s="17"/>
      <c r="Y38" s="17"/>
      <c r="Z38" s="17"/>
      <c r="AA38" s="17"/>
      <c r="AB38" s="18"/>
      <c r="AC38" s="18"/>
      <c r="AD38" s="27"/>
      <c r="AE38" t="s" s="17">
        <v>211</v>
      </c>
      <c r="AF38" t="s" s="25">
        <v>348</v>
      </c>
      <c r="AG38" t="s" s="17">
        <v>349</v>
      </c>
      <c r="AH38" t="s" s="22">
        <v>338</v>
      </c>
      <c r="AI38" t="s" s="23">
        <v>339</v>
      </c>
      <c r="AJ38" s="18"/>
    </row>
    <row r="39" ht="18.9" customHeight="1">
      <c r="B39" t="str" s="15" cm="1">
        <f t="array" ref="B39">G39&amp;"_"&amp;F39</f>
        <v>CON_1x04-0.100-screw</v>
      </c>
      <c r="C39" t="str" s="16" cm="1">
        <f t="array" ref="C39">$F39&amp;IF($G39="LED"," LED","")&amp;IF($T39="",""," ")&amp;$T39&amp;IF($J39="",""," ")&amp;$J39&amp;IF($U39="",""," ")&amp;$U39&amp;IF($V39="",""," ")&amp;$V39&amp;IF($W39="",""," ")&amp;$W39&amp;IF($Z39="",""," ")&amp;$Z39&amp;IF($Z39="","","mcd")</f>
        <v>1x04-0.100-screw Screw Header</v>
      </c>
      <c r="D39" t="str" s="16" cm="1">
        <f t="array" ref="D39">$F39&amp;" "&amp;G39&amp;IF($T39="",""," ")&amp;$T39&amp;IF($J39="",""," ")&amp;$J39&amp;IF($U39="",""," ")&amp;$U39&amp;IF($V39="",""," ")&amp;$V39&amp;IF($W39="",""," ")&amp;$W39&amp;IF($Z39="",""," ")&amp;$Z39&amp;IF($Z39="","","mcd")</f>
        <v>1x04-0.100-screw CON Screw Header</v>
      </c>
      <c r="E39" t="str" s="15" cm="1">
        <f t="array" ref="E39">IF(ISBLANK(K39),"",HYPERLINK("https://jlcpcb.com/partdetail/"&amp;$K39,$K39))</f>
        <v>C3816889</v>
      </c>
      <c r="F39" t="str" s="15" cm="1">
        <f t="array" ref="F39">H39</f>
        <v>1x04-0.100-screw</v>
      </c>
      <c r="G39" t="s" s="17">
        <v>155</v>
      </c>
      <c r="H39" t="s" s="17">
        <v>355</v>
      </c>
      <c r="I39" t="s" s="19">
        <v>204</v>
      </c>
      <c r="J39" t="s" s="17">
        <v>356</v>
      </c>
      <c r="K39" t="s" s="17">
        <v>357</v>
      </c>
      <c r="L39" t="s" s="19">
        <v>358</v>
      </c>
      <c r="M39" s="17"/>
      <c r="N39" s="17"/>
      <c r="O39" s="17"/>
      <c r="P39" s="17"/>
      <c r="Q39" s="17"/>
      <c r="R39" t="s" s="17">
        <v>335</v>
      </c>
      <c r="S39" t="s" s="17">
        <v>160</v>
      </c>
      <c r="T39" s="17"/>
      <c r="U39" s="17"/>
      <c r="V39" s="17"/>
      <c r="W39" s="17"/>
      <c r="X39" s="17"/>
      <c r="Y39" s="17"/>
      <c r="Z39" s="17"/>
      <c r="AA39" s="17"/>
      <c r="AB39" s="18"/>
      <c r="AC39" s="18"/>
      <c r="AD39" s="20">
        <v>10</v>
      </c>
      <c r="AE39" t="s" s="17">
        <v>211</v>
      </c>
      <c r="AF39" s="21"/>
      <c r="AG39" s="18"/>
      <c r="AH39" t="s" s="22">
        <v>338</v>
      </c>
      <c r="AI39" t="s" s="23">
        <v>339</v>
      </c>
      <c r="AJ39" s="18"/>
    </row>
    <row r="40" ht="18.9" customHeight="1">
      <c r="B40" t="str" s="15" cm="1">
        <f t="array" ref="B40">G40&amp;"_"&amp;F40</f>
        <v>CON_1x04-0.100-SSD1306</v>
      </c>
      <c r="C40" t="str" s="16" cm="1">
        <f t="array" ref="C40">$F40&amp;IF($G40="LED"," LED","")&amp;IF($T40="",""," ")&amp;$T40&amp;IF($J40="",""," ")&amp;$J40&amp;IF($U40="",""," ")&amp;$U40&amp;IF($V40="",""," ")&amp;$V40&amp;IF($W40="",""," ")&amp;$W40&amp;IF($Z40="",""," ")&amp;$Z40&amp;IF($Z40="","","mcd")</f>
        <v>1x04-0.100-SSD1306 Male Header</v>
      </c>
      <c r="D40" t="str" s="16" cm="1">
        <f t="array" ref="D40">$F40&amp;" "&amp;G40&amp;IF($T40="",""," ")&amp;$T40&amp;IF($J40="",""," ")&amp;$J40&amp;IF($U40="",""," ")&amp;$U40&amp;IF($V40="",""," ")&amp;$V40&amp;IF($W40="",""," ")&amp;$W40&amp;IF($Z40="",""," ")&amp;$Z40&amp;IF($Z40="","","mcd")</f>
        <v>1x04-0.100-SSD1306 CON Male Header</v>
      </c>
      <c r="E40" t="str" s="15" cm="1">
        <f t="array" ref="E40">IF(ISBLANK(K40),"",HYPERLINK("https://jlcpcb.com/partdetail/"&amp;$K40,$K40))</f>
      </c>
      <c r="F40" t="str" s="15" cm="1">
        <f t="array" ref="F40">H40</f>
        <v>1x04-0.100-SSD1306</v>
      </c>
      <c r="G40" t="s" s="17">
        <v>155</v>
      </c>
      <c r="H40" t="s" s="17">
        <v>363</v>
      </c>
      <c r="I40" t="s" s="19">
        <v>204</v>
      </c>
      <c r="J40" t="s" s="17">
        <v>277</v>
      </c>
      <c r="K40" s="18"/>
      <c r="L40" t="s" s="19">
        <v>364</v>
      </c>
      <c r="M40" s="17"/>
      <c r="N40" s="17"/>
      <c r="O40" s="17"/>
      <c r="P40" s="17"/>
      <c r="Q40" s="17"/>
      <c r="R40" t="s" s="17">
        <v>335</v>
      </c>
      <c r="S40" t="s" s="17">
        <v>160</v>
      </c>
      <c r="T40" s="17"/>
      <c r="U40" s="17"/>
      <c r="V40" s="17"/>
      <c r="W40" s="17"/>
      <c r="X40" s="17"/>
      <c r="Y40" s="17"/>
      <c r="Z40" s="17"/>
      <c r="AA40" s="17"/>
      <c r="AB40" s="18"/>
      <c r="AC40" s="18"/>
      <c r="AD40" s="20">
        <v>10</v>
      </c>
      <c r="AE40" t="s" s="17">
        <v>211</v>
      </c>
      <c r="AF40" s="21"/>
      <c r="AG40" s="18"/>
      <c r="AH40" t="s" s="22">
        <v>365</v>
      </c>
      <c r="AI40" t="s" s="23">
        <v>366</v>
      </c>
      <c r="AJ40" s="18"/>
    </row>
    <row r="41" ht="18.9" customHeight="1">
      <c r="B41" t="str" s="15" cm="1">
        <f t="array" ref="B41">G41&amp;"_"&amp;F41</f>
        <v>CON_1x05-3.5-screw</v>
      </c>
      <c r="C41" t="str" s="16" cm="1">
        <f t="array" ref="C41">$F41&amp;IF($G41="LED"," LED","")&amp;IF($T41="",""," ")&amp;$T41&amp;IF($J41="",""," ")&amp;$J41&amp;IF($U41="",""," ")&amp;$U41&amp;IF($V41="",""," ")&amp;$V41&amp;IF($W41="",""," ")&amp;$W41&amp;IF($Z41="",""," ")&amp;$Z41&amp;IF($Z41="","","mcd")</f>
        <v>1x05-3.5-screw Screw Header</v>
      </c>
      <c r="D41" t="str" s="16" cm="1">
        <f t="array" ref="D41">$F41&amp;" "&amp;G41&amp;IF($T41="",""," ")&amp;$T41&amp;IF($J41="",""," ")&amp;$J41&amp;IF($U41="",""," ")&amp;$U41&amp;IF($V41="",""," ")&amp;$V41&amp;IF($W41="",""," ")&amp;$W41&amp;IF($Z41="",""," ")&amp;$Z41&amp;IF($Z41="","","mcd")</f>
        <v>1x05-3.5-screw CON Screw Header</v>
      </c>
      <c r="E41" t="str" s="15" cm="1">
        <f t="array" ref="E41">IF(ISBLANK(K41),"",HYPERLINK("https://jlcpcb.com/partdetail/"&amp;$K41,$K41))</f>
        <v>C3646874</v>
      </c>
      <c r="F41" t="str" s="15" cm="1">
        <f t="array" ref="F41">H41</f>
        <v>1x05-3.5-screw</v>
      </c>
      <c r="G41" t="s" s="17">
        <v>155</v>
      </c>
      <c r="H41" t="s" s="17">
        <v>372</v>
      </c>
      <c r="I41" t="s" s="19">
        <v>204</v>
      </c>
      <c r="J41" t="s" s="17">
        <v>356</v>
      </c>
      <c r="K41" t="s" s="17">
        <v>373</v>
      </c>
      <c r="L41" t="s" s="19">
        <v>374</v>
      </c>
      <c r="M41" s="17"/>
      <c r="N41" s="17"/>
      <c r="O41" s="17"/>
      <c r="P41" s="17"/>
      <c r="Q41" s="17"/>
      <c r="R41" t="s" s="17">
        <v>375</v>
      </c>
      <c r="S41" t="s" s="17">
        <v>376</v>
      </c>
      <c r="T41" s="17"/>
      <c r="U41" s="17"/>
      <c r="V41" s="17"/>
      <c r="W41" s="17"/>
      <c r="X41" s="17"/>
      <c r="Y41" s="17"/>
      <c r="Z41" s="17"/>
      <c r="AA41" s="17"/>
      <c r="AB41" s="18"/>
      <c r="AC41" s="18"/>
      <c r="AD41" s="27"/>
      <c r="AE41" s="18"/>
      <c r="AF41" s="21"/>
      <c r="AG41" s="18"/>
      <c r="AH41" s="28"/>
      <c r="AI41" s="29"/>
      <c r="AJ41" s="18"/>
    </row>
    <row r="42" ht="18.9" customHeight="1">
      <c r="B42" t="str" s="15" cm="1">
        <f t="array" ref="B42">G42&amp;"_"&amp;F42</f>
        <v>CON_1x06-0.100</v>
      </c>
      <c r="C42" t="str" s="16" cm="1">
        <f t="array" ref="C42">$F42&amp;IF($G42="LED"," LED","")&amp;IF($T42="",""," ")&amp;$T42&amp;IF($J42="",""," ")&amp;$J42&amp;IF($U42="",""," ")&amp;$U42&amp;IF($V42="",""," ")&amp;$V42&amp;IF($W42="",""," ")&amp;$W42&amp;IF($Z42="",""," ")&amp;$Z42&amp;IF($Z42="","","mcd")</f>
        <v>1x06-0.100 Male Header</v>
      </c>
      <c r="D42" t="str" s="16" cm="1">
        <f t="array" ref="D42">$F42&amp;" "&amp;G42&amp;IF($T42="",""," ")&amp;$T42&amp;IF($J42="",""," ")&amp;$J42&amp;IF($U42="",""," ")&amp;$U42&amp;IF($V42="",""," ")&amp;$V42&amp;IF($W42="",""," ")&amp;$W42&amp;IF($Z42="",""," ")&amp;$Z42&amp;IF($Z42="","","mcd")</f>
        <v>1x06-0.100 CON Male Header</v>
      </c>
      <c r="E42" t="str" s="15" cm="1">
        <f t="array" ref="E42">IF(ISBLANK(K42),"",HYPERLINK("https://jlcpcb.com/partdetail/"&amp;$K42,$K42))</f>
      </c>
      <c r="F42" t="str" s="15" cm="1">
        <f t="array" ref="F42">H42</f>
        <v>1x06-0.100</v>
      </c>
      <c r="G42" t="s" s="17">
        <v>155</v>
      </c>
      <c r="H42" t="s" s="17">
        <v>381</v>
      </c>
      <c r="I42" t="s" s="19">
        <v>204</v>
      </c>
      <c r="J42" t="s" s="17">
        <v>277</v>
      </c>
      <c r="K42" s="18"/>
      <c r="L42" t="s" s="19">
        <v>382</v>
      </c>
      <c r="M42" s="17"/>
      <c r="N42" s="17"/>
      <c r="O42" s="17"/>
      <c r="P42" s="17"/>
      <c r="Q42" s="17"/>
      <c r="R42" t="s" s="17">
        <v>279</v>
      </c>
      <c r="S42" t="s" s="17">
        <v>160</v>
      </c>
      <c r="T42" s="17"/>
      <c r="U42" s="17"/>
      <c r="V42" s="17"/>
      <c r="W42" s="17"/>
      <c r="X42" s="17"/>
      <c r="Y42" s="17"/>
      <c r="Z42" s="17"/>
      <c r="AA42" s="17"/>
      <c r="AB42" s="18"/>
      <c r="AC42" s="18"/>
      <c r="AD42" s="20">
        <v>10</v>
      </c>
      <c r="AE42" t="s" s="17">
        <v>211</v>
      </c>
      <c r="AF42" s="21"/>
      <c r="AG42" s="18"/>
      <c r="AH42" t="s" s="22">
        <v>383</v>
      </c>
      <c r="AI42" t="s" s="23">
        <v>384</v>
      </c>
      <c r="AJ42" s="18"/>
    </row>
    <row r="43" ht="18.9" customHeight="1">
      <c r="B43" t="str" s="15" cm="1">
        <f t="array" ref="B43">G43&amp;"_"&amp;F43</f>
        <v>CON_1x08-0.100-socket</v>
      </c>
      <c r="C43" t="str" s="16" cm="1">
        <f t="array" ref="C43">$F43&amp;IF($G43="LED"," LED","")&amp;IF($T43="",""," ")&amp;$T43&amp;IF($J43="",""," ")&amp;$J43&amp;IF($U43="",""," ")&amp;$U43&amp;IF($V43="",""," ")&amp;$V43&amp;IF($W43="",""," ")&amp;$W43&amp;IF($Z43="",""," ")&amp;$Z43&amp;IF($Z43="","","mcd")</f>
        <v>1x08-0.100-socket Female Header</v>
      </c>
      <c r="D43" t="str" s="16" cm="1">
        <f t="array" ref="D43">$F43&amp;" "&amp;G43&amp;IF($T43="",""," ")&amp;$T43&amp;IF($J43="",""," ")&amp;$J43&amp;IF($U43="",""," ")&amp;$U43&amp;IF($V43="",""," ")&amp;$V43&amp;IF($W43="",""," ")&amp;$W43&amp;IF($Z43="",""," ")&amp;$Z43&amp;IF($Z43="","","mcd")</f>
        <v>1x08-0.100-socket CON Female Header</v>
      </c>
      <c r="E43" t="str" s="15" cm="1">
        <f t="array" ref="E43">IF(ISBLANK(K43),"",HYPERLINK("https://jlcpcb.com/partdetail/"&amp;$K43,$K43))</f>
        <v>C27438</v>
      </c>
      <c r="F43" t="str" s="15" cm="1">
        <f t="array" ref="F43">H43</f>
        <v>1x08-0.100-socket</v>
      </c>
      <c r="G43" t="s" s="17">
        <v>155</v>
      </c>
      <c r="H43" t="s" s="17">
        <v>390</v>
      </c>
      <c r="I43" t="s" s="19">
        <v>204</v>
      </c>
      <c r="J43" t="s" s="17">
        <v>287</v>
      </c>
      <c r="K43" t="s" s="32">
        <v>391</v>
      </c>
      <c r="L43" t="s" s="19">
        <v>392</v>
      </c>
      <c r="M43" s="17"/>
      <c r="N43" s="17"/>
      <c r="O43" s="17"/>
      <c r="P43" s="17"/>
      <c r="Q43" t="s" s="17">
        <v>315</v>
      </c>
      <c r="R43" t="s" s="17">
        <v>393</v>
      </c>
      <c r="S43" t="s" s="17">
        <v>160</v>
      </c>
      <c r="T43" s="17"/>
      <c r="U43" s="17"/>
      <c r="V43" s="17"/>
      <c r="W43" s="17"/>
      <c r="X43" s="17"/>
      <c r="Y43" s="17"/>
      <c r="Z43" s="17"/>
      <c r="AA43" s="17"/>
      <c r="AB43" s="18"/>
      <c r="AC43" s="18"/>
      <c r="AD43" s="27"/>
      <c r="AE43" s="18"/>
      <c r="AF43" s="21"/>
      <c r="AG43" s="18"/>
      <c r="AH43" s="28"/>
      <c r="AI43" s="29"/>
      <c r="AJ43" s="18"/>
    </row>
    <row r="44" ht="18.9" customHeight="1">
      <c r="B44" t="str" s="15" cm="1">
        <f t="array" ref="B44">G44&amp;"_"&amp;F44</f>
        <v>CON_1x12-0.100-socket</v>
      </c>
      <c r="C44" t="str" s="16" cm="1">
        <f t="array" ref="C44">$F44&amp;IF($G44="LED"," LED","")&amp;IF($T44="",""," ")&amp;$T44&amp;IF($J44="",""," ")&amp;$J44&amp;IF($U44="",""," ")&amp;$U44&amp;IF($V44="",""," ")&amp;$V44&amp;IF($W44="",""," ")&amp;$W44&amp;IF($Z44="",""," ")&amp;$Z44&amp;IF($Z44="","","mcd")</f>
        <v>1x12-0.100-socket Female Header</v>
      </c>
      <c r="D44" t="str" s="16" cm="1">
        <f t="array" ref="D44">$F44&amp;" "&amp;G44&amp;IF($T44="",""," ")&amp;$T44&amp;IF($J44="",""," ")&amp;$J44&amp;IF($U44="",""," ")&amp;$U44&amp;IF($V44="",""," ")&amp;$V44&amp;IF($W44="",""," ")&amp;$W44&amp;IF($Z44="",""," ")&amp;$Z44&amp;IF($Z44="","","mcd")</f>
        <v>1x12-0.100-socket CON Female Header</v>
      </c>
      <c r="E44" t="str" s="15" cm="1">
        <f t="array" ref="E44">IF(ISBLANK(K44),"",HYPERLINK("https://jlcpcb.com/partdetail/"&amp;$K44,$K44))</f>
        <v>C2905419</v>
      </c>
      <c r="F44" t="str" s="15" cm="1">
        <f t="array" ref="F44">H44</f>
        <v>1x12-0.100-socket</v>
      </c>
      <c r="G44" t="s" s="17">
        <v>155</v>
      </c>
      <c r="H44" t="s" s="17">
        <v>399</v>
      </c>
      <c r="I44" t="s" s="19">
        <v>204</v>
      </c>
      <c r="J44" t="s" s="17">
        <v>287</v>
      </c>
      <c r="K44" t="s" s="32">
        <v>400</v>
      </c>
      <c r="L44" t="s" s="19">
        <v>401</v>
      </c>
      <c r="M44" s="17"/>
      <c r="N44" s="17"/>
      <c r="O44" s="17"/>
      <c r="P44" s="17"/>
      <c r="Q44" t="s" s="17">
        <v>315</v>
      </c>
      <c r="R44" t="s" s="17">
        <v>402</v>
      </c>
      <c r="S44" t="s" s="17">
        <v>160</v>
      </c>
      <c r="T44" s="17"/>
      <c r="U44" s="17"/>
      <c r="V44" s="17"/>
      <c r="W44" s="17"/>
      <c r="X44" s="17"/>
      <c r="Y44" s="17"/>
      <c r="Z44" s="17"/>
      <c r="AA44" s="17"/>
      <c r="AB44" s="18"/>
      <c r="AC44" s="18"/>
      <c r="AD44" s="27"/>
      <c r="AE44" s="18"/>
      <c r="AF44" s="21"/>
      <c r="AG44" s="18"/>
      <c r="AH44" s="28"/>
      <c r="AI44" s="29"/>
      <c r="AJ44" s="18"/>
    </row>
    <row r="45" ht="18.9" customHeight="1">
      <c r="B45" t="str" s="15" cm="1">
        <f t="array" ref="B45">G45&amp;"_"&amp;F45</f>
        <v>MCU_WT32-ETH01</v>
      </c>
      <c r="C45" t="str" s="16" cm="1">
        <f t="array" ref="C45">$F45&amp;IF($G45="LED"," LED","")&amp;IF($T45="",""," ")&amp;$T45&amp;IF($J45="",""," ")&amp;$J45&amp;IF($U45="",""," ")&amp;$U45&amp;IF($V45="",""," ")&amp;$V45&amp;IF($W45="",""," ")&amp;$W45&amp;IF($Z45="",""," ")&amp;$Z45&amp;IF($Z45="","","mcd")</f>
        <v>WT32-ETH01 ESP32</v>
      </c>
      <c r="D45" t="str" s="16" cm="1">
        <f t="array" ref="D45">$F45&amp;" "&amp;G45&amp;IF($T45="",""," ")&amp;$T45&amp;IF($J45="",""," ")&amp;$J45&amp;IF($U45="",""," ")&amp;$U45&amp;IF($V45="",""," ")&amp;$V45&amp;IF($W45="",""," ")&amp;$W45&amp;IF($Z45="",""," ")&amp;$Z45&amp;IF($Z45="","","mcd")</f>
        <v>WT32-ETH01 MCU ESP32</v>
      </c>
      <c r="E45" t="str" s="15" cm="1">
        <f t="array" ref="E45">IF(ISBLANK(K45),"",HYPERLINK("https://jlcpcb.com/partdetail/"&amp;$K45,$K45))</f>
      </c>
      <c r="F45" t="str" s="15" cm="1">
        <f t="array" ref="F45">H45</f>
        <v>WT32-ETH01</v>
      </c>
      <c r="G45" t="s" s="17">
        <v>407</v>
      </c>
      <c r="H45" t="str" s="18" cm="1">
        <f t="array" ref="H45">AG45</f>
        <v>WT32-ETH01</v>
      </c>
      <c r="I45" t="s" s="19">
        <v>204</v>
      </c>
      <c r="J45" t="s" s="17">
        <v>408</v>
      </c>
      <c r="K45" s="18"/>
      <c r="L45" t="s" s="19">
        <v>409</v>
      </c>
      <c r="M45" s="17"/>
      <c r="N45" s="17"/>
      <c r="O45" s="17"/>
      <c r="P45" s="17"/>
      <c r="Q45" s="17"/>
      <c r="R45" t="s" s="17">
        <v>410</v>
      </c>
      <c r="S45" t="s" s="17">
        <v>411</v>
      </c>
      <c r="T45" s="17"/>
      <c r="U45" s="17"/>
      <c r="V45" s="17"/>
      <c r="W45" s="17"/>
      <c r="X45" s="17"/>
      <c r="Y45" s="17"/>
      <c r="Z45" s="17"/>
      <c r="AA45" s="17"/>
      <c r="AB45" s="18"/>
      <c r="AC45" s="18"/>
      <c r="AD45" s="20">
        <v>10</v>
      </c>
      <c r="AE45" t="s" s="17">
        <v>211</v>
      </c>
      <c r="AF45" t="s" s="25">
        <v>412</v>
      </c>
      <c r="AG45" t="s" s="17">
        <v>409</v>
      </c>
      <c r="AH45" t="s" s="22">
        <v>413</v>
      </c>
      <c r="AI45" t="s" s="23">
        <v>413</v>
      </c>
      <c r="AJ45" t="s" s="17">
        <v>414</v>
      </c>
    </row>
    <row r="46" ht="18.9" customHeight="1">
      <c r="B46" t="str" s="15" cm="1">
        <f t="array" ref="B46">G46&amp;"_"&amp;F46</f>
        <v>MCU_ESP32-DevKit_V1</v>
      </c>
      <c r="C46" t="str" s="16" cm="1">
        <f t="array" ref="C46">$F46&amp;IF($G46="LED"," LED","")&amp;IF($T46="",""," ")&amp;$T46&amp;IF($J46="",""," ")&amp;$J46&amp;IF($U46="",""," ")&amp;$U46&amp;IF($V46="",""," ")&amp;$V46&amp;IF($W46="",""," ")&amp;$W46&amp;IF($Z46="",""," ")&amp;$Z46&amp;IF($Z46="","","mcd")</f>
        <v>ESP32-DevKit_V1 ESP32</v>
      </c>
      <c r="D46" t="str" s="16" cm="1">
        <f t="array" ref="D46">$F46&amp;" "&amp;G46&amp;IF($T46="",""," ")&amp;$T46&amp;IF($J46="",""," ")&amp;$J46&amp;IF($U46="",""," ")&amp;$U46&amp;IF($V46="",""," ")&amp;$V46&amp;IF($W46="",""," ")&amp;$W46&amp;IF($Z46="",""," ")&amp;$Z46&amp;IF($Z46="","","mcd")</f>
        <v>ESP32-DevKit_V1 MCU ESP32</v>
      </c>
      <c r="E46" t="str" s="15" cm="1">
        <f t="array" ref="E46">IF(ISBLANK(K46),"",HYPERLINK("https://jlcpcb.com/partdetail/"&amp;$K46,$K46))</f>
      </c>
      <c r="F46" t="str" s="15" cm="1">
        <f t="array" ref="F46">H46</f>
        <v>ESP32-DevKit_V1</v>
      </c>
      <c r="G46" t="s" s="17">
        <v>407</v>
      </c>
      <c r="H46" t="str" s="18" cm="1">
        <f t="array" ref="H46">AG46</f>
        <v>ESP32-DevKit_V1</v>
      </c>
      <c r="I46" t="s" s="19">
        <v>204</v>
      </c>
      <c r="J46" t="s" s="17">
        <v>408</v>
      </c>
      <c r="K46" s="18"/>
      <c r="L46" t="s" s="19">
        <v>419</v>
      </c>
      <c r="M46" s="17"/>
      <c r="N46" s="17"/>
      <c r="O46" s="17"/>
      <c r="P46" s="17"/>
      <c r="Q46" s="17"/>
      <c r="R46" t="s" s="17">
        <v>420</v>
      </c>
      <c r="S46" t="s" s="17">
        <v>411</v>
      </c>
      <c r="T46" s="17"/>
      <c r="U46" s="17"/>
      <c r="V46" s="17"/>
      <c r="W46" s="17"/>
      <c r="X46" s="17"/>
      <c r="Y46" s="17"/>
      <c r="Z46" s="17"/>
      <c r="AA46" s="17"/>
      <c r="AB46" s="18"/>
      <c r="AC46" s="18"/>
      <c r="AD46" s="20">
        <v>10</v>
      </c>
      <c r="AE46" t="s" s="17">
        <v>211</v>
      </c>
      <c r="AF46" t="s" s="25">
        <v>421</v>
      </c>
      <c r="AG46" t="s" s="17">
        <v>422</v>
      </c>
      <c r="AH46" t="s" s="22">
        <v>423</v>
      </c>
      <c r="AI46" t="s" s="23">
        <v>423</v>
      </c>
      <c r="AJ46" t="s" s="17">
        <v>424</v>
      </c>
    </row>
    <row r="47" ht="18.9" customHeight="1">
      <c r="B47" t="str" s="15" cm="1">
        <f t="array" ref="B47">G47&amp;"_"&amp;F47&amp;"_"&amp;J47&amp;"_"&amp;P47&amp;"_"&amp;U47</f>
        <v>CAP_0.01uF_X7R_0603_25V</v>
      </c>
      <c r="C47" t="str" s="16" cm="1">
        <f t="array" ref="C47">$F47&amp;IF($G47="LED"," LED","")&amp;IF($T47="",""," ")&amp;$T47&amp;IF($J47="",""," ")&amp;$J47&amp;IF($U47="",""," ")&amp;$U47&amp;IF($V47="",""," ")&amp;$V47&amp;IF($W47="",""," ")&amp;$W47&amp;IF($Z47="",""," ")&amp;$Z47&amp;IF($Z47="","","mcd")</f>
        <v>0.01uF 10% X7R 25V</v>
      </c>
      <c r="D47" t="str" s="16" cm="1">
        <f t="array" ref="D47">$F47&amp;" "&amp;G47&amp;IF($T47="",""," ")&amp;$T47&amp;IF($J47="",""," ")&amp;$J47&amp;IF($U47="",""," ")&amp;$U47&amp;IF($V47="",""," ")&amp;$V47&amp;IF($W47="",""," ")&amp;$W47&amp;IF($Z47="",""," ")&amp;$Z47&amp;IF($Z47="","","mcd")</f>
        <v>0.01uF CAP 10% X7R 25V</v>
      </c>
      <c r="E47" t="str" s="15" cm="1">
        <f t="array" ref="E47">IF(ISBLANK(K47),"",HYPERLINK("https://jlcpcb.com/partdetail/"&amp;$K47,$K47))</f>
        <v>C1852832</v>
      </c>
      <c r="F47" t="str" s="15" cm="1">
        <f t="array" ref="F47">N47</f>
        <v>0.01uF</v>
      </c>
      <c r="G47" t="s" s="17">
        <v>430</v>
      </c>
      <c r="H47" s="17"/>
      <c r="I47" t="s" s="17">
        <v>8</v>
      </c>
      <c r="J47" t="s" s="17">
        <v>431</v>
      </c>
      <c r="K47" t="s" s="17">
        <v>432</v>
      </c>
      <c r="L47" t="s" s="19">
        <v>433</v>
      </c>
      <c r="M47" s="17"/>
      <c r="N47" t="s" s="17">
        <v>434</v>
      </c>
      <c r="O47" s="17"/>
      <c r="P47" t="s" s="17">
        <v>435</v>
      </c>
      <c r="Q47" s="17"/>
      <c r="R47" s="17"/>
      <c r="S47" s="17"/>
      <c r="T47" t="s" s="17">
        <v>436</v>
      </c>
      <c r="U47" t="s" s="17">
        <v>437</v>
      </c>
      <c r="V47" s="17"/>
      <c r="W47" s="17"/>
      <c r="X47" s="17"/>
      <c r="Y47" s="17"/>
      <c r="Z47" s="17"/>
      <c r="AA47" s="17"/>
      <c r="AB47" s="18"/>
      <c r="AC47" s="18"/>
      <c r="AD47" s="33">
        <v>1</v>
      </c>
      <c r="AE47" t="s" s="17">
        <v>438</v>
      </c>
      <c r="AF47" t="s" s="25">
        <v>439</v>
      </c>
      <c r="AG47" t="s" s="17">
        <v>440</v>
      </c>
      <c r="AH47" t="s" s="22">
        <v>441</v>
      </c>
      <c r="AI47" t="s" s="23">
        <v>442</v>
      </c>
      <c r="AJ47" t="s" s="17">
        <v>443</v>
      </c>
    </row>
    <row r="48" ht="18.9" customHeight="1">
      <c r="B48" t="str" s="15" cm="1">
        <f t="array" ref="B48">G48&amp;"_"&amp;F48&amp;"_"&amp;J48&amp;"_"&amp;P48&amp;"_"&amp;U48</f>
        <v>CAP_0.01uF_X5R_0603_50V</v>
      </c>
      <c r="C48" t="str" s="16" cm="1">
        <f t="array" ref="C48">$F48&amp;IF($G48="LED"," LED","")&amp;IF($T48="",""," ")&amp;$T48&amp;IF($J48="",""," ")&amp;$J48&amp;IF($U48="",""," ")&amp;$U48&amp;IF($V48="",""," ")&amp;$V48&amp;IF($W48="",""," ")&amp;$W48&amp;IF($Z48="",""," ")&amp;$Z48&amp;IF($Z48="","","mcd")</f>
        <v>0.01uF 10% X5R 50V</v>
      </c>
      <c r="D48" t="str" s="16" cm="1">
        <f t="array" ref="D48">$F48&amp;" "&amp;G48&amp;IF($T48="",""," ")&amp;$T48&amp;IF($J48="",""," ")&amp;$J48&amp;IF($U48="",""," ")&amp;$U48&amp;IF($V48="",""," ")&amp;$V48&amp;IF($W48="",""," ")&amp;$W48&amp;IF($Z48="",""," ")&amp;$Z48&amp;IF($Z48="","","mcd")</f>
        <v>0.01uF CAP 10% X5R 50V</v>
      </c>
      <c r="E48" t="str" s="15" cm="1">
        <f t="array" ref="E48">IF(ISBLANK(K48),"",HYPERLINK("https://jlcpcb.com/partdetail/"&amp;$K48,$K48))</f>
        <v>C3910010</v>
      </c>
      <c r="F48" t="str" s="15" cm="1">
        <f t="array" ref="F48">N48</f>
        <v>0.01uF</v>
      </c>
      <c r="G48" t="s" s="17">
        <v>430</v>
      </c>
      <c r="H48" s="17"/>
      <c r="I48" t="s" s="17">
        <v>8</v>
      </c>
      <c r="J48" t="s" s="17">
        <v>448</v>
      </c>
      <c r="K48" t="s" s="17">
        <v>449</v>
      </c>
      <c r="L48" t="s" s="19">
        <v>450</v>
      </c>
      <c r="M48" s="17"/>
      <c r="N48" t="s" s="17">
        <v>434</v>
      </c>
      <c r="O48" s="17"/>
      <c r="P48" t="s" s="17">
        <v>435</v>
      </c>
      <c r="Q48" s="17"/>
      <c r="R48" s="17"/>
      <c r="S48" s="17"/>
      <c r="T48" t="s" s="17">
        <v>436</v>
      </c>
      <c r="U48" t="s" s="17">
        <v>451</v>
      </c>
      <c r="V48" s="17"/>
      <c r="W48" s="17"/>
      <c r="X48" s="17"/>
      <c r="Y48" s="17"/>
      <c r="Z48" s="17"/>
      <c r="AA48" s="17"/>
      <c r="AB48" s="18"/>
      <c r="AC48" s="18"/>
      <c r="AD48" s="33">
        <v>2</v>
      </c>
      <c r="AE48" t="s" s="17">
        <v>438</v>
      </c>
      <c r="AF48" t="s" s="25">
        <v>452</v>
      </c>
      <c r="AG48" t="s" s="17">
        <v>453</v>
      </c>
      <c r="AH48" t="s" s="22">
        <v>441</v>
      </c>
      <c r="AI48" t="s" s="23">
        <v>442</v>
      </c>
      <c r="AJ48" t="s" s="17">
        <v>454</v>
      </c>
    </row>
    <row r="49" ht="20.8" customHeight="1">
      <c r="B49" t="str" s="15" cm="1">
        <f t="array" ref="B49">G49&amp;"_"&amp;F49&amp;"_"&amp;J49&amp;"_"&amp;P49&amp;"_"&amp;U49</f>
        <v>CAP_0.01uF_X7R_0603_50V</v>
      </c>
      <c r="C49" t="str" s="16" cm="1">
        <f t="array" ref="C49">$F49&amp;IF($G49="LED"," LED","")&amp;IF($T49="",""," ")&amp;$T49&amp;IF($J49="",""," ")&amp;$J49&amp;IF($U49="",""," ")&amp;$U49&amp;IF($V49="",""," ")&amp;$V49&amp;IF($W49="",""," ")&amp;$W49&amp;IF($Z49="",""," ")&amp;$Z49&amp;IF($Z49="","","mcd")</f>
        <v>0.01uF 10% X7R 50V</v>
      </c>
      <c r="D49" t="str" s="16" cm="1">
        <f t="array" ref="D49">$F49&amp;" "&amp;G49&amp;IF($T49="",""," ")&amp;$T49&amp;IF($J49="",""," ")&amp;$J49&amp;IF($U49="",""," ")&amp;$U49&amp;IF($V49="",""," ")&amp;$V49&amp;IF($W49="",""," ")&amp;$W49&amp;IF($Z49="",""," ")&amp;$Z49&amp;IF($Z49="","","mcd")</f>
        <v>0.01uF CAP 10% X7R 50V</v>
      </c>
      <c r="E49" t="str" s="15" cm="1">
        <f t="array" ref="E49">IF(ISBLANK(K49),"",HYPERLINK("https://jlcpcb.com/partdetail/"&amp;$K49,$K49))</f>
        <v>C100042</v>
      </c>
      <c r="F49" t="str" s="15" cm="1">
        <f t="array" ref="F49">N49</f>
        <v>0.01uF</v>
      </c>
      <c r="G49" t="s" s="17">
        <v>430</v>
      </c>
      <c r="H49" s="17"/>
      <c r="I49" t="s" s="17">
        <v>8</v>
      </c>
      <c r="J49" t="s" s="17">
        <v>431</v>
      </c>
      <c r="K49" t="s" s="17">
        <v>459</v>
      </c>
      <c r="L49" t="s" s="19">
        <v>460</v>
      </c>
      <c r="M49" s="17"/>
      <c r="N49" t="s" s="17">
        <v>434</v>
      </c>
      <c r="O49" s="17"/>
      <c r="P49" t="s" s="17">
        <v>435</v>
      </c>
      <c r="Q49" s="17"/>
      <c r="R49" s="17"/>
      <c r="S49" s="17"/>
      <c r="T49" t="s" s="17">
        <v>436</v>
      </c>
      <c r="U49" t="s" s="17">
        <v>451</v>
      </c>
      <c r="V49" s="17"/>
      <c r="W49" s="17"/>
      <c r="X49" s="17"/>
      <c r="Y49" s="17"/>
      <c r="Z49" s="17"/>
      <c r="AA49" s="17"/>
      <c r="AB49" s="18"/>
      <c r="AC49" s="18"/>
      <c r="AD49" s="33">
        <v>3</v>
      </c>
      <c r="AE49" t="s" s="17">
        <v>211</v>
      </c>
      <c r="AF49" t="s" s="25">
        <v>439</v>
      </c>
      <c r="AG49" t="s" s="17">
        <v>461</v>
      </c>
      <c r="AH49" t="s" s="22">
        <v>441</v>
      </c>
      <c r="AI49" t="s" s="23">
        <v>442</v>
      </c>
      <c r="AJ49" t="s" s="17">
        <v>462</v>
      </c>
    </row>
    <row r="50" ht="18.9" customHeight="1">
      <c r="B50" t="str" s="15" cm="1">
        <f t="array" ref="B50">G50&amp;"_"&amp;F50&amp;"_"&amp;J50&amp;"_"&amp;P50&amp;"_"&amp;U50</f>
        <v>CAP_0.1uF_X5R_0603_25V</v>
      </c>
      <c r="C50" t="str" s="16" cm="1">
        <f t="array" ref="C50">$F50&amp;IF($G50="LED"," LED","")&amp;IF($T50="",""," ")&amp;$T50&amp;IF($J50="",""," ")&amp;$J50&amp;IF($U50="",""," ")&amp;$U50&amp;IF($V50="",""," ")&amp;$V50&amp;IF($W50="",""," ")&amp;$W50&amp;IF($Z50="",""," ")&amp;$Z50&amp;IF($Z50="","","mcd")</f>
        <v>0.1uF 10% X5R 25V</v>
      </c>
      <c r="D50" t="str" s="16" cm="1">
        <f t="array" ref="D50">$F50&amp;" "&amp;G50&amp;IF($T50="",""," ")&amp;$T50&amp;IF($J50="",""," ")&amp;$J50&amp;IF($U50="",""," ")&amp;$U50&amp;IF($V50="",""," ")&amp;$V50&amp;IF($W50="",""," ")&amp;$W50&amp;IF($Z50="",""," ")&amp;$Z50&amp;IF($Z50="","","mcd")</f>
        <v>0.1uF CAP 10% X5R 25V</v>
      </c>
      <c r="E50" t="str" s="15" cm="1">
        <f t="array" ref="E50">IF(ISBLANK(K50),"",HYPERLINK("https://jlcpcb.com/partdetail/"&amp;$K50,$K50))</f>
        <v>C3853265</v>
      </c>
      <c r="F50" t="str" s="15" cm="1">
        <f t="array" ref="F50">N50</f>
        <v>0.1uF</v>
      </c>
      <c r="G50" t="s" s="17">
        <v>430</v>
      </c>
      <c r="H50" s="17"/>
      <c r="I50" t="s" s="17">
        <v>8</v>
      </c>
      <c r="J50" t="s" s="17">
        <v>448</v>
      </c>
      <c r="K50" t="s" s="17">
        <v>468</v>
      </c>
      <c r="L50" t="s" s="19">
        <v>469</v>
      </c>
      <c r="M50" s="17"/>
      <c r="N50" t="s" s="17">
        <v>470</v>
      </c>
      <c r="O50" s="17"/>
      <c r="P50" t="s" s="17">
        <v>435</v>
      </c>
      <c r="Q50" s="17"/>
      <c r="R50" s="17"/>
      <c r="S50" s="17"/>
      <c r="T50" t="s" s="17">
        <v>436</v>
      </c>
      <c r="U50" t="s" s="17">
        <v>437</v>
      </c>
      <c r="V50" s="17"/>
      <c r="W50" s="17"/>
      <c r="X50" s="17"/>
      <c r="Y50" s="17"/>
      <c r="Z50" s="17"/>
      <c r="AA50" s="17"/>
      <c r="AB50" s="18"/>
      <c r="AC50" s="18"/>
      <c r="AD50" s="33">
        <v>1</v>
      </c>
      <c r="AE50" t="s" s="17">
        <v>438</v>
      </c>
      <c r="AF50" t="s" s="25">
        <v>452</v>
      </c>
      <c r="AG50" t="s" s="17">
        <v>471</v>
      </c>
      <c r="AH50" t="s" s="22">
        <v>441</v>
      </c>
      <c r="AI50" t="s" s="23">
        <v>442</v>
      </c>
      <c r="AJ50" t="s" s="17">
        <v>454</v>
      </c>
    </row>
    <row r="51" ht="17.35" customHeight="1">
      <c r="B51" t="str" s="15" cm="1">
        <f t="array" ref="B51">G51&amp;"_"&amp;F51&amp;"_"&amp;J51&amp;"_"&amp;P51&amp;"_"&amp;U51</f>
        <v>CAP_0.1uF_X7R_0603_50V</v>
      </c>
      <c r="C51" t="str" s="16" cm="1">
        <f t="array" ref="C51">$F51&amp;IF($G51="LED"," LED","")&amp;IF($T51="",""," ")&amp;$T51&amp;IF($J51="",""," ")&amp;$J51&amp;IF($U51="",""," ")&amp;$U51&amp;IF($V51="",""," ")&amp;$V51&amp;IF($W51="",""," ")&amp;$W51&amp;IF($Z51="",""," ")&amp;$Z51&amp;IF($Z51="","","mcd")</f>
        <v>0.1uF 10% X7R 50V</v>
      </c>
      <c r="D51" t="str" s="16" cm="1">
        <f t="array" ref="D51">$F51&amp;" "&amp;G51&amp;IF($T51="",""," ")&amp;$T51&amp;IF($J51="",""," ")&amp;$J51&amp;IF($U51="",""," ")&amp;$U51&amp;IF($V51="",""," ")&amp;$V51&amp;IF($W51="",""," ")&amp;$W51&amp;IF($Z51="",""," ")&amp;$Z51&amp;IF($Z51="","","mcd")</f>
        <v>0.1uF CAP 10% X7R 50V</v>
      </c>
      <c r="E51" t="str" s="15" cm="1">
        <f t="array" ref="E51">IF(ISBLANK(K51),"",HYPERLINK("https://jlcpcb.com/partdetail/"&amp;$K51,$K51))</f>
        <v>C14663</v>
      </c>
      <c r="F51" t="str" s="15" cm="1">
        <f t="array" ref="F51">N51</f>
        <v>0.1uF</v>
      </c>
      <c r="G51" t="s" s="17">
        <v>430</v>
      </c>
      <c r="H51" s="17"/>
      <c r="I51" t="s" s="17">
        <v>8</v>
      </c>
      <c r="J51" t="s" s="17">
        <v>431</v>
      </c>
      <c r="K51" t="s" s="17">
        <v>476</v>
      </c>
      <c r="L51" t="s" s="19">
        <v>477</v>
      </c>
      <c r="M51" s="17"/>
      <c r="N51" t="s" s="17">
        <v>470</v>
      </c>
      <c r="O51" s="17"/>
      <c r="P51" t="s" s="17">
        <v>435</v>
      </c>
      <c r="Q51" s="17"/>
      <c r="R51" s="17"/>
      <c r="S51" s="17"/>
      <c r="T51" t="s" s="17">
        <v>436</v>
      </c>
      <c r="U51" t="s" s="17">
        <v>451</v>
      </c>
      <c r="V51" s="17"/>
      <c r="W51" s="17"/>
      <c r="X51" s="17"/>
      <c r="Y51" s="17"/>
      <c r="Z51" s="17"/>
      <c r="AA51" s="17"/>
      <c r="AB51" s="18"/>
      <c r="AC51" s="18"/>
      <c r="AD51" s="33">
        <v>2</v>
      </c>
      <c r="AE51" t="s" s="17">
        <v>211</v>
      </c>
      <c r="AF51" t="s" s="25">
        <v>439</v>
      </c>
      <c r="AG51" t="s" s="17">
        <v>478</v>
      </c>
      <c r="AH51" t="s" s="22">
        <v>441</v>
      </c>
      <c r="AI51" t="s" s="23">
        <v>442</v>
      </c>
      <c r="AJ51" t="s" s="17">
        <v>479</v>
      </c>
    </row>
    <row r="52" ht="18.9" customHeight="1">
      <c r="B52" t="str" s="15" cm="1">
        <f t="array" ref="B52">G52&amp;"_"&amp;F52&amp;"_"&amp;J52&amp;"_"&amp;P52&amp;"_"&amp;U52</f>
        <v>CAP_1uF_X5R_0603_25V</v>
      </c>
      <c r="C52" t="str" s="16" cm="1">
        <f t="array" ref="C52">$F52&amp;IF($G52="LED"," LED","")&amp;IF($T52="",""," ")&amp;$T52&amp;IF($J52="",""," ")&amp;$J52&amp;IF($U52="",""," ")&amp;$U52&amp;IF($V52="",""," ")&amp;$V52&amp;IF($W52="",""," ")&amp;$W52&amp;IF($Z52="",""," ")&amp;$Z52&amp;IF($Z52="","","mcd")</f>
        <v>1uF 10% X5R 25V</v>
      </c>
      <c r="D52" t="str" s="16" cm="1">
        <f t="array" ref="D52">$F52&amp;" "&amp;G52&amp;IF($T52="",""," ")&amp;$T52&amp;IF($J52="",""," ")&amp;$J52&amp;IF($U52="",""," ")&amp;$U52&amp;IF($V52="",""," ")&amp;$V52&amp;IF($W52="",""," ")&amp;$W52&amp;IF($Z52="",""," ")&amp;$Z52&amp;IF($Z52="","","mcd")</f>
        <v>1uF CAP 10% X5R 25V</v>
      </c>
      <c r="E52" t="str" s="15" cm="1">
        <f t="array" ref="E52">IF(ISBLANK(K52),"",HYPERLINK("https://jlcpcb.com/partdetail/"&amp;$K52,$K52))</f>
        <v>C2169859</v>
      </c>
      <c r="F52" t="str" s="15" cm="1">
        <f t="array" ref="F52">N52</f>
        <v>1uF</v>
      </c>
      <c r="G52" t="s" s="17">
        <v>430</v>
      </c>
      <c r="H52" s="17"/>
      <c r="I52" t="s" s="17">
        <v>8</v>
      </c>
      <c r="J52" t="s" s="17">
        <v>448</v>
      </c>
      <c r="K52" t="s" s="17">
        <v>485</v>
      </c>
      <c r="L52" t="s" s="19">
        <v>486</v>
      </c>
      <c r="M52" s="17"/>
      <c r="N52" t="s" s="17">
        <v>487</v>
      </c>
      <c r="O52" s="17"/>
      <c r="P52" t="s" s="17">
        <v>435</v>
      </c>
      <c r="Q52" s="17"/>
      <c r="R52" s="17"/>
      <c r="S52" s="17"/>
      <c r="T52" t="s" s="17">
        <v>436</v>
      </c>
      <c r="U52" t="s" s="17">
        <v>437</v>
      </c>
      <c r="V52" s="17"/>
      <c r="W52" s="17"/>
      <c r="X52" s="17"/>
      <c r="Y52" s="17"/>
      <c r="Z52" s="17"/>
      <c r="AA52" s="17"/>
      <c r="AB52" s="18"/>
      <c r="AC52" s="18"/>
      <c r="AD52" s="33">
        <v>1</v>
      </c>
      <c r="AE52" t="s" s="17">
        <v>438</v>
      </c>
      <c r="AF52" t="s" s="25">
        <v>488</v>
      </c>
      <c r="AG52" t="s" s="17">
        <v>489</v>
      </c>
      <c r="AH52" t="s" s="22">
        <v>441</v>
      </c>
      <c r="AI52" t="s" s="23">
        <v>442</v>
      </c>
      <c r="AJ52" t="s" s="17">
        <v>490</v>
      </c>
    </row>
    <row r="53" ht="19.5" customHeight="1">
      <c r="B53" t="str" s="15" cm="1">
        <f t="array" ref="B53">G53&amp;"_"&amp;F53&amp;"_"&amp;J53&amp;"_"&amp;P53&amp;"_"&amp;U53</f>
        <v>CAP_1uF_X5R_0603_50V</v>
      </c>
      <c r="C53" t="str" s="16" cm="1">
        <f t="array" ref="C53">$F53&amp;IF($G53="LED"," LED","")&amp;IF($T53="",""," ")&amp;$T53&amp;IF($J53="",""," ")&amp;$J53&amp;IF($U53="",""," ")&amp;$U53&amp;IF($V53="",""," ")&amp;$V53&amp;IF($W53="",""," ")&amp;$W53&amp;IF($Z53="",""," ")&amp;$Z53&amp;IF($Z53="","","mcd")</f>
        <v>1uF 10% X5R 50V</v>
      </c>
      <c r="D53" t="str" s="16" cm="1">
        <f t="array" ref="D53">$F53&amp;" "&amp;G53&amp;IF($T53="",""," ")&amp;$T53&amp;IF($J53="",""," ")&amp;$J53&amp;IF($U53="",""," ")&amp;$U53&amp;IF($V53="",""," ")&amp;$V53&amp;IF($W53="",""," ")&amp;$W53&amp;IF($Z53="",""," ")&amp;$Z53&amp;IF($Z53="","","mcd")</f>
        <v>1uF CAP 10% X5R 50V</v>
      </c>
      <c r="E53" t="str" s="15" cm="1">
        <f t="array" ref="E53">IF(ISBLANK(K53),"",HYPERLINK("https://jlcpcb.com/partdetail/"&amp;$K53,$K53))</f>
        <v>C15849</v>
      </c>
      <c r="F53" t="str" s="15" cm="1">
        <f t="array" ref="F53">N53</f>
        <v>1uF</v>
      </c>
      <c r="G53" t="s" s="17">
        <v>430</v>
      </c>
      <c r="H53" s="17"/>
      <c r="I53" t="s" s="17">
        <v>8</v>
      </c>
      <c r="J53" t="s" s="17">
        <v>448</v>
      </c>
      <c r="K53" t="s" s="17">
        <v>495</v>
      </c>
      <c r="L53" t="s" s="19">
        <v>496</v>
      </c>
      <c r="M53" s="17"/>
      <c r="N53" t="s" s="17">
        <v>487</v>
      </c>
      <c r="O53" s="17"/>
      <c r="P53" t="s" s="17">
        <v>435</v>
      </c>
      <c r="Q53" s="17"/>
      <c r="R53" s="17"/>
      <c r="S53" s="17"/>
      <c r="T53" t="s" s="17">
        <v>436</v>
      </c>
      <c r="U53" t="s" s="17">
        <v>451</v>
      </c>
      <c r="V53" s="17"/>
      <c r="W53" s="17"/>
      <c r="X53" s="17"/>
      <c r="Y53" s="17"/>
      <c r="Z53" s="17"/>
      <c r="AA53" s="17"/>
      <c r="AB53" s="18"/>
      <c r="AC53" s="18"/>
      <c r="AD53" s="33">
        <v>2</v>
      </c>
      <c r="AE53" t="s" s="17">
        <v>211</v>
      </c>
      <c r="AF53" t="s" s="25">
        <v>497</v>
      </c>
      <c r="AG53" t="s" s="17">
        <v>498</v>
      </c>
      <c r="AH53" t="s" s="22">
        <v>441</v>
      </c>
      <c r="AI53" t="s" s="23">
        <v>442</v>
      </c>
      <c r="AJ53" t="s" s="17">
        <v>499</v>
      </c>
    </row>
    <row r="54" ht="19.5" customHeight="1">
      <c r="B54" t="str" s="15" cm="1">
        <f t="array" ref="B54">G54&amp;"_"&amp;F54&amp;"_"&amp;J54&amp;"_"&amp;P54&amp;"_"&amp;U54</f>
        <v>CAP_10uF_X5R_1206_50V</v>
      </c>
      <c r="C54" t="str" s="16" cm="1">
        <f t="array" ref="C54">$F54&amp;IF($G54="LED"," LED","")&amp;IF($T54="",""," ")&amp;$T54&amp;IF($J54="",""," ")&amp;$J54&amp;IF($U54="",""," ")&amp;$U54&amp;IF($V54="",""," ")&amp;$V54&amp;IF($W54="",""," ")&amp;$W54&amp;IF($Z54="",""," ")&amp;$Z54&amp;IF($Z54="","","mcd")</f>
        <v>10uF 10% X5R 50V</v>
      </c>
      <c r="D54" t="str" s="16" cm="1">
        <f t="array" ref="D54">$F54&amp;" "&amp;G54&amp;IF($T54="",""," ")&amp;$T54&amp;IF($J54="",""," ")&amp;$J54&amp;IF($U54="",""," ")&amp;$U54&amp;IF($V54="",""," ")&amp;$V54&amp;IF($W54="",""," ")&amp;$W54&amp;IF($Z54="",""," ")&amp;$Z54&amp;IF($Z54="","","mcd")</f>
        <v>10uF CAP 10% X5R 50V</v>
      </c>
      <c r="E54" t="str" s="15" cm="1">
        <f t="array" ref="E54">IF(ISBLANK(K54),"",HYPERLINK("https://jlcpcb.com/partdetail/"&amp;$K54,$K54))</f>
        <v>C13585</v>
      </c>
      <c r="F54" t="str" s="15" cm="1">
        <f t="array" ref="F54">N54</f>
        <v>10uF</v>
      </c>
      <c r="G54" t="s" s="17">
        <v>430</v>
      </c>
      <c r="H54" s="17"/>
      <c r="I54" t="s" s="17">
        <v>8</v>
      </c>
      <c r="J54" t="s" s="17">
        <v>448</v>
      </c>
      <c r="K54" t="s" s="17">
        <v>505</v>
      </c>
      <c r="L54" t="s" s="19">
        <v>506</v>
      </c>
      <c r="M54" s="17"/>
      <c r="N54" t="s" s="17">
        <v>507</v>
      </c>
      <c r="O54" s="17"/>
      <c r="P54" t="s" s="17">
        <v>508</v>
      </c>
      <c r="Q54" s="17"/>
      <c r="R54" s="17"/>
      <c r="S54" s="17"/>
      <c r="T54" t="s" s="17">
        <v>436</v>
      </c>
      <c r="U54" t="s" s="17">
        <v>451</v>
      </c>
      <c r="V54" s="17"/>
      <c r="W54" s="17"/>
      <c r="X54" s="17"/>
      <c r="Y54" s="17"/>
      <c r="Z54" s="17"/>
      <c r="AA54" s="17"/>
      <c r="AB54" s="18"/>
      <c r="AC54" s="18"/>
      <c r="AD54" s="33">
        <v>1</v>
      </c>
      <c r="AE54" t="s" s="17">
        <v>211</v>
      </c>
      <c r="AF54" t="s" s="25">
        <v>497</v>
      </c>
      <c r="AG54" t="s" s="17">
        <v>509</v>
      </c>
      <c r="AH54" t="s" s="22">
        <v>441</v>
      </c>
      <c r="AI54" t="s" s="23">
        <v>510</v>
      </c>
      <c r="AJ54" t="s" s="17">
        <v>511</v>
      </c>
    </row>
    <row r="55" ht="19.5" customHeight="1">
      <c r="B55" t="str" s="15" cm="1">
        <f t="array" ref="B55">G55&amp;"_"&amp;F55&amp;"_"&amp;J55&amp;"_"&amp;P55</f>
        <v>CAP_220uF_Electrolytic_8x10</v>
      </c>
      <c r="C55" t="str" s="16" cm="1">
        <f t="array" ref="C55">$F55&amp;IF($G55="LED"," LED","")&amp;IF($T55="",""," ")&amp;$T55&amp;IF($J55="",""," ")&amp;$J55&amp;IF($U55="",""," ")&amp;$U55&amp;IF($V55="",""," ")&amp;$V55&amp;IF($W55="",""," ")&amp;$W55&amp;IF($Z55="",""," ")&amp;$Z55&amp;IF($Z55="","","mcd")</f>
        <v>220uF 20% Electrolytic 35V</v>
      </c>
      <c r="D55" t="str" s="16" cm="1">
        <f t="array" ref="D55">$F55&amp;" "&amp;G55&amp;IF($T55="",""," ")&amp;$T55&amp;IF($J55="",""," ")&amp;$J55&amp;IF($U55="",""," ")&amp;$U55&amp;IF($V55="",""," ")&amp;$V55&amp;IF($W55="",""," ")&amp;$W55&amp;IF($Z55="",""," ")&amp;$Z55&amp;IF($Z55="","","mcd")</f>
        <v>220uF CAP 20% Electrolytic 35V</v>
      </c>
      <c r="E55" t="str" s="15" cm="1">
        <f t="array" ref="E55">IF(ISBLANK(K55),"",HYPERLINK("https://jlcpcb.com/partdetail/"&amp;$K55,$K55))</f>
        <v>C136294</v>
      </c>
      <c r="F55" t="str" s="15" cm="1">
        <f t="array" ref="F55">N55</f>
        <v>220uF</v>
      </c>
      <c r="G55" t="s" s="17">
        <v>430</v>
      </c>
      <c r="H55" s="17"/>
      <c r="I55" t="s" s="17">
        <v>8</v>
      </c>
      <c r="J55" t="s" s="17">
        <v>517</v>
      </c>
      <c r="K55" t="s" s="17">
        <v>518</v>
      </c>
      <c r="L55" t="s" s="19">
        <v>519</v>
      </c>
      <c r="M55" s="17"/>
      <c r="N55" t="s" s="17">
        <v>520</v>
      </c>
      <c r="O55" s="17"/>
      <c r="P55" t="s" s="17">
        <v>521</v>
      </c>
      <c r="Q55" s="17"/>
      <c r="R55" s="17"/>
      <c r="S55" s="17"/>
      <c r="T55" t="s" s="17">
        <v>522</v>
      </c>
      <c r="U55" t="s" s="17">
        <v>523</v>
      </c>
      <c r="V55" s="17"/>
      <c r="W55" s="17"/>
      <c r="X55" s="17"/>
      <c r="Y55" s="17"/>
      <c r="Z55" s="17"/>
      <c r="AA55" s="17"/>
      <c r="AB55" s="18"/>
      <c r="AC55" s="18"/>
      <c r="AD55" s="33">
        <v>1</v>
      </c>
      <c r="AE55" t="s" s="17">
        <v>211</v>
      </c>
      <c r="AF55" t="s" s="25">
        <v>524</v>
      </c>
      <c r="AG55" t="s" s="17">
        <v>525</v>
      </c>
      <c r="AH55" t="s" s="22">
        <v>526</v>
      </c>
      <c r="AI55" t="s" s="23">
        <v>527</v>
      </c>
      <c r="AJ55" t="s" s="17">
        <v>528</v>
      </c>
    </row>
    <row r="56" ht="19.5" customHeight="1">
      <c r="B56" t="str" s="15" cm="1">
        <f t="array" ref="B56">G56&amp;"_"&amp;F56&amp;"_"&amp;J56&amp;"_"&amp;P56</f>
        <v>CAP_1000uF_Electrolytic_8x11.5</v>
      </c>
      <c r="C56" t="str" s="16" cm="1">
        <f t="array" ref="C56">$F56&amp;IF($G56="LED"," LED","")&amp;IF($T56="",""," ")&amp;$T56&amp;IF($J56="",""," ")&amp;$J56&amp;IF($U56="",""," ")&amp;$U56&amp;IF($V56="",""," ")&amp;$V56&amp;IF($W56="",""," ")&amp;$W56&amp;IF($Z56="",""," ")&amp;$Z56&amp;IF($Z56="","","mcd")</f>
        <v>1000uF 20% Electrolytic 6.3V</v>
      </c>
      <c r="D56" t="str" s="16" cm="1">
        <f t="array" ref="D56">$F56&amp;" "&amp;G56&amp;IF($T56="",""," ")&amp;$T56&amp;IF($J56="",""," ")&amp;$J56&amp;IF($U56="",""," ")&amp;$U56&amp;IF($V56="",""," ")&amp;$V56&amp;IF($W56="",""," ")&amp;$W56&amp;IF($Z56="",""," ")&amp;$Z56&amp;IF($Z56="","","mcd")</f>
        <v>1000uF CAP 20% Electrolytic 6.3V</v>
      </c>
      <c r="E56" t="str" s="15" cm="1">
        <f t="array" ref="E56">IF(ISBLANK(K56),"",HYPERLINK("https://jlcpcb.com/partdetail/"&amp;$K56,$K56))</f>
      </c>
      <c r="F56" t="str" s="15" cm="1">
        <f t="array" ref="F56">N56</f>
        <v>1000uF</v>
      </c>
      <c r="G56" t="s" s="17">
        <v>430</v>
      </c>
      <c r="H56" s="17"/>
      <c r="I56" t="s" s="17">
        <v>204</v>
      </c>
      <c r="J56" t="s" s="17">
        <v>517</v>
      </c>
      <c r="K56" s="18"/>
      <c r="L56" t="s" s="19">
        <v>533</v>
      </c>
      <c r="M56" s="17"/>
      <c r="N56" t="s" s="17">
        <v>534</v>
      </c>
      <c r="O56" s="17"/>
      <c r="P56" t="s" s="17">
        <v>535</v>
      </c>
      <c r="Q56" s="17"/>
      <c r="R56" s="17"/>
      <c r="S56" s="17"/>
      <c r="T56" t="s" s="17">
        <v>522</v>
      </c>
      <c r="U56" t="s" s="17">
        <v>536</v>
      </c>
      <c r="V56" s="17"/>
      <c r="W56" s="17"/>
      <c r="X56" s="17"/>
      <c r="Y56" s="17"/>
      <c r="Z56" s="17"/>
      <c r="AA56" s="17"/>
      <c r="AB56" t="s" s="17">
        <v>537</v>
      </c>
      <c r="AC56" t="s" s="17">
        <v>538</v>
      </c>
      <c r="AD56" s="33">
        <v>2</v>
      </c>
      <c r="AE56" s="18"/>
      <c r="AF56" s="21"/>
      <c r="AG56" s="18"/>
      <c r="AH56" t="s" s="22">
        <v>526</v>
      </c>
      <c r="AI56" s="29"/>
      <c r="AJ56" s="18"/>
    </row>
    <row r="57" ht="19.5" customHeight="1">
      <c r="B57" t="str" s="15" cm="1">
        <f t="array" ref="B57">G57&amp;"_"&amp;F57&amp;"_"&amp;J57&amp;"_"&amp;P57</f>
        <v>CAP_1000uF_Electrolytic_10x10.2</v>
      </c>
      <c r="C57" t="str" s="16" cm="1">
        <f t="array" ref="C57">$F57&amp;IF($G57="LED"," LED","")&amp;IF($T57="",""," ")&amp;$T57&amp;IF($J57="",""," ")&amp;$J57&amp;IF($U57="",""," ")&amp;$U57&amp;IF($V57="",""," ")&amp;$V57&amp;IF($W57="",""," ")&amp;$W57&amp;IF($Z57="",""," ")&amp;$Z57&amp;IF($Z57="","","mcd")</f>
        <v>1000uF 20% Electrolytic 16V</v>
      </c>
      <c r="D57" t="str" s="16" cm="1">
        <f t="array" ref="D57">$F57&amp;" "&amp;G57&amp;IF($T57="",""," ")&amp;$T57&amp;IF($J57="",""," ")&amp;$J57&amp;IF($U57="",""," ")&amp;$U57&amp;IF($V57="",""," ")&amp;$V57&amp;IF($W57="",""," ")&amp;$W57&amp;IF($Z57="",""," ")&amp;$Z57&amp;IF($Z57="","","mcd")</f>
        <v>1000uF CAP 20% Electrolytic 16V</v>
      </c>
      <c r="E57" t="str" s="15" cm="1">
        <f t="array" ref="E57">IF(ISBLANK(K57),"",HYPERLINK("https://jlcpcb.com/partdetail/"&amp;$K57,$K57))</f>
        <v>C970714</v>
      </c>
      <c r="F57" t="str" s="15" cm="1">
        <f t="array" ref="F57">N57</f>
        <v>1000uF</v>
      </c>
      <c r="G57" t="s" s="17">
        <v>430</v>
      </c>
      <c r="H57" s="17"/>
      <c r="I57" t="s" s="17">
        <v>8</v>
      </c>
      <c r="J57" t="s" s="17">
        <v>517</v>
      </c>
      <c r="K57" t="s" s="32">
        <v>543</v>
      </c>
      <c r="L57" t="s" s="19">
        <v>544</v>
      </c>
      <c r="M57" s="17"/>
      <c r="N57" t="s" s="17">
        <v>534</v>
      </c>
      <c r="O57" s="17"/>
      <c r="P57" t="s" s="17">
        <v>545</v>
      </c>
      <c r="Q57" s="17"/>
      <c r="R57" s="17"/>
      <c r="S57" s="17"/>
      <c r="T57" t="s" s="17">
        <v>522</v>
      </c>
      <c r="U57" t="s" s="17">
        <v>546</v>
      </c>
      <c r="V57" s="17"/>
      <c r="W57" s="17"/>
      <c r="X57" s="17"/>
      <c r="Y57" s="17"/>
      <c r="Z57" s="17"/>
      <c r="AA57" s="17"/>
      <c r="AB57" s="34"/>
      <c r="AC57" s="34"/>
      <c r="AD57" s="33">
        <v>1</v>
      </c>
      <c r="AE57" t="s" s="17">
        <v>211</v>
      </c>
      <c r="AF57" t="s" s="25">
        <v>547</v>
      </c>
      <c r="AG57" t="s" s="32">
        <v>548</v>
      </c>
      <c r="AH57" t="s" s="22">
        <v>526</v>
      </c>
      <c r="AI57" t="s" s="23">
        <v>549</v>
      </c>
      <c r="AJ57" t="s" s="17">
        <v>550</v>
      </c>
    </row>
    <row r="58" ht="17.9" customHeight="1">
      <c r="B58" t="str" s="15" cm="1">
        <f t="array" ref="B58">G58&amp;"_"&amp;F58&amp;"_"&amp;P58</f>
        <v>DIO_4.7V_SOD-323</v>
      </c>
      <c r="C58" t="str" s="16" cm="1">
        <f t="array" ref="C58">$F58&amp;IF($G58="LED"," LED","")&amp;IF($T58="",""," ")&amp;$T58&amp;IF($J58="",""," ")&amp;$J58&amp;IF($U58="",""," ")&amp;$U58&amp;IF($V58="",""," ")&amp;$V58&amp;IF($W58="",""," ")&amp;$W58&amp;IF($Z58="",""," ")&amp;$Z58&amp;IF($Z58="","","mcd")</f>
        <v>4.7V zener 4.7V 5mA 200mW</v>
      </c>
      <c r="D58" t="str" s="16" cm="1">
        <f t="array" ref="D58">$F58&amp;" "&amp;G58&amp;IF($T58="",""," ")&amp;$T58&amp;IF($J58="",""," ")&amp;$J58&amp;IF($U58="",""," ")&amp;$U58&amp;IF($V58="",""," ")&amp;$V58&amp;IF($W58="",""," ")&amp;$W58&amp;IF($Z58="",""," ")&amp;$Z58&amp;IF($Z58="","","mcd")</f>
        <v>4.7V DIO zener 4.7V 5mA 200mW</v>
      </c>
      <c r="E58" t="str" s="15" cm="1">
        <f t="array" ref="E58">IF(ISBLANK(K58),"",HYPERLINK("https://jlcpcb.com/partdetail/"&amp;$K58,$K58))</f>
        <v>C353517</v>
      </c>
      <c r="F58" t="str" s="15" cm="1">
        <f t="array" ref="F58">H58</f>
        <v>4.7V</v>
      </c>
      <c r="G58" t="s" s="17">
        <v>556</v>
      </c>
      <c r="H58" t="s" s="17">
        <v>557</v>
      </c>
      <c r="I58" t="s" s="17">
        <v>8</v>
      </c>
      <c r="J58" t="s" s="17">
        <v>558</v>
      </c>
      <c r="K58" t="s" s="35">
        <v>559</v>
      </c>
      <c r="L58" t="s" s="36">
        <v>560</v>
      </c>
      <c r="M58" s="35"/>
      <c r="N58" s="35"/>
      <c r="O58" s="35"/>
      <c r="P58" t="s" s="35">
        <v>561</v>
      </c>
      <c r="Q58" s="17"/>
      <c r="R58" s="17"/>
      <c r="S58" s="17"/>
      <c r="T58" s="17"/>
      <c r="U58" t="s" s="17">
        <v>557</v>
      </c>
      <c r="V58" t="s" s="17">
        <v>562</v>
      </c>
      <c r="W58" t="s" s="17">
        <v>563</v>
      </c>
      <c r="X58" s="17"/>
      <c r="Y58" s="17"/>
      <c r="Z58" s="17"/>
      <c r="AA58" s="17"/>
      <c r="AB58" s="37"/>
      <c r="AC58" s="37"/>
      <c r="AD58" s="33">
        <v>5</v>
      </c>
      <c r="AE58" t="s" s="17">
        <v>211</v>
      </c>
      <c r="AF58" t="s" s="38">
        <v>564</v>
      </c>
      <c r="AG58" t="s" s="35">
        <v>565</v>
      </c>
      <c r="AH58" t="s" s="25">
        <v>566</v>
      </c>
      <c r="AI58" t="s" s="26">
        <v>567</v>
      </c>
      <c r="AJ58" t="s" s="17">
        <v>568</v>
      </c>
    </row>
    <row r="59" ht="17.9" customHeight="1">
      <c r="B59" t="str" s="15" cm="1">
        <f t="array" ref="B59">G59&amp;"_"&amp;F59&amp;"_"&amp;P59</f>
        <v>DIO_BAT54_SOT-23</v>
      </c>
      <c r="C59" t="str" s="16" cm="1">
        <f t="array" ref="C59">$F59&amp;IF($G59="LED"," LED","")&amp;IF($T59="",""," ")&amp;$T59&amp;IF($J59="",""," ")&amp;$J59&amp;IF($U59="",""," ")&amp;$U59&amp;IF($V59="",""," ")&amp;$V59&amp;IF($W59="",""," ")&amp;$W59&amp;IF($Z59="",""," ")&amp;$Z59&amp;IF($Z59="","","mcd")</f>
        <v>BAT54 single Schottkey 30V</v>
      </c>
      <c r="D59" t="str" s="16" cm="1">
        <f t="array" ref="D59">$F59&amp;" "&amp;G59&amp;IF($T59="",""," ")&amp;$T59&amp;IF($J59="",""," ")&amp;$J59&amp;IF($U59="",""," ")&amp;$U59&amp;IF($V59="",""," ")&amp;$V59&amp;IF($W59="",""," ")&amp;$W59&amp;IF($Z59="",""," ")&amp;$Z59&amp;IF($Z59="","","mcd")</f>
        <v>BAT54 DIO single Schottkey 30V</v>
      </c>
      <c r="E59" t="str" s="15" cm="1">
        <f t="array" ref="E59">IF(ISBLANK(K59),"",HYPERLINK("https://jlcpcb.com/partdetail/"&amp;$K59,$K59))</f>
        <v>C5261070</v>
      </c>
      <c r="F59" t="str" s="15" cm="1">
        <f t="array" ref="F59">H59</f>
        <v>BAT54</v>
      </c>
      <c r="G59" t="s" s="17">
        <v>556</v>
      </c>
      <c r="H59" t="str" s="18" cm="1">
        <f t="array" ref="H59">AG59</f>
        <v>BAT54</v>
      </c>
      <c r="I59" t="s" s="17">
        <v>8</v>
      </c>
      <c r="J59" t="s" s="17">
        <v>574</v>
      </c>
      <c r="K59" t="s" s="35">
        <v>575</v>
      </c>
      <c r="L59" t="s" s="39">
        <v>576</v>
      </c>
      <c r="M59" s="17"/>
      <c r="N59" s="17"/>
      <c r="O59" s="17"/>
      <c r="P59" t="s" s="17">
        <v>577</v>
      </c>
      <c r="Q59" s="17"/>
      <c r="R59" s="17"/>
      <c r="S59" s="17"/>
      <c r="T59" s="17"/>
      <c r="U59" t="s" s="17">
        <v>578</v>
      </c>
      <c r="V59" s="17"/>
      <c r="W59" s="17"/>
      <c r="X59" s="17"/>
      <c r="Y59" s="17"/>
      <c r="Z59" s="17"/>
      <c r="AA59" s="17"/>
      <c r="AB59" s="37"/>
      <c r="AC59" s="37"/>
      <c r="AD59" s="33">
        <v>5</v>
      </c>
      <c r="AE59" t="s" s="17">
        <v>211</v>
      </c>
      <c r="AF59" t="s" s="25">
        <v>579</v>
      </c>
      <c r="AG59" t="s" s="17">
        <v>580</v>
      </c>
      <c r="AH59" t="s" s="40">
        <v>581</v>
      </c>
      <c r="AI59" t="s" s="41">
        <v>582</v>
      </c>
      <c r="AJ59" t="s" s="17">
        <v>583</v>
      </c>
    </row>
    <row r="60" ht="17.9" customHeight="1">
      <c r="B60" t="str" s="15" cm="1">
        <f t="array" ref="B60">G60&amp;"_"&amp;F60&amp;"_"&amp;P60</f>
        <v>DIO_BAT54A_SOT-23</v>
      </c>
      <c r="C60" t="str" s="16" cm="1">
        <f t="array" ref="C60">$F60&amp;IF($G60="LED"," LED","")&amp;IF($T60="",""," ")&amp;$T60&amp;IF($J60="",""," ")&amp;$J60&amp;IF($U60="",""," ")&amp;$U60&amp;IF($V60="",""," ")&amp;$V60&amp;IF($W60="",""," ")&amp;$W60&amp;IF($Z60="",""," ")&amp;$Z60&amp;IF($Z60="","","mcd")</f>
        <v>BAT54A dual Schottkey common anode 30V</v>
      </c>
      <c r="D60" t="str" s="16" cm="1">
        <f t="array" ref="D60">$F60&amp;" "&amp;G60&amp;IF($T60="",""," ")&amp;$T60&amp;IF($J60="",""," ")&amp;$J60&amp;IF($U60="",""," ")&amp;$U60&amp;IF($V60="",""," ")&amp;$V60&amp;IF($W60="",""," ")&amp;$W60&amp;IF($Z60="",""," ")&amp;$Z60&amp;IF($Z60="","","mcd")</f>
        <v>BAT54A DIO dual Schottkey common anode 30V</v>
      </c>
      <c r="E60" t="str" s="15" cm="1">
        <f t="array" ref="E60">IF(ISBLANK(K60),"",HYPERLINK("https://jlcpcb.com/partdetail/"&amp;$K60,$K60))</f>
        <v>C2926172</v>
      </c>
      <c r="F60" t="str" s="15" cm="1">
        <f t="array" ref="F60">H60</f>
        <v>BAT54A</v>
      </c>
      <c r="G60" t="s" s="17">
        <v>556</v>
      </c>
      <c r="H60" t="str" s="18" cm="1">
        <f t="array" ref="H60">AG60</f>
        <v>BAT54A</v>
      </c>
      <c r="I60" t="s" s="17">
        <v>8</v>
      </c>
      <c r="J60" t="s" s="17">
        <v>589</v>
      </c>
      <c r="K60" t="s" s="35">
        <v>590</v>
      </c>
      <c r="L60" t="s" s="39">
        <v>591</v>
      </c>
      <c r="M60" s="17"/>
      <c r="N60" s="17"/>
      <c r="O60" s="17"/>
      <c r="P60" t="s" s="17">
        <v>577</v>
      </c>
      <c r="Q60" s="17"/>
      <c r="R60" s="17"/>
      <c r="S60" s="17"/>
      <c r="T60" s="17"/>
      <c r="U60" t="s" s="17">
        <v>578</v>
      </c>
      <c r="V60" s="17"/>
      <c r="W60" s="17"/>
      <c r="X60" s="17"/>
      <c r="Y60" s="17"/>
      <c r="Z60" s="17"/>
      <c r="AA60" s="17"/>
      <c r="AB60" s="37"/>
      <c r="AC60" s="37"/>
      <c r="AD60" s="33">
        <v>5</v>
      </c>
      <c r="AE60" t="s" s="17">
        <v>211</v>
      </c>
      <c r="AF60" t="s" s="25">
        <v>592</v>
      </c>
      <c r="AG60" t="s" s="17">
        <v>593</v>
      </c>
      <c r="AH60" t="s" s="40">
        <v>594</v>
      </c>
      <c r="AI60" t="s" s="41">
        <v>582</v>
      </c>
      <c r="AJ60" t="s" s="17">
        <v>595</v>
      </c>
    </row>
    <row r="61" ht="17.9" customHeight="1">
      <c r="B61" t="str" s="15" cm="1">
        <f t="array" ref="B61">G61&amp;"_"&amp;F61&amp;"_"&amp;P61</f>
        <v>DIO_BAT54S_SOT-23</v>
      </c>
      <c r="C61" t="str" s="16" cm="1">
        <f t="array" ref="C61">$F61&amp;IF($G61="LED"," LED","")&amp;IF($T61="",""," ")&amp;$T61&amp;IF($J61="",""," ")&amp;$J61&amp;IF($U61="",""," ")&amp;$U61&amp;IF($V61="",""," ")&amp;$V61&amp;IF($W61="",""," ")&amp;$W61&amp;IF($Z61="",""," ")&amp;$Z61&amp;IF($Z61="","","mcd")</f>
        <v>BAT54S dual Schottkey series 30V</v>
      </c>
      <c r="D61" t="str" s="16" cm="1">
        <f t="array" ref="D61">$F61&amp;" "&amp;G61&amp;IF($T61="",""," ")&amp;$T61&amp;IF($J61="",""," ")&amp;$J61&amp;IF($U61="",""," ")&amp;$U61&amp;IF($V61="",""," ")&amp;$V61&amp;IF($W61="",""," ")&amp;$W61&amp;IF($Z61="",""," ")&amp;$Z61&amp;IF($Z61="","","mcd")</f>
        <v>BAT54S DIO dual Schottkey series 30V</v>
      </c>
      <c r="E61" t="str" s="15" cm="1">
        <f t="array" ref="E61">IF(ISBLANK(K61),"",HYPERLINK("https://jlcpcb.com/partdetail/"&amp;$K61,$K61))</f>
        <v>C2926174</v>
      </c>
      <c r="F61" t="str" s="15" cm="1">
        <f t="array" ref="F61">H61</f>
        <v>BAT54S</v>
      </c>
      <c r="G61" t="s" s="17">
        <v>556</v>
      </c>
      <c r="H61" t="str" s="18" cm="1">
        <f t="array" ref="H61">AG61</f>
        <v>BAT54S</v>
      </c>
      <c r="I61" t="s" s="17">
        <v>8</v>
      </c>
      <c r="J61" t="s" s="17">
        <v>601</v>
      </c>
      <c r="K61" t="s" s="35">
        <v>602</v>
      </c>
      <c r="L61" t="s" s="39">
        <v>603</v>
      </c>
      <c r="M61" s="17"/>
      <c r="N61" s="17"/>
      <c r="O61" s="17"/>
      <c r="P61" t="s" s="17">
        <v>577</v>
      </c>
      <c r="Q61" s="17"/>
      <c r="R61" s="17"/>
      <c r="S61" s="17"/>
      <c r="T61" s="17"/>
      <c r="U61" t="s" s="17">
        <v>578</v>
      </c>
      <c r="V61" s="17"/>
      <c r="W61" s="17"/>
      <c r="X61" s="17"/>
      <c r="Y61" s="17"/>
      <c r="Z61" s="17"/>
      <c r="AA61" s="17"/>
      <c r="AB61" s="37"/>
      <c r="AC61" s="37"/>
      <c r="AD61" s="33">
        <v>5</v>
      </c>
      <c r="AE61" t="s" s="17">
        <v>211</v>
      </c>
      <c r="AF61" t="s" s="25">
        <v>592</v>
      </c>
      <c r="AG61" t="s" s="17">
        <v>604</v>
      </c>
      <c r="AH61" t="s" s="40">
        <v>605</v>
      </c>
      <c r="AI61" t="s" s="41">
        <v>582</v>
      </c>
      <c r="AJ61" t="s" s="17">
        <v>606</v>
      </c>
    </row>
    <row r="62" ht="17.9" customHeight="1">
      <c r="B62" t="str" s="15" cm="1">
        <f t="array" ref="B62">G62&amp;"_"&amp;F62&amp;"_"&amp;P62</f>
        <v>DIO_BAT54C_SOT-23</v>
      </c>
      <c r="C62" t="str" s="16" cm="1">
        <f t="array" ref="C62">$F62&amp;IF($G62="LED"," LED","")&amp;IF($T62="",""," ")&amp;$T62&amp;IF($J62="",""," ")&amp;$J62&amp;IF($U62="",""," ")&amp;$U62&amp;IF($V62="",""," ")&amp;$V62&amp;IF($W62="",""," ")&amp;$W62&amp;IF($Z62="",""," ")&amp;$Z62&amp;IF($Z62="","","mcd")</f>
        <v>BAT54C dual Schottkey common cathode 30V</v>
      </c>
      <c r="D62" t="str" s="16" cm="1">
        <f t="array" ref="D62">$F62&amp;" "&amp;G62&amp;IF($T62="",""," ")&amp;$T62&amp;IF($J62="",""," ")&amp;$J62&amp;IF($U62="",""," ")&amp;$U62&amp;IF($V62="",""," ")&amp;$V62&amp;IF($W62="",""," ")&amp;$W62&amp;IF($Z62="",""," ")&amp;$Z62&amp;IF($Z62="","","mcd")</f>
        <v>BAT54C DIO dual Schottkey common cathode 30V</v>
      </c>
      <c r="E62" t="str" s="15" cm="1">
        <f t="array" ref="E62">IF(ISBLANK(K62),"",HYPERLINK("https://jlcpcb.com/partdetail/"&amp;$K62,$K62))</f>
        <v>C408388</v>
      </c>
      <c r="F62" t="str" s="15" cm="1">
        <f t="array" ref="F62">H62</f>
        <v>BAT54C</v>
      </c>
      <c r="G62" t="s" s="17">
        <v>556</v>
      </c>
      <c r="H62" t="str" s="18" cm="1">
        <f t="array" ref="H62">AG62</f>
        <v>BAT54C</v>
      </c>
      <c r="I62" t="s" s="17">
        <v>8</v>
      </c>
      <c r="J62" t="s" s="17">
        <v>612</v>
      </c>
      <c r="K62" t="s" s="19">
        <v>613</v>
      </c>
      <c r="L62" t="s" s="19">
        <v>614</v>
      </c>
      <c r="M62" s="17"/>
      <c r="N62" s="17"/>
      <c r="O62" s="17"/>
      <c r="P62" t="s" s="17">
        <v>577</v>
      </c>
      <c r="Q62" s="17"/>
      <c r="R62" s="17"/>
      <c r="S62" s="17"/>
      <c r="T62" s="17"/>
      <c r="U62" t="s" s="17">
        <v>578</v>
      </c>
      <c r="V62" s="17"/>
      <c r="W62" s="17"/>
      <c r="X62" s="17"/>
      <c r="Y62" s="17"/>
      <c r="Z62" s="17"/>
      <c r="AA62" s="17"/>
      <c r="AB62" s="24"/>
      <c r="AC62" s="24"/>
      <c r="AD62" s="33">
        <v>1</v>
      </c>
      <c r="AE62" t="s" s="17">
        <v>211</v>
      </c>
      <c r="AF62" t="s" s="25">
        <v>615</v>
      </c>
      <c r="AG62" t="s" s="17">
        <v>616</v>
      </c>
      <c r="AH62" t="s" s="25">
        <v>617</v>
      </c>
      <c r="AI62" t="s" s="41">
        <v>582</v>
      </c>
      <c r="AJ62" t="s" s="17">
        <v>618</v>
      </c>
    </row>
    <row r="63" ht="17.9" customHeight="1">
      <c r="B63" t="str" s="15" cm="1">
        <f t="array" ref="B63">G63&amp;"_"&amp;F63&amp;"_"&amp;P63</f>
        <v>DIO_BAV99_SOT-23</v>
      </c>
      <c r="C63" t="str" s="16" cm="1">
        <f t="array" ref="C63">$F63&amp;IF($G63="LED"," LED","")&amp;IF($T63="",""," ")&amp;$T63&amp;IF($J63="",""," ")&amp;$J63&amp;IF($U63="",""," ")&amp;$U63&amp;IF($V63="",""," ")&amp;$V63&amp;IF($W63="",""," ")&amp;$W63&amp;IF($Z63="",""," ")&amp;$Z63&amp;IF($Z63="","","mcd")</f>
        <v>BAV99 dual switching diode 100V</v>
      </c>
      <c r="D63" t="str" s="16" cm="1">
        <f t="array" ref="D63">$F63&amp;" "&amp;G63&amp;IF($T63="",""," ")&amp;$T63&amp;IF($J63="",""," ")&amp;$J63&amp;IF($U63="",""," ")&amp;$U63&amp;IF($V63="",""," ")&amp;$V63&amp;IF($W63="",""," ")&amp;$W63&amp;IF($Z63="",""," ")&amp;$Z63&amp;IF($Z63="","","mcd")</f>
        <v>BAV99 DIO dual switching diode 100V</v>
      </c>
      <c r="E63" t="str" s="15" cm="1">
        <f t="array" ref="E63">IF(ISBLANK(K63),"",HYPERLINK("https://jlcpcb.com/partdetail/"&amp;$K63,$K63))</f>
        <v>C2500</v>
      </c>
      <c r="F63" t="str" s="15" cm="1">
        <f t="array" ref="F63">H63</f>
        <v>BAV99</v>
      </c>
      <c r="G63" t="s" s="17">
        <v>556</v>
      </c>
      <c r="H63" t="s" s="17">
        <v>624</v>
      </c>
      <c r="I63" t="s" s="17">
        <v>8</v>
      </c>
      <c r="J63" t="s" s="17">
        <v>625</v>
      </c>
      <c r="K63" t="s" s="32">
        <v>626</v>
      </c>
      <c r="L63" t="s" s="19">
        <v>627</v>
      </c>
      <c r="M63" s="17"/>
      <c r="N63" s="17"/>
      <c r="O63" s="17"/>
      <c r="P63" t="s" s="17">
        <v>577</v>
      </c>
      <c r="Q63" s="17"/>
      <c r="R63" s="17"/>
      <c r="S63" s="17"/>
      <c r="T63" s="17"/>
      <c r="U63" t="s" s="17">
        <v>628</v>
      </c>
      <c r="V63" s="17"/>
      <c r="W63" s="17"/>
      <c r="X63" s="17"/>
      <c r="Y63" s="17"/>
      <c r="Z63" s="17"/>
      <c r="AA63" s="17"/>
      <c r="AB63" s="24"/>
      <c r="AC63" s="24"/>
      <c r="AD63" s="42"/>
      <c r="AE63" s="18"/>
      <c r="AF63" t="s" s="43">
        <v>629</v>
      </c>
      <c r="AG63" t="s" s="32">
        <v>630</v>
      </c>
      <c r="AH63" t="s" s="25">
        <v>631</v>
      </c>
      <c r="AI63" t="s" s="41">
        <v>582</v>
      </c>
      <c r="AJ63" t="s" s="17">
        <v>632</v>
      </c>
    </row>
    <row r="64" ht="20.15" customHeight="1">
      <c r="B64" t="str" s="15" cm="1">
        <f t="array" ref="B64">G64&amp;"_"&amp;F64&amp;"_"&amp;P64</f>
        <v>IC_LM358D_SOP-8</v>
      </c>
      <c r="C64" t="str" s="16" cm="1">
        <f t="array" ref="C64">$F64&amp;IF($G64="LED"," LED","")&amp;IF($T64="",""," ")&amp;$T64&amp;IF($J64="",""," ")&amp;$J64&amp;IF($U64="",""," ")&amp;$U64&amp;IF($V64="",""," ")&amp;$V64&amp;IF($W64="",""," ")&amp;$W64&amp;IF($Z64="",""," ")&amp;$Z64&amp;IF($Z64="","","mcd")</f>
        <v>LM358D dual OpAmp ±15V or +30V</v>
      </c>
      <c r="D64" t="str" s="16" cm="1">
        <f t="array" ref="D64">$F64&amp;" "&amp;G64&amp;IF($T64="",""," ")&amp;$T64&amp;IF($J64="",""," ")&amp;$J64&amp;IF($U64="",""," ")&amp;$U64&amp;IF($V64="",""," ")&amp;$V64&amp;IF($W64="",""," ")&amp;$W64&amp;IF($Z64="",""," ")&amp;$Z64&amp;IF($Z64="","","mcd")</f>
        <v>LM358D IC dual OpAmp ±15V or +30V</v>
      </c>
      <c r="E64" t="str" s="15" cm="1">
        <f t="array" ref="E64">IF(ISBLANK(K64),"",HYPERLINK("https://jlcpcb.com/partdetail/"&amp;$K64,$K64))</f>
        <v>C2683482</v>
      </c>
      <c r="F64" t="str" s="15" cm="1">
        <f t="array" ref="F64">H64</f>
        <v>LM358D</v>
      </c>
      <c r="G64" t="s" s="17">
        <v>638</v>
      </c>
      <c r="H64" t="str" s="18" cm="1">
        <f t="array" ref="H64">AG64</f>
        <v>LM358D</v>
      </c>
      <c r="I64" t="s" s="17">
        <v>8</v>
      </c>
      <c r="J64" t="s" s="17">
        <v>639</v>
      </c>
      <c r="K64" t="s" s="19">
        <v>640</v>
      </c>
      <c r="L64" t="s" s="19">
        <v>641</v>
      </c>
      <c r="M64" s="17"/>
      <c r="N64" s="17"/>
      <c r="O64" s="17"/>
      <c r="P64" t="s" s="17">
        <v>642</v>
      </c>
      <c r="Q64" s="17"/>
      <c r="R64" s="17"/>
      <c r="S64" s="17"/>
      <c r="T64" s="17"/>
      <c r="U64" t="s" s="17">
        <v>643</v>
      </c>
      <c r="V64" s="17"/>
      <c r="W64" s="17"/>
      <c r="X64" s="17"/>
      <c r="Y64" s="17"/>
      <c r="Z64" s="17"/>
      <c r="AA64" s="17"/>
      <c r="AB64" s="24"/>
      <c r="AC64" s="24"/>
      <c r="AD64" s="33">
        <v>1</v>
      </c>
      <c r="AE64" t="s" s="17">
        <v>211</v>
      </c>
      <c r="AF64" t="s" s="25">
        <v>644</v>
      </c>
      <c r="AG64" t="s" s="17">
        <v>645</v>
      </c>
      <c r="AH64" t="s" s="22">
        <v>646</v>
      </c>
      <c r="AI64" t="s" s="23">
        <v>647</v>
      </c>
      <c r="AJ64" t="s" s="17">
        <v>648</v>
      </c>
    </row>
    <row r="65" ht="20.15" customHeight="1">
      <c r="B65" t="str" s="15" cm="1">
        <f t="array" ref="B65">G65&amp;"_"&amp;F65&amp;"_"&amp;P65</f>
        <v>IC_NE555D_SOP-8</v>
      </c>
      <c r="C65" t="str" s="16" cm="1">
        <f t="array" ref="C65">$F65&amp;IF($G65="LED"," LED","")&amp;IF($T65="",""," ")&amp;$T65&amp;IF($J65="",""," ")&amp;$J65&amp;IF($U65="",""," ")&amp;$U65&amp;IF($V65="",""," ")&amp;$V65&amp;IF($W65="",""," ")&amp;$W65&amp;IF($Z65="",""," ")&amp;$Z65&amp;IF($Z65="","","mcd")</f>
        <v>NE555D 16v</v>
      </c>
      <c r="D65" t="str" s="16" cm="1">
        <f t="array" ref="D65">$F65&amp;" "&amp;G65&amp;IF($T65="",""," ")&amp;$T65&amp;IF($J65="",""," ")&amp;$J65&amp;IF($U65="",""," ")&amp;$U65&amp;IF($V65="",""," ")&amp;$V65&amp;IF($W65="",""," ")&amp;$W65&amp;IF($Z65="",""," ")&amp;$Z65&amp;IF($Z65="","","mcd")</f>
        <v>NE555D IC 16v</v>
      </c>
      <c r="E65" t="str" s="15" cm="1">
        <f t="array" ref="E65">IF(ISBLANK(K65),"",HYPERLINK("https://jlcpcb.com/partdetail/"&amp;$K65,$K65))</f>
        <v>C695838</v>
      </c>
      <c r="F65" t="str" s="15" cm="1">
        <f t="array" ref="F65">H65</f>
        <v>NE555D</v>
      </c>
      <c r="G65" t="s" s="17">
        <v>638</v>
      </c>
      <c r="H65" t="s" s="17">
        <v>654</v>
      </c>
      <c r="I65" t="s" s="17">
        <v>8</v>
      </c>
      <c r="J65" s="17"/>
      <c r="K65" t="s" s="32">
        <v>655</v>
      </c>
      <c r="L65" t="s" s="19">
        <v>656</v>
      </c>
      <c r="M65" s="35"/>
      <c r="N65" s="35"/>
      <c r="O65" s="35"/>
      <c r="P65" t="s" s="35">
        <v>642</v>
      </c>
      <c r="Q65" s="17"/>
      <c r="R65" s="17"/>
      <c r="S65" s="17"/>
      <c r="T65" s="17"/>
      <c r="U65" t="s" s="17">
        <v>657</v>
      </c>
      <c r="V65" s="17"/>
      <c r="W65" s="17"/>
      <c r="X65" s="17"/>
      <c r="Y65" s="17"/>
      <c r="Z65" s="17"/>
      <c r="AA65" s="17"/>
      <c r="AB65" s="24"/>
      <c r="AC65" s="24"/>
      <c r="AD65" s="42"/>
      <c r="AE65" s="18"/>
      <c r="AF65" t="s" s="44">
        <v>658</v>
      </c>
      <c r="AG65" t="s" s="45">
        <v>659</v>
      </c>
      <c r="AH65" t="s" s="25">
        <v>660</v>
      </c>
      <c r="AI65" t="s" s="26">
        <v>661</v>
      </c>
      <c r="AJ65" t="s" s="17">
        <v>662</v>
      </c>
    </row>
    <row r="66" ht="20.15" customHeight="1">
      <c r="B66" t="str" s="15" cm="1">
        <f t="array" ref="B66">G66&amp;"_"&amp;F66&amp;"_"&amp;P66</f>
        <v>IC_NE556_SOP-14</v>
      </c>
      <c r="C66" t="str" s="16" cm="1">
        <f t="array" ref="C66">$F66&amp;IF($G66="LED"," LED","")&amp;IF($T66="",""," ")&amp;$T66&amp;IF($J66="",""," ")&amp;$J66&amp;IF($U66="",""," ")&amp;$U66&amp;IF($V66="",""," ")&amp;$V66&amp;IF($W66="",""," ")&amp;$W66&amp;IF($Z66="",""," ")&amp;$Z66&amp;IF($Z66="","","mcd")</f>
        <v>NE556 Dual Timer 16V 600mW</v>
      </c>
      <c r="D66" t="str" s="16" cm="1">
        <f t="array" ref="D66">$F66&amp;" "&amp;G66&amp;IF($T66="",""," ")&amp;$T66&amp;IF($J66="",""," ")&amp;$J66&amp;IF($U66="",""," ")&amp;$U66&amp;IF($V66="",""," ")&amp;$V66&amp;IF($W66="",""," ")&amp;$W66&amp;IF($Z66="",""," ")&amp;$Z66&amp;IF($Z66="","","mcd")</f>
        <v>NE556 IC Dual Timer 16V 600mW</v>
      </c>
      <c r="E66" t="str" s="15" cm="1">
        <f t="array" ref="E66">IF(ISBLANK(K66),"",HYPERLINK("https://jlcpcb.com/partdetail/"&amp;$K66,$K66))</f>
        <v>C5145392</v>
      </c>
      <c r="F66" t="str" s="15" cm="1">
        <f t="array" ref="F66">H66</f>
        <v>NE556</v>
      </c>
      <c r="G66" t="s" s="17">
        <v>638</v>
      </c>
      <c r="H66" t="s" s="17">
        <v>668</v>
      </c>
      <c r="I66" t="s" s="17">
        <v>8</v>
      </c>
      <c r="J66" t="s" s="17">
        <v>669</v>
      </c>
      <c r="K66" t="s" s="19">
        <v>670</v>
      </c>
      <c r="L66" t="s" s="19">
        <v>671</v>
      </c>
      <c r="M66" s="35"/>
      <c r="N66" s="35"/>
      <c r="O66" s="35"/>
      <c r="P66" t="s" s="35">
        <v>672</v>
      </c>
      <c r="Q66" s="17"/>
      <c r="R66" s="17"/>
      <c r="S66" s="17"/>
      <c r="T66" s="17"/>
      <c r="U66" t="s" s="17">
        <v>546</v>
      </c>
      <c r="V66" s="17"/>
      <c r="W66" t="s" s="17">
        <v>673</v>
      </c>
      <c r="X66" s="17"/>
      <c r="Y66" s="17"/>
      <c r="Z66" s="17"/>
      <c r="AA66" s="17"/>
      <c r="AB66" s="24"/>
      <c r="AC66" s="24"/>
      <c r="AD66" s="33">
        <v>5</v>
      </c>
      <c r="AE66" t="s" s="17">
        <v>211</v>
      </c>
      <c r="AF66" t="s" s="38">
        <v>674</v>
      </c>
      <c r="AG66" t="s" s="35">
        <v>675</v>
      </c>
      <c r="AH66" t="s" s="25">
        <v>676</v>
      </c>
      <c r="AI66" t="s" s="26">
        <v>677</v>
      </c>
      <c r="AJ66" t="s" s="17">
        <v>678</v>
      </c>
    </row>
    <row r="67" ht="20.15" customHeight="1">
      <c r="B67" t="str" s="15" cm="1">
        <f t="array" ref="B67">G67&amp;"_"&amp;F67&amp;"_"&amp;P67</f>
        <v>IC_MCP23017_SOIC-28-300mil</v>
      </c>
      <c r="C67" t="str" s="16" cm="1">
        <f t="array" ref="C67">$F67&amp;IF($G67="LED"," LED","")&amp;IF($T67="",""," ")&amp;$T67&amp;IF($J67="",""," ")&amp;$J67&amp;IF($U67="",""," ")&amp;$U67&amp;IF($V67="",""," ")&amp;$V67&amp;IF($W67="",""," ")&amp;$W67&amp;IF($Z67="",""," ")&amp;$Z67&amp;IF($Z67="","","mcd")</f>
        <v>MCP23017 I2C 16-bit I/O Expander</v>
      </c>
      <c r="D67" t="str" s="16" cm="1">
        <f t="array" ref="D67">$F67&amp;" "&amp;G67&amp;IF($T67="",""," ")&amp;$T67&amp;IF($J67="",""," ")&amp;$J67&amp;IF($U67="",""," ")&amp;$U67&amp;IF($V67="",""," ")&amp;$V67&amp;IF($W67="",""," ")&amp;$W67&amp;IF($Z67="",""," ")&amp;$Z67&amp;IF($Z67="","","mcd")</f>
        <v>MCP23017 IC I2C 16-bit I/O Expander</v>
      </c>
      <c r="E67" t="str" s="15" cm="1">
        <f t="array" ref="E67">IF(ISBLANK(K67),"",HYPERLINK("https://jlcpcb.com/partdetail/"&amp;$K67,$K67))</f>
        <v>C629440</v>
      </c>
      <c r="F67" t="str" s="15" cm="1">
        <f t="array" ref="F67">H67</f>
        <v>MCP23017</v>
      </c>
      <c r="G67" t="s" s="17">
        <v>638</v>
      </c>
      <c r="H67" t="s" s="17">
        <v>684</v>
      </c>
      <c r="I67" t="s" s="17">
        <v>8</v>
      </c>
      <c r="J67" t="s" s="17">
        <v>685</v>
      </c>
      <c r="K67" t="s" s="19">
        <v>686</v>
      </c>
      <c r="L67" t="s" s="19">
        <v>687</v>
      </c>
      <c r="M67" s="35"/>
      <c r="N67" s="35"/>
      <c r="O67" s="35"/>
      <c r="P67" t="s" s="35">
        <v>688</v>
      </c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24"/>
      <c r="AC67" s="24"/>
      <c r="AD67" s="33">
        <v>1</v>
      </c>
      <c r="AE67" t="s" s="17">
        <v>211</v>
      </c>
      <c r="AF67" t="s" s="38">
        <v>689</v>
      </c>
      <c r="AG67" t="s" s="35">
        <v>690</v>
      </c>
      <c r="AH67" t="s" s="25">
        <v>691</v>
      </c>
      <c r="AI67" t="s" s="26">
        <v>692</v>
      </c>
      <c r="AJ67" t="s" s="17">
        <v>693</v>
      </c>
    </row>
    <row r="68" ht="20.15" customHeight="1">
      <c r="B68" t="str" s="15" cm="1">
        <f t="array" ref="B68">G68&amp;"_"&amp;F68&amp;"_"&amp;P68</f>
        <v>IC_PCA9685_TSSOP-28</v>
      </c>
      <c r="C68" t="str" s="16" cm="1">
        <f t="array" ref="C68">$F68&amp;IF($G68="LED"," LED","")&amp;IF($T68="",""," ")&amp;$T68&amp;IF($J68="",""," ")&amp;$J68&amp;IF($U68="",""," ")&amp;$U68&amp;IF($V68="",""," ")&amp;$V68&amp;IF($W68="",""," ")&amp;$W68&amp;IF($Z68="",""," ")&amp;$Z68&amp;IF($Z68="","","mcd")</f>
        <v>PCA9685 I2C 16-bit PWM LED Driver</v>
      </c>
      <c r="D68" t="str" s="16" cm="1">
        <f t="array" ref="D68">$F68&amp;" "&amp;G68&amp;IF($T68="",""," ")&amp;$T68&amp;IF($J68="",""," ")&amp;$J68&amp;IF($U68="",""," ")&amp;$U68&amp;IF($V68="",""," ")&amp;$V68&amp;IF($W68="",""," ")&amp;$W68&amp;IF($Z68="",""," ")&amp;$Z68&amp;IF($Z68="","","mcd")</f>
        <v>PCA9685 IC I2C 16-bit PWM LED Driver</v>
      </c>
      <c r="E68" t="str" s="15" cm="1">
        <f t="array" ref="E68">IF(ISBLANK(K68),"",HYPERLINK("https://jlcpcb.com/partdetail/"&amp;$K68,$K68))</f>
        <v>C2678753</v>
      </c>
      <c r="F68" t="str" s="15" cm="1">
        <f t="array" ref="F68">H68</f>
        <v>PCA9685</v>
      </c>
      <c r="G68" t="s" s="17">
        <v>638</v>
      </c>
      <c r="H68" t="s" s="17">
        <v>699</v>
      </c>
      <c r="I68" t="s" s="17">
        <v>8</v>
      </c>
      <c r="J68" t="s" s="17">
        <v>700</v>
      </c>
      <c r="K68" t="s" s="19">
        <v>701</v>
      </c>
      <c r="L68" t="s" s="19">
        <v>702</v>
      </c>
      <c r="M68" s="35"/>
      <c r="N68" s="35"/>
      <c r="O68" s="35"/>
      <c r="P68" t="s" s="35">
        <v>703</v>
      </c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24"/>
      <c r="AC68" s="24"/>
      <c r="AD68" s="33">
        <v>1</v>
      </c>
      <c r="AE68" t="s" s="17">
        <v>211</v>
      </c>
      <c r="AF68" t="s" s="38">
        <v>704</v>
      </c>
      <c r="AG68" t="s" s="35">
        <v>705</v>
      </c>
      <c r="AH68" t="s" s="25">
        <v>706</v>
      </c>
      <c r="AI68" t="s" s="26">
        <v>707</v>
      </c>
      <c r="AJ68" t="s" s="17">
        <v>708</v>
      </c>
    </row>
    <row r="69" ht="19.3" customHeight="1">
      <c r="B69" t="str" s="15" cm="1">
        <f t="array" ref="B69">G69&amp;"_"&amp;F69&amp;"_"&amp;P69&amp;"_"&amp;V69</f>
        <v>LED_Blue_0603_20mA</v>
      </c>
      <c r="C69" t="str" s="16" cm="1">
        <f t="array" ref="C69">$F69&amp;IF($G69="LED"," LED","")&amp;IF($T69="",""," ")&amp;$T69&amp;IF($J69="",""," ")&amp;$J69&amp;IF($U69="",""," ")&amp;$U69&amp;IF($V69="",""," ")&amp;$V69&amp;IF($W69="",""," ")&amp;$W69&amp;IF($Z69="",""," ")&amp;$Z69&amp;IF($Z69="","","mcd")</f>
        <v>Blue LED clear 3.3V 20mA 240mcd</v>
      </c>
      <c r="D69" t="str" s="16" cm="1">
        <f t="array" ref="D69">$F69&amp;" "&amp;G69&amp;IF($T69="",""," ")&amp;$T69&amp;IF($J69="",""," ")&amp;$J69&amp;IF($U69="",""," ")&amp;$U69&amp;IF($V69="",""," ")&amp;$V69&amp;IF($W69="",""," ")&amp;$W69&amp;IF($Z69="",""," ")&amp;$Z69&amp;IF($Z69="","","mcd")</f>
        <v>Blue LED clear 3.3V 20mA 240mcd</v>
      </c>
      <c r="E69" t="str" s="15" cm="1">
        <f t="array" ref="E69">IF(ISBLANK(K69),"",HYPERLINK("https://jlcpcb.com/partdetail/"&amp;$K69,$K69))</f>
        <v>C965807</v>
      </c>
      <c r="F69" t="str" s="15" cm="1">
        <f t="array" ref="F69">H69</f>
        <v>Blue</v>
      </c>
      <c r="G69" t="s" s="17">
        <v>713</v>
      </c>
      <c r="H69" t="s" s="17">
        <v>714</v>
      </c>
      <c r="I69" t="s" s="17">
        <v>8</v>
      </c>
      <c r="J69" t="s" s="17">
        <v>715</v>
      </c>
      <c r="K69" t="s" s="19">
        <v>716</v>
      </c>
      <c r="L69" t="s" s="19">
        <v>717</v>
      </c>
      <c r="M69" s="17"/>
      <c r="N69" s="17"/>
      <c r="O69" s="17"/>
      <c r="P69" t="s" s="17">
        <v>435</v>
      </c>
      <c r="Q69" s="17"/>
      <c r="R69" s="17"/>
      <c r="S69" s="17"/>
      <c r="T69" s="17"/>
      <c r="U69" t="s" s="17">
        <v>718</v>
      </c>
      <c r="V69" t="s" s="17">
        <v>719</v>
      </c>
      <c r="W69" s="17"/>
      <c r="X69" t="s" s="17">
        <v>720</v>
      </c>
      <c r="Y69" t="s" s="17">
        <v>721</v>
      </c>
      <c r="Z69" t="s" s="17">
        <v>722</v>
      </c>
      <c r="AA69" s="17"/>
      <c r="AB69" s="24"/>
      <c r="AC69" s="24"/>
      <c r="AD69" s="33">
        <v>1</v>
      </c>
      <c r="AE69" t="s" s="17">
        <v>211</v>
      </c>
      <c r="AF69" t="s" s="25">
        <v>723</v>
      </c>
      <c r="AG69" t="s" s="17">
        <v>724</v>
      </c>
      <c r="AH69" t="s" s="22">
        <v>725</v>
      </c>
      <c r="AI69" t="s" s="23">
        <v>726</v>
      </c>
      <c r="AJ69" t="s" s="17">
        <v>727</v>
      </c>
    </row>
    <row r="70" ht="20.95" customHeight="1">
      <c r="B70" t="str" s="15" cm="1">
        <f t="array" ref="B70">G70&amp;"_"&amp;F70&amp;"_"&amp;P70&amp;"_"&amp;V70</f>
        <v>LED_White_0603_20mA</v>
      </c>
      <c r="C70" t="str" s="16" cm="1">
        <f t="array" ref="C70">$F70&amp;IF($G70="LED"," LED","")&amp;IF($T70="",""," ")&amp;$T70&amp;IF($J70="",""," ")&amp;$J70&amp;IF($U70="",""," ")&amp;$U70&amp;IF($V70="",""," ")&amp;$V70&amp;IF($W70="",""," ")&amp;$W70&amp;IF($Z70="",""," ")&amp;$Z70&amp;IF($Z70="","","mcd")</f>
        <v>White LED warm 2.7V 20mA 130mcd</v>
      </c>
      <c r="D70" t="str" s="16" cm="1">
        <f t="array" ref="D70">$F70&amp;" "&amp;G70&amp;IF($T70="",""," ")&amp;$T70&amp;IF($J70="",""," ")&amp;$J70&amp;IF($U70="",""," ")&amp;$U70&amp;IF($V70="",""," ")&amp;$V70&amp;IF($W70="",""," ")&amp;$W70&amp;IF($Z70="",""," ")&amp;$Z70&amp;IF($Z70="","","mcd")</f>
        <v>White LED warm 2.7V 20mA 130mcd</v>
      </c>
      <c r="E70" t="str" s="15" cm="1">
        <f t="array" ref="E70">IF(ISBLANK(K70),"",HYPERLINK("https://jlcpcb.com/partdetail/"&amp;$K70,$K70))</f>
        <v>C965808</v>
      </c>
      <c r="F70" t="str" s="15" cm="1">
        <f t="array" ref="F70">H70</f>
        <v>White</v>
      </c>
      <c r="G70" t="s" s="17">
        <v>713</v>
      </c>
      <c r="H70" t="s" s="17">
        <v>732</v>
      </c>
      <c r="I70" t="s" s="17">
        <v>8</v>
      </c>
      <c r="J70" t="s" s="17">
        <v>733</v>
      </c>
      <c r="K70" t="s" s="19">
        <v>734</v>
      </c>
      <c r="L70" t="s" s="19">
        <v>735</v>
      </c>
      <c r="M70" s="17"/>
      <c r="N70" s="17"/>
      <c r="O70" s="17"/>
      <c r="P70" t="s" s="17">
        <v>435</v>
      </c>
      <c r="Q70" s="17"/>
      <c r="R70" s="17"/>
      <c r="S70" s="17"/>
      <c r="T70" s="17"/>
      <c r="U70" t="s" s="17">
        <v>736</v>
      </c>
      <c r="V70" t="s" s="17">
        <v>719</v>
      </c>
      <c r="W70" s="17"/>
      <c r="X70" t="s" s="17">
        <v>720</v>
      </c>
      <c r="Y70" t="s" s="17">
        <v>737</v>
      </c>
      <c r="Z70" t="s" s="17">
        <v>738</v>
      </c>
      <c r="AA70" s="17"/>
      <c r="AB70" s="24"/>
      <c r="AC70" s="24"/>
      <c r="AD70" s="33">
        <v>1</v>
      </c>
      <c r="AE70" t="s" s="17">
        <v>211</v>
      </c>
      <c r="AF70" t="s" s="25">
        <v>723</v>
      </c>
      <c r="AG70" t="s" s="17">
        <v>739</v>
      </c>
      <c r="AH70" t="s" s="22">
        <v>725</v>
      </c>
      <c r="AI70" t="s" s="23">
        <v>726</v>
      </c>
      <c r="AJ70" t="s" s="17">
        <v>740</v>
      </c>
    </row>
    <row r="71" ht="18.4" customHeight="1">
      <c r="B71" t="str" s="15" cm="1">
        <f t="array" ref="B71">G71&amp;"_"&amp;F71&amp;"_"&amp;P71&amp;"_"&amp;V71</f>
        <v>LED_Green Emerald_0603_20mA</v>
      </c>
      <c r="C71" t="str" s="16" cm="1">
        <f t="array" ref="C71">$F71&amp;IF($G71="LED"," LED","")&amp;IF($T71="",""," ")&amp;$T71&amp;IF($J71="",""," ")&amp;$J71&amp;IF($U71="",""," ")&amp;$U71&amp;IF($V71="",""," ")&amp;$V71&amp;IF($W71="",""," ")&amp;$W71&amp;IF($Z71="",""," ")&amp;$Z71&amp;IF($Z71="","","mcd")</f>
        <v>Green Emerald LED clear 3.3V 20mA 810mcd</v>
      </c>
      <c r="D71" t="str" s="16" cm="1">
        <f t="array" ref="D71">$F71&amp;" "&amp;G71&amp;IF($T71="",""," ")&amp;$T71&amp;IF($J71="",""," ")&amp;$J71&amp;IF($U71="",""," ")&amp;$U71&amp;IF($V71="",""," ")&amp;$V71&amp;IF($W71="",""," ")&amp;$W71&amp;IF($Z71="",""," ")&amp;$Z71&amp;IF($Z71="","","mcd")</f>
        <v>Green Emerald LED clear 3.3V 20mA 810mcd</v>
      </c>
      <c r="E71" t="str" s="15" cm="1">
        <f t="array" ref="E71">IF(ISBLANK(K71),"",HYPERLINK("https://jlcpcb.com/partdetail/"&amp;$K71,$K71))</f>
        <v>C965804</v>
      </c>
      <c r="F71" t="str" s="15" cm="1">
        <f t="array" ref="F71">H71</f>
        <v>Green Emerald</v>
      </c>
      <c r="G71" t="s" s="17">
        <v>713</v>
      </c>
      <c r="H71" t="s" s="17">
        <v>745</v>
      </c>
      <c r="I71" t="s" s="17">
        <v>8</v>
      </c>
      <c r="J71" t="s" s="17">
        <v>715</v>
      </c>
      <c r="K71" t="s" s="19">
        <v>746</v>
      </c>
      <c r="L71" t="s" s="19">
        <v>747</v>
      </c>
      <c r="M71" s="17"/>
      <c r="N71" s="17"/>
      <c r="O71" s="17"/>
      <c r="P71" t="s" s="17">
        <v>435</v>
      </c>
      <c r="Q71" s="17"/>
      <c r="R71" s="17"/>
      <c r="S71" s="17"/>
      <c r="T71" s="17"/>
      <c r="U71" t="s" s="17">
        <v>718</v>
      </c>
      <c r="V71" t="s" s="17">
        <v>719</v>
      </c>
      <c r="W71" s="17"/>
      <c r="X71" t="s" s="17">
        <v>720</v>
      </c>
      <c r="Y71" t="s" s="17">
        <v>748</v>
      </c>
      <c r="Z71" t="s" s="17">
        <v>749</v>
      </c>
      <c r="AA71" s="17"/>
      <c r="AB71" s="24"/>
      <c r="AC71" s="24"/>
      <c r="AD71" s="33">
        <v>1</v>
      </c>
      <c r="AE71" t="s" s="17">
        <v>211</v>
      </c>
      <c r="AF71" t="s" s="25">
        <v>723</v>
      </c>
      <c r="AG71" t="s" s="17">
        <v>750</v>
      </c>
      <c r="AH71" t="s" s="22">
        <v>725</v>
      </c>
      <c r="AI71" t="s" s="23">
        <v>726</v>
      </c>
      <c r="AJ71" t="s" s="17">
        <v>751</v>
      </c>
    </row>
    <row r="72" ht="18.9" customHeight="1">
      <c r="B72" t="str" s="15" cm="1">
        <f t="array" ref="B72">G72&amp;"_"&amp;F72&amp;"_"&amp;P72&amp;"_"&amp;V72</f>
        <v>LED_Yellow Green_0603_20mA</v>
      </c>
      <c r="C72" t="str" s="16" cm="1">
        <f t="array" ref="C72">$F72&amp;IF($G72="LED"," LED","")&amp;IF($T72="",""," ")&amp;$T72&amp;IF($J72="",""," ")&amp;$J72&amp;IF($U72="",""," ")&amp;$U72&amp;IF($V72="",""," ")&amp;$V72&amp;IF($W72="",""," ")&amp;$W72&amp;IF($Z72="",""," ")&amp;$Z72&amp;IF($Z72="","","mcd")</f>
        <v>Yellow Green LED clear 2.4V 20mA 240mcd</v>
      </c>
      <c r="D72" t="str" s="16" cm="1">
        <f t="array" ref="D72">$F72&amp;" "&amp;G72&amp;IF($T72="",""," ")&amp;$T72&amp;IF($J72="",""," ")&amp;$J72&amp;IF($U72="",""," ")&amp;$U72&amp;IF($V72="",""," ")&amp;$V72&amp;IF($W72="",""," ")&amp;$W72&amp;IF($Z72="",""," ")&amp;$Z72&amp;IF($Z72="","","mcd")</f>
        <v>Yellow Green LED clear 2.4V 20mA 240mcd</v>
      </c>
      <c r="E72" t="str" s="15" cm="1">
        <f t="array" ref="E72">IF(ISBLANK(K72),"",HYPERLINK("https://jlcpcb.com/partdetail/"&amp;$K72,$K72))</f>
        <v>C965806</v>
      </c>
      <c r="F72" t="str" s="15" cm="1">
        <f t="array" ref="F72">H72</f>
        <v>Yellow Green</v>
      </c>
      <c r="G72" t="s" s="17">
        <v>713</v>
      </c>
      <c r="H72" t="s" s="17">
        <v>756</v>
      </c>
      <c r="I72" t="s" s="17">
        <v>8</v>
      </c>
      <c r="J72" t="s" s="17">
        <v>715</v>
      </c>
      <c r="K72" t="s" s="19">
        <v>757</v>
      </c>
      <c r="L72" t="s" s="19">
        <v>758</v>
      </c>
      <c r="M72" s="17"/>
      <c r="N72" s="17"/>
      <c r="O72" s="17"/>
      <c r="P72" t="s" s="17">
        <v>435</v>
      </c>
      <c r="Q72" s="17"/>
      <c r="R72" s="17"/>
      <c r="S72" s="17"/>
      <c r="T72" s="17"/>
      <c r="U72" t="s" s="17">
        <v>759</v>
      </c>
      <c r="V72" t="s" s="17">
        <v>719</v>
      </c>
      <c r="W72" s="17"/>
      <c r="X72" s="17"/>
      <c r="Y72" t="s" s="17">
        <v>760</v>
      </c>
      <c r="Z72" t="s" s="17">
        <v>722</v>
      </c>
      <c r="AA72" s="17"/>
      <c r="AB72" s="24"/>
      <c r="AC72" s="24"/>
      <c r="AD72" s="33">
        <v>1</v>
      </c>
      <c r="AE72" t="s" s="17">
        <v>438</v>
      </c>
      <c r="AF72" t="s" s="25">
        <v>723</v>
      </c>
      <c r="AG72" t="s" s="17">
        <v>761</v>
      </c>
      <c r="AH72" t="s" s="22">
        <v>725</v>
      </c>
      <c r="AI72" t="s" s="23">
        <v>726</v>
      </c>
      <c r="AJ72" t="s" s="17">
        <v>762</v>
      </c>
    </row>
    <row r="73" ht="18.9" customHeight="1">
      <c r="B73" t="str" s="15" cm="1">
        <f t="array" ref="B73">G73&amp;"_"&amp;F73&amp;"_"&amp;P73&amp;"_"&amp;V73</f>
        <v>LED_Orange_0603_10mA</v>
      </c>
      <c r="C73" t="str" s="16" cm="1">
        <f t="array" ref="C73">$F73&amp;IF($G73="LED"," LED","")&amp;IF($T73="",""," ")&amp;$T73&amp;IF($J73="",""," ")&amp;$J73&amp;IF($U73="",""," ")&amp;$U73&amp;IF($V73="",""," ")&amp;$V73&amp;IF($W73="",""," ")&amp;$W73&amp;IF($Z73="",""," ")&amp;$Z73&amp;IF($Z73="","","mcd")</f>
        <v>Orange LED clear 2.2V 10mA 70mcd</v>
      </c>
      <c r="D73" t="str" s="16" cm="1">
        <f t="array" ref="D73">$F73&amp;" "&amp;G73&amp;IF($T73="",""," ")&amp;$T73&amp;IF($J73="",""," ")&amp;$J73&amp;IF($U73="",""," ")&amp;$U73&amp;IF($V73="",""," ")&amp;$V73&amp;IF($W73="",""," ")&amp;$W73&amp;IF($Z73="",""," ")&amp;$Z73&amp;IF($Z73="","","mcd")</f>
        <v>Orange LED clear 2.2V 10mA 70mcd</v>
      </c>
      <c r="E73" t="str" s="15" cm="1">
        <f t="array" ref="E73">IF(ISBLANK(K73),"",HYPERLINK("https://jlcpcb.com/partdetail/"&amp;$K73,$K73))</f>
        <v>C22371303</v>
      </c>
      <c r="F73" t="str" s="15" cm="1">
        <f t="array" ref="F73">H73</f>
        <v>Orange</v>
      </c>
      <c r="G73" t="s" s="17">
        <v>713</v>
      </c>
      <c r="H73" t="s" s="17">
        <v>767</v>
      </c>
      <c r="I73" t="s" s="17">
        <v>8</v>
      </c>
      <c r="J73" t="s" s="17">
        <v>715</v>
      </c>
      <c r="K73" t="s" s="19">
        <v>768</v>
      </c>
      <c r="L73" t="s" s="19">
        <v>769</v>
      </c>
      <c r="M73" s="17"/>
      <c r="N73" s="17"/>
      <c r="O73" s="17"/>
      <c r="P73" t="s" s="17">
        <v>435</v>
      </c>
      <c r="Q73" s="17"/>
      <c r="R73" s="17"/>
      <c r="S73" s="17"/>
      <c r="T73" s="17"/>
      <c r="U73" t="s" s="17">
        <v>770</v>
      </c>
      <c r="V73" t="s" s="17">
        <v>771</v>
      </c>
      <c r="W73" s="17"/>
      <c r="X73" s="17"/>
      <c r="Y73" t="s" s="17">
        <v>772</v>
      </c>
      <c r="Z73" t="s" s="17">
        <v>773</v>
      </c>
      <c r="AA73" s="17"/>
      <c r="AB73" s="24"/>
      <c r="AC73" s="24"/>
      <c r="AD73" s="33">
        <v>1</v>
      </c>
      <c r="AE73" t="s" s="17">
        <v>438</v>
      </c>
      <c r="AF73" t="s" s="25">
        <v>774</v>
      </c>
      <c r="AG73" t="s" s="17">
        <v>775</v>
      </c>
      <c r="AH73" t="s" s="22">
        <v>725</v>
      </c>
      <c r="AI73" t="s" s="23">
        <v>726</v>
      </c>
      <c r="AJ73" t="s" s="17">
        <v>776</v>
      </c>
    </row>
    <row r="74" ht="18.9" customHeight="1">
      <c r="B74" t="str" s="15" cm="1">
        <f t="array" ref="B74">G74&amp;"_"&amp;F74&amp;"_"&amp;P74&amp;"_"&amp;V74</f>
        <v>LED_Orange_0603_20mA</v>
      </c>
      <c r="C74" t="str" s="16" cm="1">
        <f t="array" ref="C74">$F74&amp;IF($G74="LED"," LED","")&amp;IF($T74="",""," ")&amp;$T74&amp;IF($J74="",""," ")&amp;$J74&amp;IF($U74="",""," ")&amp;$U74&amp;IF($V74="",""," ")&amp;$V74&amp;IF($W74="",""," ")&amp;$W74&amp;IF($Z74="",""," ")&amp;$Z74&amp;IF($Z74="","","mcd")</f>
        <v>Orange LED clear 2.3V 20mA 315mcd</v>
      </c>
      <c r="D74" t="str" s="16" cm="1">
        <f t="array" ref="D74">$F74&amp;" "&amp;G74&amp;IF($T74="",""," ")&amp;$T74&amp;IF($J74="",""," ")&amp;$J74&amp;IF($U74="",""," ")&amp;$U74&amp;IF($V74="",""," ")&amp;$V74&amp;IF($W74="",""," ")&amp;$W74&amp;IF($Z74="",""," ")&amp;$Z74&amp;IF($Z74="","","mcd")</f>
        <v>Orange LED clear 2.3V 20mA 315mcd</v>
      </c>
      <c r="E74" t="str" s="15" cm="1">
        <f t="array" ref="E74">IF(ISBLANK(K74),"",HYPERLINK("https://jlcpcb.com/partdetail/"&amp;$K74,$K74))</f>
        <v>C965800</v>
      </c>
      <c r="F74" t="str" s="15" cm="1">
        <f t="array" ref="F74">H74</f>
        <v>Orange</v>
      </c>
      <c r="G74" t="s" s="17">
        <v>713</v>
      </c>
      <c r="H74" t="s" s="17">
        <v>767</v>
      </c>
      <c r="I74" t="s" s="17">
        <v>8</v>
      </c>
      <c r="J74" t="s" s="17">
        <v>715</v>
      </c>
      <c r="K74" t="s" s="19">
        <v>780</v>
      </c>
      <c r="L74" t="s" s="19">
        <v>781</v>
      </c>
      <c r="M74" s="17"/>
      <c r="N74" s="17"/>
      <c r="O74" s="17"/>
      <c r="P74" t="s" s="17">
        <v>435</v>
      </c>
      <c r="Q74" s="17"/>
      <c r="R74" s="17"/>
      <c r="S74" s="17"/>
      <c r="T74" s="17"/>
      <c r="U74" t="s" s="17">
        <v>782</v>
      </c>
      <c r="V74" t="s" s="17">
        <v>719</v>
      </c>
      <c r="W74" s="17"/>
      <c r="X74" s="17"/>
      <c r="Y74" s="17"/>
      <c r="Z74" t="s" s="17">
        <v>783</v>
      </c>
      <c r="AA74" s="17"/>
      <c r="AB74" s="24"/>
      <c r="AC74" s="24"/>
      <c r="AD74" s="33">
        <v>2</v>
      </c>
      <c r="AE74" t="s" s="17">
        <v>438</v>
      </c>
      <c r="AF74" t="s" s="25">
        <v>723</v>
      </c>
      <c r="AG74" t="s" s="17">
        <v>784</v>
      </c>
      <c r="AH74" t="s" s="22">
        <v>725</v>
      </c>
      <c r="AI74" t="s" s="23">
        <v>726</v>
      </c>
      <c r="AJ74" t="s" s="17">
        <v>785</v>
      </c>
    </row>
    <row r="75" ht="16.4" customHeight="1">
      <c r="B75" t="str" s="15" cm="1">
        <f t="array" ref="B75">G75&amp;"_"&amp;F75&amp;"_"&amp;P75&amp;"_"&amp;V75</f>
        <v>LED_Orange_0603_20mA</v>
      </c>
      <c r="C75" t="str" s="16" cm="1">
        <f t="array" ref="C75">$F75&amp;IF($G75="LED"," LED","")&amp;IF($T75="",""," ")&amp;$T75&amp;IF($J75="",""," ")&amp;$J75&amp;IF($U75="",""," ")&amp;$U75&amp;IF($V75="",""," ")&amp;$V75&amp;IF($W75="",""," ")&amp;$W75&amp;IF($Z75="",""," ")&amp;$Z75&amp;IF($Z75="","","mcd")</f>
        <v>Orange LED clear 2.3V 20mA 315mcd</v>
      </c>
      <c r="D75" t="str" s="16" cm="1">
        <f t="array" ref="D75">$F75&amp;" "&amp;G75&amp;IF($T75="",""," ")&amp;$T75&amp;IF($J75="",""," ")&amp;$J75&amp;IF($U75="",""," ")&amp;$U75&amp;IF($V75="",""," ")&amp;$V75&amp;IF($W75="",""," ")&amp;$W75&amp;IF($Z75="",""," ")&amp;$Z75&amp;IF($Z75="","","mcd")</f>
        <v>Orange LED clear 2.3V 20mA 315mcd</v>
      </c>
      <c r="E75" t="str" s="15" cm="1">
        <f t="array" ref="E75">IF(ISBLANK(K75),"",HYPERLINK("https://jlcpcb.com/partdetail/"&amp;$K75,$K75))</f>
        <v>C965801</v>
      </c>
      <c r="F75" t="str" s="15" cm="1">
        <f t="array" ref="F75">H75</f>
        <v>Orange</v>
      </c>
      <c r="G75" t="s" s="17">
        <v>713</v>
      </c>
      <c r="H75" t="s" s="17">
        <v>767</v>
      </c>
      <c r="I75" t="s" s="17">
        <v>8</v>
      </c>
      <c r="J75" t="s" s="17">
        <v>715</v>
      </c>
      <c r="K75" t="s" s="19">
        <v>787</v>
      </c>
      <c r="L75" t="s" s="19">
        <v>781</v>
      </c>
      <c r="M75" s="17"/>
      <c r="N75" s="17"/>
      <c r="O75" s="17"/>
      <c r="P75" t="s" s="17">
        <v>435</v>
      </c>
      <c r="Q75" s="17"/>
      <c r="R75" s="17"/>
      <c r="S75" s="17"/>
      <c r="T75" s="17"/>
      <c r="U75" t="s" s="17">
        <v>782</v>
      </c>
      <c r="V75" t="s" s="17">
        <v>719</v>
      </c>
      <c r="W75" s="17"/>
      <c r="X75" t="s" s="17">
        <v>720</v>
      </c>
      <c r="Y75" t="s" s="17">
        <v>788</v>
      </c>
      <c r="Z75" t="s" s="17">
        <v>783</v>
      </c>
      <c r="AA75" s="17"/>
      <c r="AB75" s="24"/>
      <c r="AC75" s="24"/>
      <c r="AD75" s="33">
        <v>3</v>
      </c>
      <c r="AE75" t="s" s="17">
        <v>211</v>
      </c>
      <c r="AF75" t="s" s="25">
        <v>723</v>
      </c>
      <c r="AG75" t="s" s="17">
        <v>789</v>
      </c>
      <c r="AH75" t="s" s="40">
        <v>725</v>
      </c>
      <c r="AI75" t="s" s="23">
        <v>726</v>
      </c>
      <c r="AJ75" t="s" s="17">
        <v>785</v>
      </c>
    </row>
    <row r="76" ht="18.05" customHeight="1">
      <c r="B76" t="str" s="15" cm="1">
        <f t="array" ref="B76">G76&amp;"_"&amp;F76&amp;"_"&amp;P76&amp;"_"&amp;V76</f>
        <v>LED_Yellow_0603_20mA</v>
      </c>
      <c r="C76" t="str" s="16" cm="1">
        <f t="array" ref="C76">$F76&amp;IF($G76="LED"," LED","")&amp;IF($T76="",""," ")&amp;$T76&amp;IF($J76="",""," ")&amp;$J76&amp;IF($U76="",""," ")&amp;$U76&amp;IF($V76="",""," ")&amp;$V76&amp;IF($W76="",""," ")&amp;$W76&amp;IF($Z76="",""," ")&amp;$Z76&amp;IF($Z76="","","mcd")</f>
        <v>Yellow LED clear 2.3V 20mA 450mcd</v>
      </c>
      <c r="D76" t="str" s="16" cm="1">
        <f t="array" ref="D76">$F76&amp;" "&amp;G76&amp;IF($T76="",""," ")&amp;$T76&amp;IF($J76="",""," ")&amp;$J76&amp;IF($U76="",""," ")&amp;$U76&amp;IF($V76="",""," ")&amp;$V76&amp;IF($W76="",""," ")&amp;$W76&amp;IF($Z76="",""," ")&amp;$Z76&amp;IF($Z76="","","mcd")</f>
        <v>Yellow LED clear 2.3V 20mA 450mcd</v>
      </c>
      <c r="E76" t="str" s="15" cm="1">
        <f t="array" ref="E76">IF(ISBLANK(K76),"",HYPERLINK("https://jlcpcb.com/partdetail/"&amp;$K76,$K76))</f>
        <v>C965803</v>
      </c>
      <c r="F76" t="str" s="15" cm="1">
        <f t="array" ref="F76">H76</f>
        <v>Yellow</v>
      </c>
      <c r="G76" t="s" s="17">
        <v>713</v>
      </c>
      <c r="H76" t="s" s="17">
        <v>794</v>
      </c>
      <c r="I76" t="s" s="17">
        <v>8</v>
      </c>
      <c r="J76" t="s" s="17">
        <v>715</v>
      </c>
      <c r="K76" t="s" s="19">
        <v>795</v>
      </c>
      <c r="L76" t="s" s="19">
        <v>796</v>
      </c>
      <c r="M76" s="17"/>
      <c r="N76" s="17"/>
      <c r="O76" s="17"/>
      <c r="P76" t="s" s="17">
        <v>435</v>
      </c>
      <c r="Q76" s="17"/>
      <c r="R76" s="17"/>
      <c r="S76" s="17"/>
      <c r="T76" s="17"/>
      <c r="U76" t="s" s="17">
        <v>782</v>
      </c>
      <c r="V76" t="s" s="17">
        <v>719</v>
      </c>
      <c r="W76" s="17"/>
      <c r="X76" t="s" s="17">
        <v>720</v>
      </c>
      <c r="Y76" t="s" s="17">
        <v>797</v>
      </c>
      <c r="Z76" t="s" s="17">
        <v>798</v>
      </c>
      <c r="AA76" s="17"/>
      <c r="AB76" s="24"/>
      <c r="AC76" s="24"/>
      <c r="AD76" s="33">
        <v>10</v>
      </c>
      <c r="AE76" t="s" s="17">
        <v>211</v>
      </c>
      <c r="AF76" t="s" s="25">
        <v>723</v>
      </c>
      <c r="AG76" t="s" s="17">
        <v>799</v>
      </c>
      <c r="AH76" t="s" s="40">
        <v>725</v>
      </c>
      <c r="AI76" t="s" s="23">
        <v>726</v>
      </c>
      <c r="AJ76" t="s" s="17">
        <v>800</v>
      </c>
    </row>
    <row r="77" ht="18.9" customHeight="1">
      <c r="B77" t="str" s="15" cm="1">
        <f t="array" ref="B77">G77&amp;"_"&amp;F77&amp;"_"&amp;P77&amp;"_"&amp;V77</f>
        <v>LED_Red_0603_20mA</v>
      </c>
      <c r="C77" t="str" s="16" cm="1">
        <f t="array" ref="C77">$F77&amp;IF($G77="LED"," LED","")&amp;IF($T77="",""," ")&amp;$T77&amp;IF($J77="",""," ")&amp;$J77&amp;IF($U77="",""," ")&amp;$U77&amp;IF($V77="",""," ")&amp;$V77&amp;IF($W77="",""," ")&amp;$W77&amp;IF($Z77="",""," ")&amp;$Z77&amp;IF($Z77="","","mcd")</f>
        <v>Red LED clear 2.2V 20mA 150mcd</v>
      </c>
      <c r="D77" t="str" s="16" cm="1">
        <f t="array" ref="D77">$F77&amp;" "&amp;G77&amp;IF($T77="",""," ")&amp;$T77&amp;IF($J77="",""," ")&amp;$J77&amp;IF($U77="",""," ")&amp;$U77&amp;IF($V77="",""," ")&amp;$V77&amp;IF($W77="",""," ")&amp;$W77&amp;IF($Z77="",""," ")&amp;$Z77&amp;IF($Z77="","","mcd")</f>
        <v>Red LED clear 2.2V 20mA 150mcd</v>
      </c>
      <c r="E77" t="str" s="15" cm="1">
        <f t="array" ref="E77">IF(ISBLANK(K77),"",HYPERLINK("https://jlcpcb.com/partdetail/"&amp;$K77,$K77))</f>
        <v>C7288939</v>
      </c>
      <c r="F77" t="str" s="15" cm="1">
        <f t="array" ref="F77">H77</f>
        <v>Red</v>
      </c>
      <c r="G77" t="s" s="17">
        <v>713</v>
      </c>
      <c r="H77" t="s" s="17">
        <v>805</v>
      </c>
      <c r="I77" t="s" s="17">
        <v>8</v>
      </c>
      <c r="J77" t="s" s="17">
        <v>715</v>
      </c>
      <c r="K77" t="s" s="19">
        <v>806</v>
      </c>
      <c r="L77" t="s" s="19">
        <v>807</v>
      </c>
      <c r="M77" s="17"/>
      <c r="N77" s="17"/>
      <c r="O77" s="17"/>
      <c r="P77" t="s" s="17">
        <v>435</v>
      </c>
      <c r="Q77" s="17"/>
      <c r="R77" s="17"/>
      <c r="S77" s="17"/>
      <c r="T77" s="17"/>
      <c r="U77" t="s" s="17">
        <v>770</v>
      </c>
      <c r="V77" t="s" s="17">
        <v>719</v>
      </c>
      <c r="W77" s="17"/>
      <c r="X77" s="17"/>
      <c r="Y77" s="17"/>
      <c r="Z77" t="s" s="17">
        <v>808</v>
      </c>
      <c r="AA77" s="17"/>
      <c r="AB77" s="24"/>
      <c r="AC77" s="24"/>
      <c r="AD77" s="33">
        <v>2</v>
      </c>
      <c r="AE77" t="s" s="17">
        <v>438</v>
      </c>
      <c r="AF77" t="s" s="25">
        <v>809</v>
      </c>
      <c r="AG77" t="s" s="17">
        <v>810</v>
      </c>
      <c r="AH77" t="s" s="22">
        <v>725</v>
      </c>
      <c r="AI77" t="s" s="23">
        <v>726</v>
      </c>
      <c r="AJ77" t="s" s="17">
        <v>811</v>
      </c>
    </row>
    <row r="78" ht="18.9" customHeight="1">
      <c r="B78" t="str" s="15" cm="1">
        <f t="array" ref="B78">G78&amp;"_"&amp;F78&amp;"_"&amp;P78&amp;"_"&amp;V78</f>
        <v>LED_Red_0603_20mA</v>
      </c>
      <c r="C78" t="str" s="16" cm="1">
        <f t="array" ref="C78">$F78&amp;IF($G78="LED"," LED","")&amp;IF($T78="",""," ")&amp;$T78&amp;IF($J78="",""," ")&amp;$J78&amp;IF($U78="",""," ")&amp;$U78&amp;IF($V78="",""," ")&amp;$V78&amp;IF($W78="",""," ")&amp;$W78&amp;IF($Z78="",""," ")&amp;$Z78&amp;IF($Z78="","","mcd")</f>
        <v>Red LED clear 2.3V 20mA 330mcd</v>
      </c>
      <c r="D78" t="str" s="16" cm="1">
        <f t="array" ref="D78">$F78&amp;" "&amp;G78&amp;IF($T78="",""," ")&amp;$T78&amp;IF($J78="",""," ")&amp;$J78&amp;IF($U78="",""," ")&amp;$U78&amp;IF($V78="",""," ")&amp;$V78&amp;IF($W78="",""," ")&amp;$W78&amp;IF($Z78="",""," ")&amp;$Z78&amp;IF($Z78="","","mcd")</f>
        <v>Red LED clear 2.3V 20mA 330mcd</v>
      </c>
      <c r="E78" t="str" s="15" cm="1">
        <f t="array" ref="E78">IF(ISBLANK(K78),"",HYPERLINK("https://jlcpcb.com/partdetail/"&amp;$K78,$K78))</f>
        <v>C965799</v>
      </c>
      <c r="F78" t="str" s="15" cm="1">
        <f t="array" ref="F78">H78</f>
        <v>Red</v>
      </c>
      <c r="G78" t="s" s="17">
        <v>713</v>
      </c>
      <c r="H78" t="s" s="17">
        <v>805</v>
      </c>
      <c r="I78" t="s" s="17">
        <v>8</v>
      </c>
      <c r="J78" t="s" s="17">
        <v>715</v>
      </c>
      <c r="K78" t="s" s="19">
        <v>814</v>
      </c>
      <c r="L78" t="s" s="19">
        <v>815</v>
      </c>
      <c r="M78" s="17"/>
      <c r="N78" s="17"/>
      <c r="O78" s="17"/>
      <c r="P78" t="s" s="17">
        <v>435</v>
      </c>
      <c r="Q78" s="17"/>
      <c r="R78" s="17"/>
      <c r="S78" s="17"/>
      <c r="T78" s="17"/>
      <c r="U78" t="s" s="17">
        <v>782</v>
      </c>
      <c r="V78" t="s" s="17">
        <v>719</v>
      </c>
      <c r="W78" s="17"/>
      <c r="X78" s="17"/>
      <c r="Y78" s="17"/>
      <c r="Z78" t="s" s="17">
        <v>816</v>
      </c>
      <c r="AA78" s="17"/>
      <c r="AB78" s="24"/>
      <c r="AC78" s="24"/>
      <c r="AD78" s="33">
        <v>1</v>
      </c>
      <c r="AE78" t="s" s="17">
        <v>438</v>
      </c>
      <c r="AF78" t="s" s="25">
        <v>723</v>
      </c>
      <c r="AG78" t="s" s="17">
        <v>817</v>
      </c>
      <c r="AH78" t="s" s="22">
        <v>725</v>
      </c>
      <c r="AI78" t="s" s="23">
        <v>726</v>
      </c>
      <c r="AJ78" t="s" s="17">
        <v>818</v>
      </c>
    </row>
    <row r="79" ht="18.05" customHeight="1">
      <c r="B79" t="str" s="15" cm="1">
        <f t="array" ref="B79">G79&amp;"_"&amp;F79&amp;"_"&amp;P79&amp;"_"&amp;V79</f>
        <v>LED_Red_0603_20mA</v>
      </c>
      <c r="C79" t="str" s="16" cm="1">
        <f t="array" ref="C79">$F79&amp;IF($G79="LED"," LED","")&amp;IF($T79="",""," ")&amp;$T79&amp;IF($J79="",""," ")&amp;$J79&amp;IF($U79="",""," ")&amp;$U79&amp;IF($V79="",""," ")&amp;$V79&amp;IF($W79="",""," ")&amp;$W79&amp;IF($Z79="",""," ")&amp;$Z79&amp;IF($Z79="","","mcd")</f>
        <v>Red LED clear 2.4V 20mA 360mcd</v>
      </c>
      <c r="D79" t="str" s="16" cm="1">
        <f t="array" ref="D79">$F79&amp;" "&amp;G79&amp;IF($T79="",""," ")&amp;$T79&amp;IF($J79="",""," ")&amp;$J79&amp;IF($U79="",""," ")&amp;$U79&amp;IF($V79="",""," ")&amp;$V79&amp;IF($W79="",""," ")&amp;$W79&amp;IF($Z79="",""," ")&amp;$Z79&amp;IF($Z79="","","mcd")</f>
        <v>Red LED clear 2.4V 20mA 360mcd</v>
      </c>
      <c r="E79" t="str" s="15" cm="1">
        <f t="array" ref="E79">IF(ISBLANK(K79),"",HYPERLINK("https://jlcpcb.com/partdetail/"&amp;$K79,$K79))</f>
        <v>C965798</v>
      </c>
      <c r="F79" t="str" s="15" cm="1">
        <f t="array" ref="F79">H79</f>
        <v>Red</v>
      </c>
      <c r="G79" t="s" s="17">
        <v>713</v>
      </c>
      <c r="H79" t="s" s="17">
        <v>805</v>
      </c>
      <c r="I79" t="s" s="17">
        <v>8</v>
      </c>
      <c r="J79" t="s" s="17">
        <v>715</v>
      </c>
      <c r="K79" t="s" s="19">
        <v>821</v>
      </c>
      <c r="L79" t="s" s="19">
        <v>822</v>
      </c>
      <c r="M79" s="17"/>
      <c r="N79" s="17"/>
      <c r="O79" s="17"/>
      <c r="P79" t="s" s="17">
        <v>435</v>
      </c>
      <c r="Q79" s="17"/>
      <c r="R79" s="17"/>
      <c r="S79" s="17"/>
      <c r="T79" s="17"/>
      <c r="U79" t="s" s="17">
        <v>759</v>
      </c>
      <c r="V79" t="s" s="17">
        <v>719</v>
      </c>
      <c r="W79" s="17"/>
      <c r="X79" t="s" s="17">
        <v>720</v>
      </c>
      <c r="Y79" t="s" s="17">
        <v>823</v>
      </c>
      <c r="Z79" t="s" s="17">
        <v>824</v>
      </c>
      <c r="AA79" s="17"/>
      <c r="AB79" s="24"/>
      <c r="AC79" s="24"/>
      <c r="AD79" s="33">
        <v>3</v>
      </c>
      <c r="AE79" t="s" s="17">
        <v>211</v>
      </c>
      <c r="AF79" t="s" s="25">
        <v>723</v>
      </c>
      <c r="AG79" t="s" s="46">
        <v>825</v>
      </c>
      <c r="AH79" t="s" s="40">
        <v>725</v>
      </c>
      <c r="AI79" t="s" s="23">
        <v>726</v>
      </c>
      <c r="AJ79" t="s" s="17">
        <v>826</v>
      </c>
    </row>
    <row r="80" ht="18.05" customHeight="1">
      <c r="B80" t="str" s="15" cm="1">
        <f t="array" ref="B80">G80&amp;"_"&amp;F80&amp;"_"&amp;P80</f>
        <v>LED_WS2812B_SMD5050</v>
      </c>
      <c r="C80" t="str" s="16" cm="1">
        <f t="array" ref="C80">$F80&amp;IF($G80="LED"," LED","")&amp;IF($T80="",""," ")&amp;$T80&amp;IF($J80="",""," ")&amp;$J80&amp;IF($U80="",""," ")&amp;$U80&amp;IF($V80="",""," ")&amp;$V80&amp;IF($W80="",""," ")&amp;$W80&amp;IF($Z80="",""," ")&amp;$Z80&amp;IF($Z80="","","mcd")</f>
        <v>WS2812B LED WS2812B-WS2812B5050 5v 12mA</v>
      </c>
      <c r="D80" t="str" s="16" cm="1">
        <f t="array" ref="D80">$F80&amp;" "&amp;G80&amp;IF($T80="",""," ")&amp;$T80&amp;IF($J80="",""," ")&amp;$J80&amp;IF($U80="",""," ")&amp;$U80&amp;IF($V80="",""," ")&amp;$V80&amp;IF($W80="",""," ")&amp;$W80&amp;IF($Z80="",""," ")&amp;$Z80&amp;IF($Z80="","","mcd")</f>
        <v>WS2812B LED WS2812B-WS2812B5050 5v 12mA</v>
      </c>
      <c r="E80" t="str" s="15" cm="1">
        <f t="array" ref="E80">IF(ISBLANK(K80),"",HYPERLINK("https://jlcpcb.com/partdetail/"&amp;$K80,$K80))</f>
        <v>C2843785</v>
      </c>
      <c r="F80" t="str" s="15" cm="1">
        <f t="array" ref="F80">H80</f>
        <v>WS2812B</v>
      </c>
      <c r="G80" t="s" s="17">
        <v>713</v>
      </c>
      <c r="H80" t="s" s="17">
        <v>831</v>
      </c>
      <c r="I80" t="s" s="17">
        <v>8</v>
      </c>
      <c r="J80" t="s" s="17">
        <v>832</v>
      </c>
      <c r="K80" t="s" s="19">
        <v>833</v>
      </c>
      <c r="L80" t="s" s="36">
        <v>834</v>
      </c>
      <c r="M80" s="17"/>
      <c r="N80" s="17"/>
      <c r="O80" s="17"/>
      <c r="P80" t="s" s="17">
        <v>835</v>
      </c>
      <c r="Q80" s="17"/>
      <c r="R80" s="17"/>
      <c r="S80" s="17"/>
      <c r="T80" s="17"/>
      <c r="U80" t="s" s="17">
        <v>836</v>
      </c>
      <c r="V80" t="s" s="17">
        <v>837</v>
      </c>
      <c r="W80" s="17"/>
      <c r="X80" s="17"/>
      <c r="Y80" s="17"/>
      <c r="Z80" s="17"/>
      <c r="AA80" s="17"/>
      <c r="AB80" s="24"/>
      <c r="AC80" s="24"/>
      <c r="AD80" s="33">
        <v>1</v>
      </c>
      <c r="AE80" t="s" s="17">
        <v>211</v>
      </c>
      <c r="AF80" t="s" s="25">
        <v>723</v>
      </c>
      <c r="AG80" t="s" s="35">
        <v>838</v>
      </c>
      <c r="AH80" t="s" s="22">
        <v>839</v>
      </c>
      <c r="AI80" t="s" s="23">
        <v>839</v>
      </c>
      <c r="AJ80" t="s" s="17">
        <v>840</v>
      </c>
    </row>
    <row r="81" ht="19" customHeight="1">
      <c r="B81" t="str" s="15" cm="1">
        <f t="array" ref="B81">G81&amp;"_"&amp;F81&amp;"_"&amp;P81</f>
        <v>REG_AMS1117-ADJ_SOT-223-3</v>
      </c>
      <c r="C81" t="str" s="16" cm="1">
        <f t="array" ref="C81">$F81&amp;IF($G81="LED"," LED","")&amp;IF($T81="",""," ")&amp;$T81&amp;IF($J81="",""," ")&amp;$J81&amp;IF($U81="",""," ")&amp;$U81&amp;IF($V81="",""," ")&amp;$V81&amp;IF($W81="",""," ")&amp;$W81&amp;IF($Z81="",""," ")&amp;$Z81&amp;IF($Z81="","","mcd")</f>
        <v>AMS1117-ADJ ADJ 1.25-10.5v 1A</v>
      </c>
      <c r="D81" t="str" s="16" cm="1">
        <f t="array" ref="D81">$F81&amp;" "&amp;G81&amp;IF($T81="",""," ")&amp;$T81&amp;IF($J81="",""," ")&amp;$J81&amp;IF($U81="",""," ")&amp;$U81&amp;IF($V81="",""," ")&amp;$V81&amp;IF($W81="",""," ")&amp;$W81&amp;IF($Z81="",""," ")&amp;$Z81&amp;IF($Z81="","","mcd")</f>
        <v>AMS1117-ADJ REG ADJ 1.25-10.5v 1A</v>
      </c>
      <c r="E81" t="str" s="15" cm="1">
        <f t="array" ref="E81">IF(ISBLANK(K81),"",HYPERLINK("https://jlcpcb.com/partdetail/"&amp;$K81,$K81))</f>
        <v>C5345985</v>
      </c>
      <c r="F81" t="str" s="15" cm="1">
        <f t="array" ref="F81">H81</f>
        <v>AMS1117-ADJ</v>
      </c>
      <c r="G81" t="s" s="17">
        <v>846</v>
      </c>
      <c r="H81" t="str" s="18" cm="1">
        <f t="array" ref="H81">AG81</f>
        <v>AMS1117-ADJ</v>
      </c>
      <c r="I81" t="s" s="17">
        <v>8</v>
      </c>
      <c r="J81" t="s" s="17">
        <v>848</v>
      </c>
      <c r="K81" t="s" s="19">
        <v>849</v>
      </c>
      <c r="L81" t="s" s="36">
        <v>850</v>
      </c>
      <c r="M81" s="19"/>
      <c r="N81" s="19"/>
      <c r="O81" s="19"/>
      <c r="P81" t="s" s="19">
        <v>851</v>
      </c>
      <c r="Q81" s="17"/>
      <c r="R81" s="17"/>
      <c r="S81" s="19"/>
      <c r="T81" s="17"/>
      <c r="U81" t="s" s="17">
        <v>852</v>
      </c>
      <c r="V81" t="s" s="35">
        <v>853</v>
      </c>
      <c r="W81" s="35"/>
      <c r="X81" s="35"/>
      <c r="Y81" s="35"/>
      <c r="Z81" s="17"/>
      <c r="AA81" s="17"/>
      <c r="AB81" s="24"/>
      <c r="AC81" s="24"/>
      <c r="AD81" s="33">
        <v>10</v>
      </c>
      <c r="AE81" t="s" s="17">
        <v>211</v>
      </c>
      <c r="AF81" t="s" s="26">
        <v>854</v>
      </c>
      <c r="AG81" t="s" s="19">
        <v>847</v>
      </c>
      <c r="AH81" t="s" s="25">
        <v>855</v>
      </c>
      <c r="AI81" t="s" s="23">
        <v>856</v>
      </c>
      <c r="AJ81" t="s" s="17">
        <v>857</v>
      </c>
    </row>
    <row r="82" ht="19" customHeight="1">
      <c r="B82" t="str" s="15" cm="1">
        <f t="array" ref="B82">G82&amp;"_"&amp;F82&amp;"_"&amp;P82</f>
        <v>REG_AMS1117-3.3_SOT-223-3</v>
      </c>
      <c r="C82" t="str" s="16" cm="1">
        <f t="array" ref="C82">$F82&amp;IF($G82="LED"," LED","")&amp;IF($T82="",""," ")&amp;$T82&amp;IF($J82="",""," ")&amp;$J82&amp;IF($U82="",""," ")&amp;$U82&amp;IF($V82="",""," ")&amp;$V82&amp;IF($W82="",""," ")&amp;$W82&amp;IF($Z82="",""," ")&amp;$Z82&amp;IF($Z82="","","mcd")</f>
        <v>AMS1117-3.3 3v3 3v3 1A</v>
      </c>
      <c r="D82" t="str" s="16" cm="1">
        <f t="array" ref="D82">$F82&amp;" "&amp;G82&amp;IF($T82="",""," ")&amp;$T82&amp;IF($J82="",""," ")&amp;$J82&amp;IF($U82="",""," ")&amp;$U82&amp;IF($V82="",""," ")&amp;$V82&amp;IF($W82="",""," ")&amp;$W82&amp;IF($Z82="",""," ")&amp;$Z82&amp;IF($Z82="","","mcd")</f>
        <v>AMS1117-3.3 REG 3v3 3v3 1A</v>
      </c>
      <c r="E82" t="str" s="15" cm="1">
        <f t="array" ref="E82">IF(ISBLANK(K82),"",HYPERLINK("https://jlcpcb.com/partdetail/"&amp;$K82,$K82))</f>
        <v>C5345982</v>
      </c>
      <c r="F82" t="str" s="15" cm="1">
        <f t="array" ref="F82">H82</f>
        <v>AMS1117-3.3</v>
      </c>
      <c r="G82" t="s" s="17">
        <v>846</v>
      </c>
      <c r="H82" t="str" s="18" cm="1">
        <f t="array" ref="H82">AG82</f>
        <v>AMS1117-3.3</v>
      </c>
      <c r="I82" t="s" s="17">
        <v>8</v>
      </c>
      <c r="J82" t="s" s="17">
        <v>864</v>
      </c>
      <c r="K82" t="s" s="19">
        <v>865</v>
      </c>
      <c r="L82" t="s" s="36">
        <v>866</v>
      </c>
      <c r="M82" s="19"/>
      <c r="N82" s="19"/>
      <c r="O82" s="19"/>
      <c r="P82" t="s" s="19">
        <v>851</v>
      </c>
      <c r="Q82" s="17"/>
      <c r="R82" s="17"/>
      <c r="S82" s="19"/>
      <c r="T82" s="17"/>
      <c r="U82" t="s" s="17">
        <v>864</v>
      </c>
      <c r="V82" t="s" s="35">
        <v>853</v>
      </c>
      <c r="W82" s="35"/>
      <c r="X82" s="35"/>
      <c r="Y82" s="35"/>
      <c r="Z82" s="17"/>
      <c r="AA82" s="17"/>
      <c r="AB82" s="24"/>
      <c r="AC82" s="24"/>
      <c r="AD82" s="33">
        <v>10</v>
      </c>
      <c r="AE82" t="s" s="17">
        <v>211</v>
      </c>
      <c r="AF82" t="s" s="26">
        <v>854</v>
      </c>
      <c r="AG82" t="s" s="19">
        <v>863</v>
      </c>
      <c r="AH82" t="s" s="25">
        <v>855</v>
      </c>
      <c r="AI82" t="s" s="23">
        <v>856</v>
      </c>
      <c r="AJ82" t="s" s="17">
        <v>867</v>
      </c>
    </row>
    <row r="83" ht="19" customHeight="1">
      <c r="B83" t="str" s="15" cm="1">
        <f t="array" ref="B83">G83&amp;"_"&amp;F83&amp;"_"&amp;P83</f>
        <v>REG_AMS1117-5.0_SOT-223-3</v>
      </c>
      <c r="C83" t="str" s="16" cm="1">
        <f t="array" ref="C83">$F83&amp;IF($G83="LED"," LED","")&amp;IF($T83="",""," ")&amp;$T83&amp;IF($J83="",""," ")&amp;$J83&amp;IF($U83="",""," ")&amp;$U83&amp;IF($V83="",""," ")&amp;$V83&amp;IF($W83="",""," ")&amp;$W83&amp;IF($Z83="",""," ")&amp;$Z83&amp;IF($Z83="","","mcd")</f>
        <v>AMS1117-5.0 5v 5v0 1A</v>
      </c>
      <c r="D83" t="str" s="16" cm="1">
        <f t="array" ref="D83">$F83&amp;" "&amp;G83&amp;IF($T83="",""," ")&amp;$T83&amp;IF($J83="",""," ")&amp;$J83&amp;IF($U83="",""," ")&amp;$U83&amp;IF($V83="",""," ")&amp;$V83&amp;IF($W83="",""," ")&amp;$W83&amp;IF($Z83="",""," ")&amp;$Z83&amp;IF($Z83="","","mcd")</f>
        <v>AMS1117-5.0 REG 5v 5v0 1A</v>
      </c>
      <c r="E83" t="str" s="15" cm="1">
        <f t="array" ref="E83">IF(ISBLANK(K83),"",HYPERLINK("https://jlcpcb.com/partdetail/"&amp;$K83,$K83))</f>
        <v>C5345984</v>
      </c>
      <c r="F83" t="str" s="15" cm="1">
        <f t="array" ref="F83">H83</f>
        <v>AMS1117-5.0</v>
      </c>
      <c r="G83" t="s" s="17">
        <v>846</v>
      </c>
      <c r="H83" t="str" s="18" cm="1">
        <f t="array" ref="H83">AG83</f>
        <v>AMS1117-5.0</v>
      </c>
      <c r="I83" t="s" s="17">
        <v>8</v>
      </c>
      <c r="J83" t="s" s="17">
        <v>836</v>
      </c>
      <c r="K83" t="s" s="19">
        <v>874</v>
      </c>
      <c r="L83" t="s" s="36">
        <v>875</v>
      </c>
      <c r="M83" s="19"/>
      <c r="N83" s="19"/>
      <c r="O83" s="19"/>
      <c r="P83" t="s" s="19">
        <v>851</v>
      </c>
      <c r="Q83" s="17"/>
      <c r="R83" s="17"/>
      <c r="S83" s="19"/>
      <c r="T83" s="17"/>
      <c r="U83" t="s" s="17">
        <v>876</v>
      </c>
      <c r="V83" t="s" s="35">
        <v>853</v>
      </c>
      <c r="W83" s="35"/>
      <c r="X83" s="35"/>
      <c r="Y83" s="35"/>
      <c r="Z83" s="17"/>
      <c r="AA83" s="17"/>
      <c r="AB83" s="24"/>
      <c r="AC83" s="24"/>
      <c r="AD83" s="33">
        <v>1</v>
      </c>
      <c r="AE83" t="s" s="17">
        <v>211</v>
      </c>
      <c r="AF83" t="s" s="26">
        <v>854</v>
      </c>
      <c r="AG83" t="s" s="19">
        <v>873</v>
      </c>
      <c r="AH83" t="s" s="25">
        <v>855</v>
      </c>
      <c r="AI83" t="s" s="23">
        <v>856</v>
      </c>
      <c r="AJ83" t="s" s="17">
        <v>877</v>
      </c>
    </row>
    <row r="84" ht="19" customHeight="1">
      <c r="B84" t="str" s="15" cm="1">
        <f t="array" ref="B84">G84&amp;"_"&amp;F84&amp;"_"&amp;P84</f>
        <v>REG_78L05_TO-220</v>
      </c>
      <c r="C84" t="str" s="16" cm="1">
        <f t="array" ref="C84">$F84&amp;IF($G84="LED"," LED","")&amp;IF($T84="",""," ")&amp;$T84&amp;IF($J84="",""," ")&amp;$J84&amp;IF($U84="",""," ")&amp;$U84&amp;IF($V84="",""," ")&amp;$V84&amp;IF($W84="",""," ")&amp;$W84&amp;IF($Z84="",""," ")&amp;$Z84&amp;IF($Z84="","","mcd")</f>
        <v>78L05 5v 5v 1A</v>
      </c>
      <c r="D84" t="str" s="16" cm="1">
        <f t="array" ref="D84">$F84&amp;" "&amp;G84&amp;IF($T84="",""," ")&amp;$T84&amp;IF($J84="",""," ")&amp;$J84&amp;IF($U84="",""," ")&amp;$U84&amp;IF($V84="",""," ")&amp;$V84&amp;IF($W84="",""," ")&amp;$W84&amp;IF($Z84="",""," ")&amp;$Z84&amp;IF($Z84="","","mcd")</f>
        <v>78L05 REG 5v 5v 1A</v>
      </c>
      <c r="E84" t="str" s="15" cm="1">
        <f t="array" ref="E84">IF(ISBLANK(K84),"",HYPERLINK("https://jlcpcb.com/partdetail/"&amp;$K84,$K84))</f>
      </c>
      <c r="F84" t="str" s="15" cm="1">
        <f t="array" ref="F84">H84</f>
        <v>78L05</v>
      </c>
      <c r="G84" t="s" s="17">
        <v>846</v>
      </c>
      <c r="H84" t="s" s="35">
        <v>882</v>
      </c>
      <c r="I84" t="s" s="17">
        <v>204</v>
      </c>
      <c r="J84" t="s" s="17">
        <v>836</v>
      </c>
      <c r="K84" s="24"/>
      <c r="L84" t="s" s="36">
        <v>883</v>
      </c>
      <c r="M84" s="19"/>
      <c r="N84" s="19"/>
      <c r="O84" s="19"/>
      <c r="P84" t="s" s="19">
        <v>884</v>
      </c>
      <c r="Q84" s="17"/>
      <c r="R84" s="17"/>
      <c r="S84" s="19"/>
      <c r="T84" s="17"/>
      <c r="U84" t="s" s="17">
        <v>836</v>
      </c>
      <c r="V84" t="s" s="35">
        <v>853</v>
      </c>
      <c r="W84" s="35"/>
      <c r="X84" s="35"/>
      <c r="Y84" s="35"/>
      <c r="Z84" s="17"/>
      <c r="AA84" s="17"/>
      <c r="AB84" s="24"/>
      <c r="AC84" s="24"/>
      <c r="AD84" s="33">
        <v>10</v>
      </c>
      <c r="AE84" t="s" s="17">
        <v>211</v>
      </c>
      <c r="AF84" s="47"/>
      <c r="AG84" s="24"/>
      <c r="AH84" s="21"/>
      <c r="AI84" s="29"/>
      <c r="AJ84" s="18"/>
    </row>
    <row r="85" ht="19" customHeight="1">
      <c r="B85" t="str" s="15" cm="1">
        <f t="array" ref="B85">G85&amp;"_"&amp;F85&amp;"_"&amp;P85</f>
        <v>REG_78M05_TO-252-2</v>
      </c>
      <c r="C85" t="str" s="16" cm="1">
        <f t="array" ref="C85">$F85&amp;IF($G85="LED"," LED","")&amp;IF($T85="",""," ")&amp;$T85&amp;IF($J85="",""," ")&amp;$J85&amp;IF($U85="",""," ")&amp;$U85&amp;IF($V85="",""," ")&amp;$V85&amp;IF($W85="",""," ")&amp;$W85&amp;IF($Z85="",""," ")&amp;$Z85&amp;IF($Z85="","","mcd")</f>
        <v>78M05 5v 5v 1A</v>
      </c>
      <c r="D85" t="str" s="16" cm="1">
        <f t="array" ref="D85">$F85&amp;" "&amp;G85&amp;IF($T85="",""," ")&amp;$T85&amp;IF($J85="",""," ")&amp;$J85&amp;IF($U85="",""," ")&amp;$U85&amp;IF($V85="",""," ")&amp;$V85&amp;IF($W85="",""," ")&amp;$W85&amp;IF($Z85="",""," ")&amp;$Z85&amp;IF($Z85="","","mcd")</f>
        <v>78M05 REG 5v 5v 1A</v>
      </c>
      <c r="E85" t="str" s="15" cm="1">
        <f t="array" ref="E85">IF(ISBLANK(K85),"",HYPERLINK("https://jlcpcb.com/partdetail/"&amp;$K85,$K85))</f>
        <v>C347278</v>
      </c>
      <c r="F85" t="s" s="30">
        <v>889</v>
      </c>
      <c r="G85" t="s" s="17">
        <v>846</v>
      </c>
      <c r="H85" t="s" s="35">
        <v>889</v>
      </c>
      <c r="I85" t="s" s="17">
        <v>8</v>
      </c>
      <c r="J85" t="s" s="17">
        <v>836</v>
      </c>
      <c r="K85" t="s" s="19">
        <v>890</v>
      </c>
      <c r="L85" t="s" s="36">
        <v>891</v>
      </c>
      <c r="M85" s="19"/>
      <c r="N85" s="19"/>
      <c r="O85" s="19"/>
      <c r="P85" t="s" s="19">
        <v>892</v>
      </c>
      <c r="Q85" s="17"/>
      <c r="R85" s="17"/>
      <c r="S85" s="19"/>
      <c r="T85" s="17"/>
      <c r="U85" t="s" s="17">
        <v>836</v>
      </c>
      <c r="V85" t="s" s="35">
        <v>853</v>
      </c>
      <c r="W85" s="35"/>
      <c r="X85" s="35"/>
      <c r="Y85" s="35"/>
      <c r="Z85" s="17"/>
      <c r="AA85" s="17"/>
      <c r="AB85" s="24"/>
      <c r="AC85" s="24"/>
      <c r="AD85" s="42"/>
      <c r="AE85" s="18"/>
      <c r="AF85" t="s" s="26">
        <v>893</v>
      </c>
      <c r="AG85" t="s" s="19">
        <v>889</v>
      </c>
      <c r="AH85" t="s" s="25">
        <v>894</v>
      </c>
      <c r="AI85" t="s" s="23">
        <v>895</v>
      </c>
      <c r="AJ85" t="s" s="17">
        <v>896</v>
      </c>
    </row>
    <row r="86" ht="19" customHeight="1">
      <c r="B86" t="str" s="15" cm="1">
        <f t="array" ref="B86">G86&amp;"_"&amp;F86&amp;"_"&amp;P86</f>
        <v>RLY_G2RL-2_29x12.7x15.7mm</v>
      </c>
      <c r="C86" t="str" s="16" cm="1">
        <f t="array" ref="C86">$F86&amp;IF($G86="LED"," LED","")&amp;IF($T86="",""," ")&amp;$T86&amp;IF($J86="",""," ")&amp;$J86&amp;IF($U86="",""," ")&amp;$U86&amp;IF($V86="",""," ")&amp;$V86&amp;IF($W86="",""," ")&amp;$W86&amp;IF($Z86="",""," ")&amp;$Z86&amp;IF($Z86="","","mcd")</f>
        <v>G2RL-2 24v DPDT 24v 8A</v>
      </c>
      <c r="D86" t="str" s="16" cm="1">
        <f t="array" ref="D86">$F86&amp;" "&amp;G86&amp;IF($T86="",""," ")&amp;$T86&amp;IF($J86="",""," ")&amp;$J86&amp;IF($U86="",""," ")&amp;$U86&amp;IF($V86="",""," ")&amp;$V86&amp;IF($W86="",""," ")&amp;$W86&amp;IF($Z86="",""," ")&amp;$Z86&amp;IF($Z86="","","mcd")</f>
        <v>G2RL-2 RLY 24v DPDT 24v 8A</v>
      </c>
      <c r="E86" t="str" s="15" cm="1">
        <f t="array" ref="E86">IF(ISBLANK(K86),"",HYPERLINK("https://jlcpcb.com/partdetail/"&amp;$K86,$K86))</f>
      </c>
      <c r="F86" t="str" s="15" cm="1">
        <f t="array" ref="F86">H86</f>
        <v>G2RL-2</v>
      </c>
      <c r="G86" t="s" s="17">
        <v>901</v>
      </c>
      <c r="H86" t="s" s="17">
        <v>902</v>
      </c>
      <c r="I86" t="s" s="17">
        <v>204</v>
      </c>
      <c r="J86" t="s" s="17">
        <v>903</v>
      </c>
      <c r="K86" s="24"/>
      <c r="L86" t="s" s="36">
        <v>904</v>
      </c>
      <c r="M86" s="19"/>
      <c r="N86" s="19"/>
      <c r="O86" s="19"/>
      <c r="P86" t="s" s="19">
        <v>905</v>
      </c>
      <c r="Q86" s="17"/>
      <c r="R86" s="17"/>
      <c r="S86" s="19"/>
      <c r="T86" s="17"/>
      <c r="U86" t="s" s="17">
        <v>906</v>
      </c>
      <c r="V86" t="s" s="35">
        <v>907</v>
      </c>
      <c r="W86" s="35"/>
      <c r="X86" s="35"/>
      <c r="Y86" s="35"/>
      <c r="Z86" s="17"/>
      <c r="AA86" s="17"/>
      <c r="AB86" s="24"/>
      <c r="AC86" s="24"/>
      <c r="AD86" s="33">
        <v>10</v>
      </c>
      <c r="AE86" t="s" s="17">
        <v>211</v>
      </c>
      <c r="AF86" t="s" s="26">
        <v>908</v>
      </c>
      <c r="AG86" t="s" s="19">
        <v>909</v>
      </c>
      <c r="AH86" t="s" s="25">
        <v>910</v>
      </c>
      <c r="AI86" t="s" s="23">
        <v>911</v>
      </c>
      <c r="AJ86" t="s" s="17">
        <v>912</v>
      </c>
    </row>
    <row r="87" ht="19" customHeight="1">
      <c r="B87" t="str" s="15" cm="1">
        <f t="array" ref="B87">G87&amp;"_"&amp;J87&amp;"_"&amp;V87&amp;"_"&amp;P88&amp;"_"&amp;F87</f>
        <v>Q_NPN_600mA_SOT-23_MMBT2222LT1G</v>
      </c>
      <c r="C87" t="str" s="16" cm="1">
        <f t="array" ref="C87">$F87&amp;IF($G87="LED"," LED","")&amp;IF($T87="",""," ")&amp;$T87&amp;IF($J87="",""," ")&amp;$J87&amp;IF($U87="",""," ")&amp;$U87&amp;IF($V87="",""," ")&amp;$V87&amp;IF($W87="",""," ")&amp;$W87&amp;IF($Z87="",""," ")&amp;$Z87&amp;IF($Z87="","","mcd")</f>
        <v>MMBT2222LT1G NPN 30V 600mA 300mW</v>
      </c>
      <c r="D87" t="str" s="16" cm="1">
        <f t="array" ref="D87">$F87&amp;" "&amp;G87&amp;IF($T87="",""," ")&amp;$T87&amp;IF($J87="",""," ")&amp;$J87&amp;IF($U87="",""," ")&amp;$U87&amp;IF($V87="",""," ")&amp;$V87&amp;IF($W87="",""," ")&amp;$W87&amp;IF($Z87="",""," ")&amp;$Z87&amp;IF($Z87="","","mcd")</f>
        <v>MMBT2222LT1G Q NPN 30V 600mA 300mW</v>
      </c>
      <c r="E87" t="str" s="15" cm="1">
        <f t="array" ref="E87">IF(ISBLANK(K87),"",HYPERLINK("https://jlcpcb.com/partdetail/"&amp;$K87,$K87))</f>
      </c>
      <c r="F87" t="str" s="15" cm="1">
        <f t="array" ref="F87">H87</f>
        <v>MMBT2222LT1G</v>
      </c>
      <c r="G87" t="s" s="17">
        <v>917</v>
      </c>
      <c r="H87" t="str" s="18" cm="1">
        <f t="array" ref="H87">AG87</f>
        <v>MMBT2222LT1G</v>
      </c>
      <c r="I87" t="s" s="17">
        <v>8</v>
      </c>
      <c r="J87" t="s" s="17">
        <v>918</v>
      </c>
      <c r="K87" s="24"/>
      <c r="L87" t="s" s="36">
        <v>919</v>
      </c>
      <c r="M87" s="17"/>
      <c r="N87" s="17"/>
      <c r="O87" s="17"/>
      <c r="P87" t="s" s="17">
        <v>577</v>
      </c>
      <c r="Q87" s="17"/>
      <c r="R87" s="17"/>
      <c r="S87" s="17"/>
      <c r="T87" s="17"/>
      <c r="U87" t="s" s="17">
        <v>578</v>
      </c>
      <c r="V87" t="s" s="35">
        <v>920</v>
      </c>
      <c r="W87" t="s" s="35">
        <v>921</v>
      </c>
      <c r="X87" s="35"/>
      <c r="Y87" s="35"/>
      <c r="Z87" s="17"/>
      <c r="AA87" s="17"/>
      <c r="AB87" s="24"/>
      <c r="AC87" s="24"/>
      <c r="AD87" s="33">
        <v>10</v>
      </c>
      <c r="AE87" t="s" s="17">
        <v>211</v>
      </c>
      <c r="AF87" t="s" s="25">
        <v>922</v>
      </c>
      <c r="AG87" t="s" s="35">
        <v>923</v>
      </c>
      <c r="AH87" t="s" s="25">
        <v>924</v>
      </c>
      <c r="AI87" t="s" s="23">
        <v>582</v>
      </c>
      <c r="AJ87" s="18"/>
    </row>
    <row r="88" ht="19" customHeight="1">
      <c r="B88" t="str" s="15" cm="1">
        <f t="array" ref="B88">G88&amp;"_"&amp;J88&amp;"_"&amp;V88&amp;"_"&amp;P89&amp;"_"&amp;F88</f>
        <v>Q_NPN_200mA_SOT-23_MMBT3904</v>
      </c>
      <c r="C88" t="str" s="16" cm="1">
        <f t="array" ref="C88">$F88&amp;IF($G88="LED"," LED","")&amp;IF($T88="",""," ")&amp;$T88&amp;IF($J88="",""," ")&amp;$J88&amp;IF($U88="",""," ")&amp;$U88&amp;IF($V88="",""," ")&amp;$V88&amp;IF($W88="",""," ")&amp;$W88&amp;IF($Z88="",""," ")&amp;$Z88&amp;IF($Z88="","","mcd")</f>
        <v>MMBT3904 NPN 40V 200mA 200mW</v>
      </c>
      <c r="D88" t="str" s="16" cm="1">
        <f t="array" ref="D88">$F88&amp;" "&amp;G88&amp;IF($T88="",""," ")&amp;$T88&amp;IF($J88="",""," ")&amp;$J88&amp;IF($U88="",""," ")&amp;$U88&amp;IF($V88="",""," ")&amp;$V88&amp;IF($W88="",""," ")&amp;$W88&amp;IF($Z88="",""," ")&amp;$Z88&amp;IF($Z88="","","mcd")</f>
        <v>MMBT3904 Q NPN 40V 200mA 200mW</v>
      </c>
      <c r="E88" t="str" s="15" cm="1">
        <f t="array" ref="E88">IF(ISBLANK(K88),"",HYPERLINK("https://jlcpcb.com/partdetail/"&amp;$K88,$K88))</f>
        <v>C5184404</v>
      </c>
      <c r="F88" t="str" s="15" cm="1">
        <f t="array" ref="F88">H88</f>
        <v>MMBT3904</v>
      </c>
      <c r="G88" t="s" s="17">
        <v>917</v>
      </c>
      <c r="H88" t="str" s="18" cm="1">
        <f t="array" ref="H88">AG88</f>
        <v>MMBT3904</v>
      </c>
      <c r="I88" t="s" s="17">
        <v>8</v>
      </c>
      <c r="J88" t="s" s="17">
        <v>918</v>
      </c>
      <c r="K88" t="s" s="19">
        <v>930</v>
      </c>
      <c r="L88" t="s" s="36">
        <v>931</v>
      </c>
      <c r="M88" s="17"/>
      <c r="N88" s="17"/>
      <c r="O88" s="17"/>
      <c r="P88" t="s" s="17">
        <v>577</v>
      </c>
      <c r="Q88" s="17"/>
      <c r="R88" s="17"/>
      <c r="S88" s="17"/>
      <c r="T88" s="17"/>
      <c r="U88" t="s" s="17">
        <v>932</v>
      </c>
      <c r="V88" t="s" s="35">
        <v>933</v>
      </c>
      <c r="W88" t="s" s="35">
        <v>563</v>
      </c>
      <c r="X88" s="35"/>
      <c r="Y88" s="35"/>
      <c r="Z88" s="17"/>
      <c r="AA88" s="17"/>
      <c r="AB88" s="24"/>
      <c r="AC88" s="24"/>
      <c r="AD88" s="33">
        <v>1</v>
      </c>
      <c r="AE88" t="s" s="17">
        <v>211</v>
      </c>
      <c r="AF88" t="s" s="25">
        <v>579</v>
      </c>
      <c r="AG88" t="s" s="35">
        <v>934</v>
      </c>
      <c r="AH88" t="s" s="25">
        <v>924</v>
      </c>
      <c r="AI88" t="s" s="23">
        <v>582</v>
      </c>
      <c r="AJ88" t="s" s="17">
        <v>935</v>
      </c>
    </row>
    <row r="89" ht="19" customHeight="1">
      <c r="B89" t="str" s="15" cm="1">
        <f t="array" ref="B89">G89&amp;"_"&amp;J89&amp;"_"&amp;V89&amp;"_"&amp;P90&amp;"_"&amp;F89</f>
        <v>Q_PNP_500mA_SOT-23_BC807</v>
      </c>
      <c r="C89" t="str" s="16" cm="1">
        <f t="array" ref="C89">$F89&amp;IF($G89="LED"," LED","")&amp;IF($T89="",""," ")&amp;$T89&amp;IF($J89="",""," ")&amp;$J89&amp;IF($U89="",""," ")&amp;$U89&amp;IF($V89="",""," ")&amp;$V89&amp;IF($W89="",""," ")&amp;$W89&amp;IF($Z89="",""," ")&amp;$Z89&amp;IF($Z89="","","mcd")</f>
        <v>BC807 PNP 45V 500mA 300mW</v>
      </c>
      <c r="D89" t="str" s="16" cm="1">
        <f t="array" ref="D89">$F89&amp;" "&amp;G89&amp;IF($T89="",""," ")&amp;$T89&amp;IF($J89="",""," ")&amp;$J89&amp;IF($U89="",""," ")&amp;$U89&amp;IF($V89="",""," ")&amp;$V89&amp;IF($W89="",""," ")&amp;$W89&amp;IF($Z89="",""," ")&amp;$Z89&amp;IF($Z89="","","mcd")</f>
        <v>BC807 Q PNP 45V 500mA 300mW</v>
      </c>
      <c r="E89" t="str" s="15" cm="1">
        <f t="array" ref="E89">IF(ISBLANK(K89),"",HYPERLINK("https://jlcpcb.com/partdetail/"&amp;$K89,$K89))</f>
        <v>C5184433</v>
      </c>
      <c r="F89" t="str" s="15" cm="1">
        <f t="array" ref="F89">H89</f>
        <v>BC807</v>
      </c>
      <c r="G89" t="s" s="17">
        <v>917</v>
      </c>
      <c r="H89" t="s" s="35">
        <v>941</v>
      </c>
      <c r="I89" t="s" s="17">
        <v>8</v>
      </c>
      <c r="J89" t="s" s="17">
        <v>942</v>
      </c>
      <c r="K89" t="s" s="19">
        <v>943</v>
      </c>
      <c r="L89" t="s" s="36">
        <v>944</v>
      </c>
      <c r="M89" s="35"/>
      <c r="N89" s="35"/>
      <c r="O89" s="35"/>
      <c r="P89" t="s" s="35">
        <v>577</v>
      </c>
      <c r="Q89" s="17"/>
      <c r="R89" s="17"/>
      <c r="S89" s="17"/>
      <c r="T89" s="17"/>
      <c r="U89" t="s" s="17">
        <v>945</v>
      </c>
      <c r="V89" t="s" s="17">
        <v>946</v>
      </c>
      <c r="W89" t="s" s="17">
        <v>921</v>
      </c>
      <c r="X89" s="17"/>
      <c r="Y89" s="17"/>
      <c r="Z89" s="17"/>
      <c r="AA89" s="17"/>
      <c r="AB89" s="24"/>
      <c r="AC89" s="24"/>
      <c r="AD89" s="33">
        <v>1</v>
      </c>
      <c r="AE89" t="s" s="17">
        <v>211</v>
      </c>
      <c r="AF89" t="s" s="25">
        <v>579</v>
      </c>
      <c r="AG89" t="s" s="35">
        <v>947</v>
      </c>
      <c r="AH89" t="s" s="25">
        <v>948</v>
      </c>
      <c r="AI89" t="s" s="23">
        <v>582</v>
      </c>
      <c r="AJ89" t="s" s="17">
        <v>949</v>
      </c>
    </row>
    <row r="90" ht="19" customHeight="1">
      <c r="B90" t="str" s="15" cm="1">
        <f t="array" ref="B90">G90&amp;"_"&amp;J90&amp;"_"&amp;V90&amp;"_"&amp;P91&amp;"_"&amp;F90</f>
        <v>Q_N-FET_300mA_SO-8_2N7002</v>
      </c>
      <c r="C90" t="str" s="16" cm="1">
        <f t="array" ref="C90">$F90&amp;IF($G90="LED"," LED","")&amp;IF($T90="",""," ")&amp;$T90&amp;IF($J90="",""," ")&amp;$J90&amp;IF($U90="",""," ")&amp;$U90&amp;IF($V90="",""," ")&amp;$V90&amp;IF($W90="",""," ")&amp;$W90&amp;IF($Z90="",""," ")&amp;$Z90&amp;IF($Z90="","","mcd")</f>
        <v>2N7002 N-FET 60v 300mA</v>
      </c>
      <c r="D90" t="str" s="16" cm="1">
        <f t="array" ref="D90">$F90&amp;" "&amp;G90&amp;IF($T90="",""," ")&amp;$T90&amp;IF($J90="",""," ")&amp;$J90&amp;IF($U90="",""," ")&amp;$U90&amp;IF($V90="",""," ")&amp;$V90&amp;IF($W90="",""," ")&amp;$W90&amp;IF($Z90="",""," ")&amp;$Z90&amp;IF($Z90="","","mcd")</f>
        <v>2N7002 Q N-FET 60v 300mA</v>
      </c>
      <c r="E90" t="str" s="15" cm="1">
        <f t="array" ref="E90">IF(ISBLANK(K90),"",HYPERLINK("https://jlcpcb.com/partdetail/"&amp;$K90,$K90))</f>
        <v>C5224215</v>
      </c>
      <c r="F90" t="str" s="15" cm="1">
        <f t="array" ref="F90">H90</f>
        <v>2N7002</v>
      </c>
      <c r="G90" t="s" s="17">
        <v>917</v>
      </c>
      <c r="H90" t="str" s="18" cm="1">
        <f t="array" ref="H90">AG90</f>
        <v>2N7002</v>
      </c>
      <c r="I90" t="s" s="17">
        <v>8</v>
      </c>
      <c r="J90" t="s" s="17">
        <v>955</v>
      </c>
      <c r="K90" t="s" s="19">
        <v>956</v>
      </c>
      <c r="L90" t="s" s="19">
        <v>957</v>
      </c>
      <c r="M90" s="17"/>
      <c r="N90" s="17"/>
      <c r="O90" s="17"/>
      <c r="P90" t="s" s="17">
        <v>577</v>
      </c>
      <c r="Q90" s="17"/>
      <c r="R90" s="17"/>
      <c r="S90" s="17"/>
      <c r="T90" s="17"/>
      <c r="U90" t="s" s="17">
        <v>958</v>
      </c>
      <c r="V90" t="s" s="17">
        <v>959</v>
      </c>
      <c r="W90" s="17"/>
      <c r="X90" s="17"/>
      <c r="Y90" s="17"/>
      <c r="Z90" s="17"/>
      <c r="AA90" s="17"/>
      <c r="AB90" s="24"/>
      <c r="AC90" s="24"/>
      <c r="AD90" s="33">
        <v>1</v>
      </c>
      <c r="AE90" t="s" s="17">
        <v>211</v>
      </c>
      <c r="AF90" t="s" s="25">
        <v>960</v>
      </c>
      <c r="AG90" t="s" s="17">
        <v>961</v>
      </c>
      <c r="AH90" t="s" s="22">
        <v>962</v>
      </c>
      <c r="AI90" t="s" s="23">
        <v>582</v>
      </c>
      <c r="AJ90" t="s" s="17">
        <v>963</v>
      </c>
    </row>
    <row r="91" ht="19" customHeight="1">
      <c r="B91" t="str" s="15" cm="1">
        <f t="array" ref="B91">G91&amp;"_"&amp;J91&amp;"_"&amp;V91&amp;"_"&amp;P92&amp;"_"&amp;F91</f>
        <v>Q_N-FET_10A_SOT-23_DMN4468</v>
      </c>
      <c r="C91" t="str" s="16" cm="1">
        <f t="array" ref="C91">$F91&amp;IF($G91="LED"," LED","")&amp;IF($T91="",""," ")&amp;$T91&amp;IF($J91="",""," ")&amp;$J91&amp;IF($U91="",""," ")&amp;$U91&amp;IF($V91="",""," ")&amp;$V91&amp;IF($W91="",""," ")&amp;$W91&amp;IF($Z91="",""," ")&amp;$Z91&amp;IF($Z91="","","mcd")</f>
        <v>DMN4468 N-FET 30v 10A</v>
      </c>
      <c r="D91" t="str" s="16" cm="1">
        <f t="array" ref="D91">$F91&amp;" "&amp;G91&amp;IF($T91="",""," ")&amp;$T91&amp;IF($J91="",""," ")&amp;$J91&amp;IF($U91="",""," ")&amp;$U91&amp;IF($V91="",""," ")&amp;$V91&amp;IF($W91="",""," ")&amp;$W91&amp;IF($Z91="",""," ")&amp;$Z91&amp;IF($Z91="","","mcd")</f>
        <v>DMN4468 Q N-FET 30v 10A</v>
      </c>
      <c r="E91" t="str" s="15" cm="1">
        <f t="array" ref="E91">IF(ISBLANK(K91),"",HYPERLINK("https://jlcpcb.com/partdetail/"&amp;$K91,$K91))</f>
        <v>C878901</v>
      </c>
      <c r="F91" t="str" s="15" cm="1">
        <f t="array" ref="F91">H91</f>
        <v>DMN4468</v>
      </c>
      <c r="G91" t="s" s="17">
        <v>917</v>
      </c>
      <c r="H91" t="s" s="17">
        <v>969</v>
      </c>
      <c r="I91" t="s" s="17">
        <v>8</v>
      </c>
      <c r="J91" t="s" s="17">
        <v>955</v>
      </c>
      <c r="K91" t="s" s="19">
        <v>970</v>
      </c>
      <c r="L91" t="s" s="19">
        <v>971</v>
      </c>
      <c r="M91" s="17"/>
      <c r="N91" s="17"/>
      <c r="O91" s="17"/>
      <c r="P91" t="s" s="17">
        <v>972</v>
      </c>
      <c r="Q91" s="17"/>
      <c r="R91" s="17"/>
      <c r="S91" s="17"/>
      <c r="T91" s="17"/>
      <c r="U91" t="s" s="17">
        <v>973</v>
      </c>
      <c r="V91" t="s" s="17">
        <v>974</v>
      </c>
      <c r="W91" s="17"/>
      <c r="X91" s="17"/>
      <c r="Y91" s="17"/>
      <c r="Z91" s="17"/>
      <c r="AA91" s="17"/>
      <c r="AB91" s="24"/>
      <c r="AC91" s="24"/>
      <c r="AD91" s="33">
        <v>1</v>
      </c>
      <c r="AE91" t="s" s="17">
        <v>211</v>
      </c>
      <c r="AF91" t="s" s="25">
        <v>975</v>
      </c>
      <c r="AG91" t="s" s="17">
        <v>976</v>
      </c>
      <c r="AH91" t="s" s="22">
        <v>977</v>
      </c>
      <c r="AI91" t="s" s="23">
        <v>978</v>
      </c>
      <c r="AJ91" t="s" s="17">
        <v>979</v>
      </c>
    </row>
    <row r="92" ht="19" customHeight="1">
      <c r="B92" t="str" s="15" cm="1">
        <f t="array" ref="B92">G92&amp;"_"&amp;J92&amp;"_"&amp;V92&amp;"_"&amp;P93&amp;"_"&amp;F92</f>
        <v>Q_P-FET_2.3A_0603_2301V</v>
      </c>
      <c r="C92" t="str" s="16" cm="1">
        <f t="array" ref="C92">$F92&amp;IF($G92="LED"," LED","")&amp;IF($T92="",""," ")&amp;$T92&amp;IF($J92="",""," ")&amp;$J92&amp;IF($U92="",""," ")&amp;$U92&amp;IF($V92="",""," ")&amp;$V92&amp;IF($W92="",""," ")&amp;$W92&amp;IF($Z92="",""," ")&amp;$Z92&amp;IF($Z92="","","mcd")</f>
        <v>2301V P-FET 20V 2.3A</v>
      </c>
      <c r="D92" t="str" s="16" cm="1">
        <f t="array" ref="D92">$F92&amp;" "&amp;G92&amp;IF($T92="",""," ")&amp;$T92&amp;IF($J92="",""," ")&amp;$J92&amp;IF($U92="",""," ")&amp;$U92&amp;IF($V92="",""," ")&amp;$V92&amp;IF($W92="",""," ")&amp;$W92&amp;IF($Z92="",""," ")&amp;$Z92&amp;IF($Z92="","","mcd")</f>
        <v>2301V Q P-FET 20V 2.3A</v>
      </c>
      <c r="E92" t="str" s="15" cm="1">
        <f t="array" ref="E92">IF(ISBLANK(K92),"",HYPERLINK("https://jlcpcb.com/partdetail/"&amp;$K92,$K92))</f>
        <v>C7499856</v>
      </c>
      <c r="F92" t="str" s="15" cm="1">
        <f t="array" ref="F92">H92</f>
        <v>2301V</v>
      </c>
      <c r="G92" t="s" s="17">
        <v>917</v>
      </c>
      <c r="H92" t="str" s="18" cm="1">
        <f t="array" ref="H92">AG92</f>
        <v>2301V</v>
      </c>
      <c r="I92" t="s" s="17">
        <v>8</v>
      </c>
      <c r="J92" t="s" s="17">
        <v>985</v>
      </c>
      <c r="K92" t="s" s="19">
        <v>986</v>
      </c>
      <c r="L92" t="s" s="36">
        <v>987</v>
      </c>
      <c r="M92" s="17"/>
      <c r="N92" s="17"/>
      <c r="O92" s="17"/>
      <c r="P92" t="s" s="17">
        <v>577</v>
      </c>
      <c r="Q92" s="17"/>
      <c r="R92" s="17"/>
      <c r="S92" s="17"/>
      <c r="T92" s="17"/>
      <c r="U92" t="s" s="17">
        <v>988</v>
      </c>
      <c r="V92" t="s" s="17">
        <v>989</v>
      </c>
      <c r="W92" s="17"/>
      <c r="X92" s="17"/>
      <c r="Y92" s="17"/>
      <c r="Z92" s="17"/>
      <c r="AA92" s="17"/>
      <c r="AB92" s="24"/>
      <c r="AC92" s="24"/>
      <c r="AD92" s="33">
        <v>1</v>
      </c>
      <c r="AE92" t="s" s="17">
        <v>211</v>
      </c>
      <c r="AF92" t="s" s="38">
        <v>990</v>
      </c>
      <c r="AG92" t="s" s="35">
        <v>991</v>
      </c>
      <c r="AH92" t="s" s="25">
        <v>992</v>
      </c>
      <c r="AI92" t="s" s="23">
        <v>582</v>
      </c>
      <c r="AJ92" t="s" s="17">
        <v>993</v>
      </c>
    </row>
    <row r="93" ht="18.9" customHeight="1">
      <c r="B93" t="str" s="15" cm="1">
        <f t="array" ref="B93">G93&amp;"_"&amp;T93&amp;"_"&amp;W93&amp;"_"&amp;P93&amp;"_"&amp;F93</f>
        <v>RES_5%_100mW_0603_200</v>
      </c>
      <c r="C93" t="str" s="16" cm="1">
        <f t="array" ref="C93">$F93&amp;IF($G93="LED"," LED","")&amp;IF($T93="",""," ")&amp;$T93&amp;IF($J93="",""," ")&amp;$J93&amp;IF($U93="",""," ")&amp;$U93&amp;IF($V93="",""," ")&amp;$V93&amp;IF($W93="",""," ")&amp;$W93&amp;IF($Z93="",""," ")&amp;$Z93&amp;IF($Z93="","","mcd")</f>
        <v>200 5% thick film 75V 100mW</v>
      </c>
      <c r="D93" t="str" s="16" cm="1">
        <f t="array" ref="D93">$F93&amp;" "&amp;G93&amp;IF($T93="",""," ")&amp;$T93&amp;IF($J93="",""," ")&amp;$J93&amp;IF($U93="",""," ")&amp;$U93&amp;IF($V93="",""," ")&amp;$V93&amp;IF($W93="",""," ")&amp;$W93&amp;IF($Z93="",""," ")&amp;$Z93&amp;IF($Z93="","","mcd")</f>
        <v>200 RES 5% thick film 75V 100mW</v>
      </c>
      <c r="E93" t="str" s="15" cm="1">
        <f t="array" ref="E93">IF(ISBLANK(K93),"",HYPERLINK("https://jlcpcb.com/partdetail/"&amp;$K93,$K93))</f>
        <v>C2907123</v>
      </c>
      <c r="F93" t="str" s="15" cm="1">
        <f t="array" ref="F93">M93</f>
        <v>200</v>
      </c>
      <c r="G93" t="s" s="17">
        <v>999</v>
      </c>
      <c r="H93" s="17"/>
      <c r="I93" t="s" s="17">
        <v>8</v>
      </c>
      <c r="J93" t="s" s="17">
        <v>1000</v>
      </c>
      <c r="K93" t="s" s="19">
        <v>1001</v>
      </c>
      <c r="L93" t="s" s="19">
        <v>1002</v>
      </c>
      <c r="M93" t="s" s="17">
        <v>1003</v>
      </c>
      <c r="N93" s="17"/>
      <c r="O93" s="17"/>
      <c r="P93" t="s" s="17">
        <v>435</v>
      </c>
      <c r="Q93" s="17"/>
      <c r="R93" s="17"/>
      <c r="S93" s="17"/>
      <c r="T93" t="s" s="17">
        <v>1004</v>
      </c>
      <c r="U93" t="s" s="17">
        <v>1005</v>
      </c>
      <c r="V93" s="17"/>
      <c r="W93" t="s" s="17">
        <v>1006</v>
      </c>
      <c r="X93" s="17"/>
      <c r="Y93" s="17"/>
      <c r="Z93" s="17"/>
      <c r="AA93" s="17"/>
      <c r="AB93" s="24"/>
      <c r="AC93" s="24"/>
      <c r="AD93" s="33">
        <v>1</v>
      </c>
      <c r="AE93" t="s" s="17">
        <v>438</v>
      </c>
      <c r="AF93" t="s" s="25">
        <v>1007</v>
      </c>
      <c r="AG93" t="s" s="17">
        <v>1008</v>
      </c>
      <c r="AH93" t="s" s="22">
        <v>1009</v>
      </c>
      <c r="AI93" t="s" s="23">
        <v>1010</v>
      </c>
      <c r="AJ93" t="s" s="17">
        <v>1011</v>
      </c>
    </row>
    <row r="94" ht="18.9" customHeight="1">
      <c r="B94" t="str" s="48" cm="1">
        <f t="array" ref="B94">G94&amp;"_"&amp;T94&amp;"_"&amp;W94&amp;"_"&amp;P94&amp;"_"&amp;F94</f>
        <v>RES_1%_100mW_0603_220</v>
      </c>
      <c r="C94" t="str" s="16" cm="1">
        <f t="array" ref="C94">$F94&amp;IF($G94="LED"," LED","")&amp;IF($T94="",""," ")&amp;$T94&amp;IF($J94="",""," ")&amp;$J94&amp;IF($U94="",""," ")&amp;$U94&amp;IF($V94="",""," ")&amp;$V94&amp;IF($W94="",""," ")&amp;$W94&amp;IF($Z94="",""," ")&amp;$Z94&amp;IF($Z94="","","mcd")</f>
        <v>220 1% thick film 150V 100mW</v>
      </c>
      <c r="D94" t="str" s="16" cm="1">
        <f t="array" ref="D94">$F94&amp;" "&amp;G94&amp;IF($T94="",""," ")&amp;$T94&amp;IF($J94="",""," ")&amp;$J94&amp;IF($U94="",""," ")&amp;$U94&amp;IF($V94="",""," ")&amp;$V94&amp;IF($W94="",""," ")&amp;$W94&amp;IF($Z94="",""," ")&amp;$Z94&amp;IF($Z94="","","mcd")</f>
        <v>220 RES 1% thick film 150V 100mW</v>
      </c>
      <c r="E94" t="str" s="15" cm="1">
        <f t="array" ref="E94">IF(ISBLANK(K94),"",HYPERLINK("https://jlcpcb.com/partdetail/"&amp;$K94,$K94))</f>
        <v>C5842375</v>
      </c>
      <c r="F94" t="str" s="15" cm="1">
        <f t="array" ref="F94">M94</f>
        <v>220</v>
      </c>
      <c r="G94" t="s" s="17">
        <v>999</v>
      </c>
      <c r="H94" s="17"/>
      <c r="I94" t="s" s="17">
        <v>8</v>
      </c>
      <c r="J94" t="s" s="17">
        <v>1000</v>
      </c>
      <c r="K94" t="s" s="19">
        <v>1017</v>
      </c>
      <c r="L94" t="s" s="19">
        <v>1018</v>
      </c>
      <c r="M94" t="s" s="17">
        <v>1019</v>
      </c>
      <c r="N94" s="17"/>
      <c r="O94" s="17"/>
      <c r="P94" t="s" s="17">
        <v>435</v>
      </c>
      <c r="Q94" s="17"/>
      <c r="R94" s="17"/>
      <c r="S94" s="17"/>
      <c r="T94" t="s" s="17">
        <v>1020</v>
      </c>
      <c r="U94" t="s" s="17">
        <v>1021</v>
      </c>
      <c r="V94" s="17"/>
      <c r="W94" t="s" s="17">
        <v>1006</v>
      </c>
      <c r="X94" s="17"/>
      <c r="Y94" s="17"/>
      <c r="Z94" s="17"/>
      <c r="AA94" s="17"/>
      <c r="AB94" s="24"/>
      <c r="AC94" s="24"/>
      <c r="AD94" s="33">
        <v>2</v>
      </c>
      <c r="AE94" t="s" s="17">
        <v>438</v>
      </c>
      <c r="AF94" t="s" s="25">
        <v>439</v>
      </c>
      <c r="AG94" t="s" s="17">
        <v>1022</v>
      </c>
      <c r="AH94" t="s" s="22">
        <v>1009</v>
      </c>
      <c r="AI94" t="s" s="23">
        <v>1010</v>
      </c>
      <c r="AJ94" t="s" s="17">
        <v>1023</v>
      </c>
    </row>
    <row r="95" ht="18.9" customHeight="1">
      <c r="B95" t="str" s="48" cm="1">
        <f t="array" ref="B95">G95&amp;"_"&amp;T95&amp;"_"&amp;W95&amp;"_"&amp;P95&amp;"_"&amp;F95</f>
        <v>RES_5%_100mW_0603_220</v>
      </c>
      <c r="C95" t="str" s="16" cm="1">
        <f t="array" ref="C95">$F95&amp;IF($G95="LED"," LED","")&amp;IF($T95="",""," ")&amp;$T95&amp;IF($J95="",""," ")&amp;$J95&amp;IF($U95="",""," ")&amp;$U95&amp;IF($V95="",""," ")&amp;$V95&amp;IF($W95="",""," ")&amp;$W95&amp;IF($Z95="",""," ")&amp;$Z95&amp;IF($Z95="","","mcd")</f>
        <v>220 5% thick film 75V 100mW</v>
      </c>
      <c r="D95" t="str" s="16" cm="1">
        <f t="array" ref="D95">$F95&amp;" "&amp;G95&amp;IF($T95="",""," ")&amp;$T95&amp;IF($J95="",""," ")&amp;$J95&amp;IF($U95="",""," ")&amp;$U95&amp;IF($V95="",""," ")&amp;$V95&amp;IF($W95="",""," ")&amp;$W95&amp;IF($Z95="",""," ")&amp;$Z95&amp;IF($Z95="","","mcd")</f>
        <v>220 RES 5% thick film 75V 100mW</v>
      </c>
      <c r="E95" t="str" s="15" cm="1">
        <f t="array" ref="E95">IF(ISBLANK(K95),"",HYPERLINK("https://jlcpcb.com/partdetail/"&amp;$K95,$K95))</f>
        <v>C1226</v>
      </c>
      <c r="F95" t="str" s="15" cm="1">
        <f t="array" ref="F95">M95</f>
        <v>220</v>
      </c>
      <c r="G95" t="s" s="17">
        <v>999</v>
      </c>
      <c r="H95" s="17"/>
      <c r="I95" t="s" s="17">
        <v>8</v>
      </c>
      <c r="J95" t="s" s="17">
        <v>1000</v>
      </c>
      <c r="K95" t="s" s="19">
        <v>1028</v>
      </c>
      <c r="L95" t="s" s="19">
        <v>1029</v>
      </c>
      <c r="M95" t="s" s="17">
        <v>1019</v>
      </c>
      <c r="N95" s="17"/>
      <c r="O95" s="17"/>
      <c r="P95" t="s" s="17">
        <v>435</v>
      </c>
      <c r="Q95" s="17"/>
      <c r="R95" s="17"/>
      <c r="S95" s="17"/>
      <c r="T95" t="s" s="17">
        <v>1004</v>
      </c>
      <c r="U95" t="s" s="17">
        <v>1005</v>
      </c>
      <c r="V95" s="17"/>
      <c r="W95" t="s" s="17">
        <v>1006</v>
      </c>
      <c r="X95" s="17"/>
      <c r="Y95" s="17"/>
      <c r="Z95" s="17"/>
      <c r="AA95" s="17"/>
      <c r="AB95" s="24"/>
      <c r="AC95" s="24"/>
      <c r="AD95" s="33">
        <v>3</v>
      </c>
      <c r="AE95" t="s" s="17">
        <v>211</v>
      </c>
      <c r="AF95" t="s" s="25">
        <v>1030</v>
      </c>
      <c r="AG95" t="s" s="17">
        <v>1031</v>
      </c>
      <c r="AH95" t="s" s="40">
        <v>1009</v>
      </c>
      <c r="AI95" t="s" s="23">
        <v>1010</v>
      </c>
      <c r="AJ95" t="s" s="17">
        <v>1032</v>
      </c>
    </row>
    <row r="96" ht="18.9" customHeight="1">
      <c r="B96" t="str" s="48" cm="1">
        <f t="array" ref="B96">G96&amp;"_"&amp;T96&amp;"_"&amp;W96&amp;"_"&amp;P96&amp;"_"&amp;F96</f>
        <v>RES_5%_100mW_0603_330</v>
      </c>
      <c r="C96" t="str" s="16" cm="1">
        <f t="array" ref="C96">$F96&amp;IF($G96="LED"," LED","")&amp;IF($T96="",""," ")&amp;$T96&amp;IF($J96="",""," ")&amp;$J96&amp;IF($U96="",""," ")&amp;$U96&amp;IF($V96="",""," ")&amp;$V96&amp;IF($W96="",""," ")&amp;$W96&amp;IF($Z96="",""," ")&amp;$Z96&amp;IF($Z96="","","mcd")</f>
        <v>330 5% thick film 75V 100mW</v>
      </c>
      <c r="D96" t="str" s="16" cm="1">
        <f t="array" ref="D96">$F96&amp;" "&amp;G96&amp;IF($T96="",""," ")&amp;$T96&amp;IF($J96="",""," ")&amp;$J96&amp;IF($U96="",""," ")&amp;$U96&amp;IF($V96="",""," ")&amp;$V96&amp;IF($W96="",""," ")&amp;$W96&amp;IF($Z96="",""," ")&amp;$Z96&amp;IF($Z96="","","mcd")</f>
        <v>330 RES 5% thick film 75V 100mW</v>
      </c>
      <c r="E96" t="str" s="15" cm="1">
        <f t="array" ref="E96">IF(ISBLANK(K96),"",HYPERLINK("https://jlcpcb.com/partdetail/"&amp;$K96,$K96))</f>
        <v>C25231</v>
      </c>
      <c r="F96" t="str" s="15" cm="1">
        <f t="array" ref="F96">M96</f>
        <v>330</v>
      </c>
      <c r="G96" t="s" s="17">
        <v>999</v>
      </c>
      <c r="H96" s="17"/>
      <c r="I96" t="s" s="17">
        <v>8</v>
      </c>
      <c r="J96" t="s" s="17">
        <v>1000</v>
      </c>
      <c r="K96" t="s" s="19">
        <v>1038</v>
      </c>
      <c r="L96" t="s" s="19">
        <v>1039</v>
      </c>
      <c r="M96" t="s" s="17">
        <v>816</v>
      </c>
      <c r="N96" s="17"/>
      <c r="O96" s="17"/>
      <c r="P96" t="s" s="17">
        <v>435</v>
      </c>
      <c r="Q96" s="17"/>
      <c r="R96" s="17"/>
      <c r="S96" s="17"/>
      <c r="T96" t="s" s="17">
        <v>1004</v>
      </c>
      <c r="U96" t="s" s="17">
        <v>1005</v>
      </c>
      <c r="V96" s="17"/>
      <c r="W96" t="s" s="17">
        <v>1006</v>
      </c>
      <c r="X96" s="17"/>
      <c r="Y96" s="17"/>
      <c r="Z96" s="17"/>
      <c r="AA96" s="17"/>
      <c r="AB96" s="24"/>
      <c r="AC96" s="24"/>
      <c r="AD96" s="33">
        <v>1</v>
      </c>
      <c r="AE96" t="s" s="17">
        <v>211</v>
      </c>
      <c r="AF96" t="s" s="25">
        <v>1030</v>
      </c>
      <c r="AG96" t="s" s="17">
        <v>1040</v>
      </c>
      <c r="AH96" t="s" s="40">
        <v>1009</v>
      </c>
      <c r="AI96" t="s" s="23">
        <v>1010</v>
      </c>
      <c r="AJ96" t="s" s="17">
        <v>1041</v>
      </c>
    </row>
    <row r="97" ht="18.9" customHeight="1">
      <c r="B97" t="str" s="48" cm="1">
        <f t="array" ref="B97">G97&amp;"_"&amp;T97&amp;"_"&amp;W97&amp;"_"&amp;P97&amp;"_"&amp;F97</f>
        <v>RES_5%_100mW_0603_470</v>
      </c>
      <c r="C97" t="str" s="16" cm="1">
        <f t="array" ref="C97">$F97&amp;IF($G97="LED"," LED","")&amp;IF($T97="",""," ")&amp;$T97&amp;IF($J97="",""," ")&amp;$J97&amp;IF($U97="",""," ")&amp;$U97&amp;IF($V97="",""," ")&amp;$V97&amp;IF($W97="",""," ")&amp;$W97&amp;IF($Z97="",""," ")&amp;$Z97&amp;IF($Z97="","","mcd")</f>
        <v>470 5% thick film 75V 100mW</v>
      </c>
      <c r="D97" t="str" s="16" cm="1">
        <f t="array" ref="D97">$F97&amp;" "&amp;G97&amp;IF($T97="",""," ")&amp;$T97&amp;IF($J97="",""," ")&amp;$J97&amp;IF($U97="",""," ")&amp;$U97&amp;IF($V97="",""," ")&amp;$V97&amp;IF($W97="",""," ")&amp;$W97&amp;IF($Z97="",""," ")&amp;$Z97&amp;IF($Z97="","","mcd")</f>
        <v>470 RES 5% thick film 75V 100mW</v>
      </c>
      <c r="E97" t="str" s="15" cm="1">
        <f t="array" ref="E97">IF(ISBLANK(K97),"",HYPERLINK("https://jlcpcb.com/partdetail/"&amp;$K97,$K97))</f>
        <v>C25241</v>
      </c>
      <c r="F97" t="str" s="15" cm="1">
        <f t="array" ref="F97">M97</f>
        <v>470</v>
      </c>
      <c r="G97" t="s" s="17">
        <v>999</v>
      </c>
      <c r="H97" s="17"/>
      <c r="I97" t="s" s="17">
        <v>8</v>
      </c>
      <c r="J97" t="s" s="17">
        <v>1000</v>
      </c>
      <c r="K97" t="s" s="19">
        <v>1047</v>
      </c>
      <c r="L97" t="s" s="19">
        <v>1048</v>
      </c>
      <c r="M97" t="s" s="17">
        <v>1049</v>
      </c>
      <c r="N97" s="17"/>
      <c r="O97" s="17"/>
      <c r="P97" t="s" s="17">
        <v>435</v>
      </c>
      <c r="Q97" s="17"/>
      <c r="R97" s="17"/>
      <c r="S97" s="17"/>
      <c r="T97" t="s" s="17">
        <v>1004</v>
      </c>
      <c r="U97" t="s" s="17">
        <v>1005</v>
      </c>
      <c r="V97" s="17"/>
      <c r="W97" t="s" s="17">
        <v>1006</v>
      </c>
      <c r="X97" s="17"/>
      <c r="Y97" s="17"/>
      <c r="Z97" s="17"/>
      <c r="AA97" s="17"/>
      <c r="AB97" s="24"/>
      <c r="AC97" s="24"/>
      <c r="AD97" s="33">
        <v>1</v>
      </c>
      <c r="AE97" t="s" s="17">
        <v>211</v>
      </c>
      <c r="AF97" t="s" s="25">
        <v>1030</v>
      </c>
      <c r="AG97" t="s" s="17">
        <v>1050</v>
      </c>
      <c r="AH97" t="s" s="40">
        <v>1009</v>
      </c>
      <c r="AI97" t="s" s="23">
        <v>1010</v>
      </c>
      <c r="AJ97" t="s" s="17">
        <v>1051</v>
      </c>
    </row>
    <row r="98" ht="18.4" customHeight="1">
      <c r="B98" t="str" s="48" cm="1">
        <f t="array" ref="B98">G98&amp;"_"&amp;T98&amp;"_"&amp;W98&amp;"_"&amp;P98&amp;"_"&amp;F98</f>
        <v>RES_5%_100mW_0603_1K</v>
      </c>
      <c r="C98" t="str" s="16" cm="1">
        <f t="array" ref="C98">$F98&amp;IF($G98="LED"," LED","")&amp;IF($T98="",""," ")&amp;$T98&amp;IF($J98="",""," ")&amp;$J98&amp;IF($U98="",""," ")&amp;$U98&amp;IF($V98="",""," ")&amp;$V98&amp;IF($W98="",""," ")&amp;$W98&amp;IF($Z98="",""," ")&amp;$Z98&amp;IF($Z98="","","mcd")</f>
        <v>1K 5% thick film 75V 100mW</v>
      </c>
      <c r="D98" t="str" s="16" cm="1">
        <f t="array" ref="D98">$F98&amp;" "&amp;G98&amp;IF($T98="",""," ")&amp;$T98&amp;IF($J98="",""," ")&amp;$J98&amp;IF($U98="",""," ")&amp;$U98&amp;IF($V98="",""," ")&amp;$V98&amp;IF($W98="",""," ")&amp;$W98&amp;IF($Z98="",""," ")&amp;$Z98&amp;IF($Z98="","","mcd")</f>
        <v>1K RES 5% thick film 75V 100mW</v>
      </c>
      <c r="E98" t="str" s="15" cm="1">
        <f t="array" ref="E98">IF(ISBLANK(K98),"",HYPERLINK("https://jlcpcb.com/partdetail/"&amp;$K98,$K98))</f>
        <v>C25585</v>
      </c>
      <c r="F98" t="str" s="15" cm="1">
        <f t="array" ref="F98">M98</f>
        <v>1K</v>
      </c>
      <c r="G98" t="s" s="17">
        <v>999</v>
      </c>
      <c r="H98" s="17"/>
      <c r="I98" t="s" s="17">
        <v>8</v>
      </c>
      <c r="J98" t="s" s="17">
        <v>1000</v>
      </c>
      <c r="K98" t="s" s="19">
        <v>1057</v>
      </c>
      <c r="L98" t="s" s="19">
        <v>1058</v>
      </c>
      <c r="M98" t="s" s="17">
        <v>1059</v>
      </c>
      <c r="N98" s="17"/>
      <c r="O98" s="17"/>
      <c r="P98" t="s" s="17">
        <v>435</v>
      </c>
      <c r="Q98" s="17"/>
      <c r="R98" s="17"/>
      <c r="S98" s="17"/>
      <c r="T98" t="s" s="17">
        <v>1004</v>
      </c>
      <c r="U98" t="s" s="17">
        <v>1005</v>
      </c>
      <c r="V98" s="17"/>
      <c r="W98" t="s" s="17">
        <v>1006</v>
      </c>
      <c r="X98" s="17"/>
      <c r="Y98" s="17"/>
      <c r="Z98" s="17"/>
      <c r="AA98" s="17"/>
      <c r="AB98" s="24"/>
      <c r="AC98" s="24"/>
      <c r="AD98" s="33">
        <v>1</v>
      </c>
      <c r="AE98" t="s" s="17">
        <v>211</v>
      </c>
      <c r="AF98" t="s" s="25">
        <v>1030</v>
      </c>
      <c r="AG98" t="s" s="17">
        <v>1060</v>
      </c>
      <c r="AH98" t="s" s="22">
        <v>1009</v>
      </c>
      <c r="AI98" t="s" s="23">
        <v>1010</v>
      </c>
      <c r="AJ98" t="s" s="17">
        <v>1061</v>
      </c>
    </row>
    <row r="99" ht="19.3" customHeight="1">
      <c r="B99" t="str" s="48" cm="1">
        <f t="array" ref="B99">G99&amp;"_"&amp;T99&amp;"_"&amp;W99&amp;"_"&amp;P99&amp;"_"&amp;F99</f>
        <v>RES_5%_100mW_0603_2.2K</v>
      </c>
      <c r="C99" t="str" s="16" cm="1">
        <f t="array" ref="C99">$F99&amp;IF($G99="LED"," LED","")&amp;IF($T99="",""," ")&amp;$T99&amp;IF($J99="",""," ")&amp;$J99&amp;IF($U99="",""," ")&amp;$U99&amp;IF($V99="",""," ")&amp;$V99&amp;IF($W99="",""," ")&amp;$W99&amp;IF($Z99="",""," ")&amp;$Z99&amp;IF($Z99="","","mcd")</f>
        <v>2.2K 5% thick film 75V 100mW</v>
      </c>
      <c r="D99" t="str" s="16" cm="1">
        <f t="array" ref="D99">$F99&amp;" "&amp;G99&amp;IF($T99="",""," ")&amp;$T99&amp;IF($J99="",""," ")&amp;$J99&amp;IF($U99="",""," ")&amp;$U99&amp;IF($V99="",""," ")&amp;$V99&amp;IF($W99="",""," ")&amp;$W99&amp;IF($Z99="",""," ")&amp;$Z99&amp;IF($Z99="","","mcd")</f>
        <v>2.2K RES 5% thick film 75V 100mW</v>
      </c>
      <c r="E99" t="str" s="15" cm="1">
        <f t="array" ref="E99">IF(ISBLANK(K99),"",HYPERLINK("https://jlcpcb.com/partdetail/"&amp;$K99,$K99))</f>
        <v>C25992</v>
      </c>
      <c r="F99" t="str" s="15" cm="1">
        <f t="array" ref="F99">M99</f>
        <v>2.2K</v>
      </c>
      <c r="G99" t="s" s="17">
        <v>999</v>
      </c>
      <c r="H99" s="17"/>
      <c r="I99" t="s" s="17">
        <v>8</v>
      </c>
      <c r="J99" t="s" s="17">
        <v>1000</v>
      </c>
      <c r="K99" t="s" s="19">
        <v>1067</v>
      </c>
      <c r="L99" t="s" s="19">
        <v>1068</v>
      </c>
      <c r="M99" t="s" s="17">
        <v>1069</v>
      </c>
      <c r="N99" s="17"/>
      <c r="O99" s="17"/>
      <c r="P99" t="s" s="17">
        <v>435</v>
      </c>
      <c r="Q99" s="17"/>
      <c r="R99" s="17"/>
      <c r="S99" s="17"/>
      <c r="T99" t="s" s="17">
        <v>1004</v>
      </c>
      <c r="U99" t="s" s="17">
        <v>1005</v>
      </c>
      <c r="V99" s="17"/>
      <c r="W99" t="s" s="17">
        <v>1006</v>
      </c>
      <c r="X99" s="17"/>
      <c r="Y99" s="17"/>
      <c r="Z99" s="17"/>
      <c r="AA99" s="17"/>
      <c r="AB99" s="24"/>
      <c r="AC99" s="24"/>
      <c r="AD99" s="33">
        <v>1</v>
      </c>
      <c r="AE99" t="s" s="17">
        <v>211</v>
      </c>
      <c r="AF99" t="s" s="25">
        <v>1030</v>
      </c>
      <c r="AG99" t="s" s="25">
        <v>1070</v>
      </c>
      <c r="AH99" t="s" s="40">
        <v>1009</v>
      </c>
      <c r="AI99" t="s" s="23">
        <v>1010</v>
      </c>
      <c r="AJ99" t="s" s="17">
        <v>1071</v>
      </c>
    </row>
    <row r="100" ht="18.9" customHeight="1">
      <c r="B100" t="str" s="48" cm="1">
        <f t="array" ref="B100">G100&amp;"_"&amp;T100&amp;"_"&amp;W100&amp;"_"&amp;P100&amp;"_"&amp;F100</f>
        <v>RES_1%_100mW_0603_3.3K</v>
      </c>
      <c r="C100" t="str" s="16" cm="1">
        <f t="array" ref="C100">$F100&amp;IF($G100="LED"," LED","")&amp;IF($T100="",""," ")&amp;$T100&amp;IF($J100="",""," ")&amp;$J100&amp;IF($U100="",""," ")&amp;$U100&amp;IF($V100="",""," ")&amp;$V100&amp;IF($W100="",""," ")&amp;$W100&amp;IF($Z100="",""," ")&amp;$Z100&amp;IF($Z100="","","mcd")</f>
        <v>3.3K 1% thick film 75V 100mW</v>
      </c>
      <c r="D100" t="str" s="16" cm="1">
        <f t="array" ref="D100">$F100&amp;" "&amp;G100&amp;IF($T100="",""," ")&amp;$T100&amp;IF($J100="",""," ")&amp;$J100&amp;IF($U100="",""," ")&amp;$U100&amp;IF($V100="",""," ")&amp;$V100&amp;IF($W100="",""," ")&amp;$W100&amp;IF($Z100="",""," ")&amp;$Z100&amp;IF($Z100="","","mcd")</f>
        <v>3.3K RES 1% thick film 75V 100mW</v>
      </c>
      <c r="E100" t="str" s="15" cm="1">
        <f t="array" ref="E100">IF(ISBLANK(K100),"",HYPERLINK("https://jlcpcb.com/partdetail/"&amp;$K100,$K100))</f>
        <v>C2907023</v>
      </c>
      <c r="F100" t="str" s="15" cm="1">
        <f t="array" ref="F100">M100</f>
        <v>3.3K</v>
      </c>
      <c r="G100" t="s" s="17">
        <v>999</v>
      </c>
      <c r="H100" s="17"/>
      <c r="I100" t="s" s="17">
        <v>8</v>
      </c>
      <c r="J100" t="s" s="17">
        <v>1000</v>
      </c>
      <c r="K100" t="s" s="19">
        <v>1077</v>
      </c>
      <c r="L100" t="s" s="19">
        <v>1078</v>
      </c>
      <c r="M100" t="s" s="17">
        <v>1079</v>
      </c>
      <c r="N100" s="17"/>
      <c r="O100" s="17"/>
      <c r="P100" t="s" s="17">
        <v>435</v>
      </c>
      <c r="Q100" s="17"/>
      <c r="R100" s="17"/>
      <c r="S100" s="17"/>
      <c r="T100" t="s" s="17">
        <v>1020</v>
      </c>
      <c r="U100" t="s" s="17">
        <v>1005</v>
      </c>
      <c r="V100" s="17"/>
      <c r="W100" t="s" s="17">
        <v>1006</v>
      </c>
      <c r="X100" s="17"/>
      <c r="Y100" s="17"/>
      <c r="Z100" s="17"/>
      <c r="AA100" s="17"/>
      <c r="AB100" s="24"/>
      <c r="AC100" s="24"/>
      <c r="AD100" s="33">
        <v>1</v>
      </c>
      <c r="AE100" t="s" s="17">
        <v>438</v>
      </c>
      <c r="AF100" t="s" s="25">
        <v>1007</v>
      </c>
      <c r="AG100" t="s" s="17">
        <v>1080</v>
      </c>
      <c r="AH100" t="s" s="22">
        <v>1009</v>
      </c>
      <c r="AI100" t="s" s="23">
        <v>1010</v>
      </c>
      <c r="AJ100" t="s" s="17">
        <v>1081</v>
      </c>
    </row>
    <row r="101" ht="19.3" customHeight="1">
      <c r="B101" t="str" s="48" cm="1">
        <f t="array" ref="B101">G101&amp;"_"&amp;T101&amp;"_"&amp;W101&amp;"_"&amp;P101&amp;"_"&amp;F101</f>
        <v>RES_5%_100mW_0603_3.3K</v>
      </c>
      <c r="C101" t="str" s="16" cm="1">
        <f t="array" ref="C101">$F101&amp;IF($G101="LED"," LED","")&amp;IF($T101="",""," ")&amp;$T101&amp;IF($J101="",""," ")&amp;$J101&amp;IF($U101="",""," ")&amp;$U101&amp;IF($V101="",""," ")&amp;$V101&amp;IF($W101="",""," ")&amp;$W101&amp;IF($Z101="",""," ")&amp;$Z101&amp;IF($Z101="","","mcd")</f>
        <v>3.3K 5% thick film 75V 100mW</v>
      </c>
      <c r="D101" t="str" s="16" cm="1">
        <f t="array" ref="D101">$F101&amp;" "&amp;G101&amp;IF($T101="",""," ")&amp;$T101&amp;IF($J101="",""," ")&amp;$J101&amp;IF($U101="",""," ")&amp;$U101&amp;IF($V101="",""," ")&amp;$V101&amp;IF($W101="",""," ")&amp;$W101&amp;IF($Z101="",""," ")&amp;$Z101&amp;IF($Z101="","","mcd")</f>
        <v>3.3K RES 5% thick film 75V 100mW</v>
      </c>
      <c r="E101" t="str" s="15" cm="1">
        <f t="array" ref="E101">IF(ISBLANK(K101),"",HYPERLINK("https://jlcpcb.com/partdetail/"&amp;$K101,$K101))</f>
        <v>C25995</v>
      </c>
      <c r="F101" t="str" s="15" cm="1">
        <f t="array" ref="F101">M101</f>
        <v>3.3K</v>
      </c>
      <c r="G101" t="s" s="17">
        <v>999</v>
      </c>
      <c r="H101" s="17"/>
      <c r="I101" t="s" s="17">
        <v>8</v>
      </c>
      <c r="J101" t="s" s="17">
        <v>1000</v>
      </c>
      <c r="K101" t="s" s="19">
        <v>1086</v>
      </c>
      <c r="L101" t="s" s="19">
        <v>1087</v>
      </c>
      <c r="M101" t="s" s="17">
        <v>1079</v>
      </c>
      <c r="N101" s="17"/>
      <c r="O101" s="17"/>
      <c r="P101" t="s" s="17">
        <v>435</v>
      </c>
      <c r="Q101" s="17"/>
      <c r="R101" s="17"/>
      <c r="S101" s="17"/>
      <c r="T101" t="s" s="17">
        <v>1004</v>
      </c>
      <c r="U101" t="s" s="17">
        <v>1005</v>
      </c>
      <c r="V101" s="17"/>
      <c r="W101" t="s" s="17">
        <v>1006</v>
      </c>
      <c r="X101" s="17"/>
      <c r="Y101" s="17"/>
      <c r="Z101" s="17"/>
      <c r="AA101" s="17"/>
      <c r="AB101" s="24"/>
      <c r="AC101" s="24"/>
      <c r="AD101" s="33">
        <v>2</v>
      </c>
      <c r="AE101" t="s" s="17">
        <v>211</v>
      </c>
      <c r="AF101" t="s" s="25">
        <v>1030</v>
      </c>
      <c r="AG101" t="s" s="25">
        <v>1088</v>
      </c>
      <c r="AH101" t="s" s="40">
        <v>1009</v>
      </c>
      <c r="AI101" t="s" s="23">
        <v>1010</v>
      </c>
      <c r="AJ101" t="s" s="17">
        <v>1089</v>
      </c>
    </row>
    <row r="102" ht="19.3" customHeight="1">
      <c r="B102" t="str" s="48" cm="1">
        <f t="array" ref="B102">G102&amp;"_"&amp;T102&amp;"_"&amp;W102&amp;"_"&amp;P102&amp;"_"&amp;F102</f>
        <v>RES_5%_100mW_0603_4.7K</v>
      </c>
      <c r="C102" t="str" s="16" cm="1">
        <f t="array" ref="C102">$F102&amp;IF($G102="LED"," LED","")&amp;IF($T102="",""," ")&amp;$T102&amp;IF($J102="",""," ")&amp;$J102&amp;IF($U102="",""," ")&amp;$U102&amp;IF($V102="",""," ")&amp;$V102&amp;IF($W102="",""," ")&amp;$W102&amp;IF($Z102="",""," ")&amp;$Z102&amp;IF($Z102="","","mcd")</f>
        <v>4.7K 5% thick film 75V 100mW</v>
      </c>
      <c r="D102" t="str" s="16" cm="1">
        <f t="array" ref="D102">$F102&amp;" "&amp;G102&amp;IF($T102="",""," ")&amp;$T102&amp;IF($J102="",""," ")&amp;$J102&amp;IF($U102="",""," ")&amp;$U102&amp;IF($V102="",""," ")&amp;$V102&amp;IF($W102="",""," ")&amp;$W102&amp;IF($Z102="",""," ")&amp;$Z102&amp;IF($Z102="","","mcd")</f>
        <v>4.7K RES 5% thick film 75V 100mW</v>
      </c>
      <c r="E102" t="str" s="15" cm="1">
        <f t="array" ref="E102">IF(ISBLANK(K102),"",HYPERLINK("https://jlcpcb.com/partdetail/"&amp;$K102,$K102))</f>
        <v>C25999</v>
      </c>
      <c r="F102" t="str" s="15" cm="1">
        <f t="array" ref="F102">M102</f>
        <v>4.7K</v>
      </c>
      <c r="G102" t="s" s="17">
        <v>999</v>
      </c>
      <c r="H102" s="17"/>
      <c r="I102" t="s" s="17">
        <v>8</v>
      </c>
      <c r="J102" t="s" s="17">
        <v>1000</v>
      </c>
      <c r="K102" t="s" s="19">
        <v>1095</v>
      </c>
      <c r="L102" t="s" s="19">
        <v>1096</v>
      </c>
      <c r="M102" t="s" s="17">
        <v>1097</v>
      </c>
      <c r="N102" s="17"/>
      <c r="O102" s="17"/>
      <c r="P102" t="s" s="17">
        <v>435</v>
      </c>
      <c r="Q102" s="17"/>
      <c r="R102" s="17"/>
      <c r="S102" s="17"/>
      <c r="T102" t="s" s="17">
        <v>1004</v>
      </c>
      <c r="U102" t="s" s="17">
        <v>1005</v>
      </c>
      <c r="V102" s="17"/>
      <c r="W102" t="s" s="17">
        <v>1006</v>
      </c>
      <c r="X102" s="17"/>
      <c r="Y102" s="17"/>
      <c r="Z102" s="17"/>
      <c r="AA102" s="17"/>
      <c r="AB102" s="24"/>
      <c r="AC102" s="24"/>
      <c r="AD102" s="33">
        <v>1</v>
      </c>
      <c r="AE102" t="s" s="17">
        <v>211</v>
      </c>
      <c r="AF102" t="s" s="25">
        <v>1030</v>
      </c>
      <c r="AG102" t="s" s="25">
        <v>1098</v>
      </c>
      <c r="AH102" t="s" s="40">
        <v>1009</v>
      </c>
      <c r="AI102" t="s" s="23">
        <v>1010</v>
      </c>
      <c r="AJ102" t="s" s="17">
        <v>1099</v>
      </c>
    </row>
    <row r="103" ht="19.3" customHeight="1">
      <c r="B103" t="str" s="48" cm="1">
        <f t="array" ref="B103">G103&amp;"_"&amp;T103&amp;"_"&amp;W103&amp;"_"&amp;P103&amp;"_"&amp;F103</f>
        <v>RES_5%_100mW_0603_5.6K</v>
      </c>
      <c r="C103" t="str" s="16" cm="1">
        <f t="array" ref="C103">$F103&amp;IF($G103="LED"," LED","")&amp;IF($T103="",""," ")&amp;$T103&amp;IF($J103="",""," ")&amp;$J103&amp;IF($U103="",""," ")&amp;$U103&amp;IF($V103="",""," ")&amp;$V103&amp;IF($W103="",""," ")&amp;$W103&amp;IF($Z103="",""," ")&amp;$Z103&amp;IF($Z103="","","mcd")</f>
        <v>5.6K 5% thick film 75V 100mW</v>
      </c>
      <c r="D103" t="str" s="16" cm="1">
        <f t="array" ref="D103">$F103&amp;" "&amp;G103&amp;IF($T103="",""," ")&amp;$T103&amp;IF($J103="",""," ")&amp;$J103&amp;IF($U103="",""," ")&amp;$U103&amp;IF($V103="",""," ")&amp;$V103&amp;IF($W103="",""," ")&amp;$W103&amp;IF($Z103="",""," ")&amp;$Z103&amp;IF($Z103="","","mcd")</f>
        <v>5.6K RES 5% thick film 75V 100mW</v>
      </c>
      <c r="E103" t="str" s="15" cm="1">
        <f t="array" ref="E103">IF(ISBLANK(K103),"",HYPERLINK("https://jlcpcb.com/partdetail/"&amp;$K103,$K103))</f>
        <v>C26001</v>
      </c>
      <c r="F103" t="str" s="15" cm="1">
        <f t="array" ref="F103">M103</f>
        <v>5.6K</v>
      </c>
      <c r="G103" t="s" s="17">
        <v>999</v>
      </c>
      <c r="H103" s="17"/>
      <c r="I103" t="s" s="17">
        <v>8</v>
      </c>
      <c r="J103" t="s" s="17">
        <v>1000</v>
      </c>
      <c r="K103" t="s" s="19">
        <v>1105</v>
      </c>
      <c r="L103" t="s" s="19">
        <v>1106</v>
      </c>
      <c r="M103" t="s" s="17">
        <v>1107</v>
      </c>
      <c r="N103" s="17"/>
      <c r="O103" s="17"/>
      <c r="P103" t="s" s="17">
        <v>435</v>
      </c>
      <c r="Q103" s="17"/>
      <c r="R103" s="17"/>
      <c r="S103" s="17"/>
      <c r="T103" t="s" s="17">
        <v>1004</v>
      </c>
      <c r="U103" t="s" s="17">
        <v>1005</v>
      </c>
      <c r="V103" s="17"/>
      <c r="W103" t="s" s="17">
        <v>1006</v>
      </c>
      <c r="X103" s="17"/>
      <c r="Y103" s="17"/>
      <c r="Z103" s="17"/>
      <c r="AA103" s="17"/>
      <c r="AB103" s="24"/>
      <c r="AC103" s="24"/>
      <c r="AD103" s="33">
        <v>1</v>
      </c>
      <c r="AE103" t="s" s="17">
        <v>211</v>
      </c>
      <c r="AF103" t="s" s="25">
        <v>1030</v>
      </c>
      <c r="AG103" t="s" s="25">
        <v>1108</v>
      </c>
      <c r="AH103" t="s" s="40">
        <v>1009</v>
      </c>
      <c r="AI103" t="s" s="23">
        <v>1010</v>
      </c>
      <c r="AJ103" t="s" s="17">
        <v>1109</v>
      </c>
    </row>
    <row r="104" ht="18.9" customHeight="1">
      <c r="B104" t="str" s="48" cm="1">
        <f t="array" ref="B104">G104&amp;"_"&amp;T104&amp;"_"&amp;W104&amp;"_"&amp;P104&amp;"_"&amp;F104</f>
        <v>RES_5%_100mW_0603_10K</v>
      </c>
      <c r="C104" t="str" s="16" cm="1">
        <f t="array" ref="C104">$F104&amp;IF($G104="LED"," LED","")&amp;IF($T104="",""," ")&amp;$T104&amp;IF($J104="",""," ")&amp;$J104&amp;IF($U104="",""," ")&amp;$U104&amp;IF($V104="",""," ")&amp;$V104&amp;IF($W104="",""," ")&amp;$W104&amp;IF($Z104="",""," ")&amp;$Z104&amp;IF($Z104="","","mcd")</f>
        <v>10K 5% thick film 150V 100mW</v>
      </c>
      <c r="D104" t="str" s="16" cm="1">
        <f t="array" ref="D104">$F104&amp;" "&amp;G104&amp;IF($T104="",""," ")&amp;$T104&amp;IF($J104="",""," ")&amp;$J104&amp;IF($U104="",""," ")&amp;$U104&amp;IF($V104="",""," ")&amp;$V104&amp;IF($W104="",""," ")&amp;$W104&amp;IF($Z104="",""," ")&amp;$Z104&amp;IF($Z104="","","mcd")</f>
        <v>10K RES 5% thick film 150V 100mW</v>
      </c>
      <c r="E104" t="str" s="15" cm="1">
        <f t="array" ref="E104">IF(ISBLANK(K104),"",HYPERLINK("https://jlcpcb.com/partdetail/"&amp;$K104,$K104))</f>
        <v>C4118381</v>
      </c>
      <c r="F104" t="str" s="15" cm="1">
        <f t="array" ref="F104">M104</f>
        <v>10K</v>
      </c>
      <c r="G104" t="s" s="17">
        <v>999</v>
      </c>
      <c r="H104" s="17"/>
      <c r="I104" t="s" s="17">
        <v>8</v>
      </c>
      <c r="J104" t="s" s="17">
        <v>1000</v>
      </c>
      <c r="K104" t="s" s="19">
        <v>1115</v>
      </c>
      <c r="L104" t="s" s="19">
        <v>1116</v>
      </c>
      <c r="M104" t="s" s="17">
        <v>1117</v>
      </c>
      <c r="N104" s="17"/>
      <c r="O104" s="17"/>
      <c r="P104" t="s" s="17">
        <v>435</v>
      </c>
      <c r="Q104" s="17"/>
      <c r="R104" s="17"/>
      <c r="S104" s="17"/>
      <c r="T104" t="s" s="17">
        <v>1004</v>
      </c>
      <c r="U104" t="s" s="17">
        <v>1021</v>
      </c>
      <c r="V104" s="17"/>
      <c r="W104" t="s" s="17">
        <v>1006</v>
      </c>
      <c r="X104" s="17"/>
      <c r="Y104" s="17"/>
      <c r="Z104" s="17"/>
      <c r="AA104" s="17"/>
      <c r="AB104" s="24"/>
      <c r="AC104" s="24"/>
      <c r="AD104" s="33">
        <v>1</v>
      </c>
      <c r="AE104" t="s" s="17">
        <v>438</v>
      </c>
      <c r="AF104" t="s" s="25">
        <v>439</v>
      </c>
      <c r="AG104" t="s" s="17">
        <v>1118</v>
      </c>
      <c r="AH104" t="s" s="22">
        <v>1009</v>
      </c>
      <c r="AI104" t="s" s="23">
        <v>1010</v>
      </c>
      <c r="AJ104" t="s" s="17">
        <v>1119</v>
      </c>
    </row>
    <row r="105" ht="18.9" customHeight="1">
      <c r="B105" t="str" s="48" cm="1">
        <f t="array" ref="B105">G105&amp;"_"&amp;T105&amp;"_"&amp;W105&amp;"_"&amp;P105&amp;"_"&amp;F105</f>
        <v>RES_5%_100mW_0603_10K</v>
      </c>
      <c r="C105" t="str" s="16" cm="1">
        <f t="array" ref="C105">$F105&amp;IF($G105="LED"," LED","")&amp;IF($T105="",""," ")&amp;$T105&amp;IF($J105="",""," ")&amp;$J105&amp;IF($U105="",""," ")&amp;$U105&amp;IF($V105="",""," ")&amp;$V105&amp;IF($W105="",""," ")&amp;$W105&amp;IF($Z105="",""," ")&amp;$Z105&amp;IF($Z105="","","mcd")</f>
        <v>10K 5% thick film 75V 100mW</v>
      </c>
      <c r="D105" t="str" s="16" cm="1">
        <f t="array" ref="D105">$F105&amp;" "&amp;G105&amp;IF($T105="",""," ")&amp;$T105&amp;IF($J105="",""," ")&amp;$J105&amp;IF($U105="",""," ")&amp;$U105&amp;IF($V105="",""," ")&amp;$V105&amp;IF($W105="",""," ")&amp;$W105&amp;IF($Z105="",""," ")&amp;$Z105&amp;IF($Z105="","","mcd")</f>
        <v>10K RES 5% thick film 75V 100mW</v>
      </c>
      <c r="E105" t="str" s="15" cm="1">
        <f t="array" ref="E105">IF(ISBLANK(K105),"",HYPERLINK("https://jlcpcb.com/partdetail/"&amp;$K105,$K105))</f>
        <v>C2930027</v>
      </c>
      <c r="F105" t="str" s="15" cm="1">
        <f t="array" ref="F105">M105</f>
        <v>10K</v>
      </c>
      <c r="G105" t="s" s="17">
        <v>999</v>
      </c>
      <c r="H105" s="17"/>
      <c r="I105" t="s" s="17">
        <v>8</v>
      </c>
      <c r="J105" t="s" s="17">
        <v>1000</v>
      </c>
      <c r="K105" t="s" s="19">
        <v>1123</v>
      </c>
      <c r="L105" t="s" s="19">
        <v>1124</v>
      </c>
      <c r="M105" t="s" s="17">
        <v>1117</v>
      </c>
      <c r="N105" s="17"/>
      <c r="O105" s="17"/>
      <c r="P105" t="s" s="17">
        <v>435</v>
      </c>
      <c r="Q105" s="17"/>
      <c r="R105" s="17"/>
      <c r="S105" s="17"/>
      <c r="T105" t="s" s="17">
        <v>1004</v>
      </c>
      <c r="U105" t="s" s="17">
        <v>1005</v>
      </c>
      <c r="V105" s="17"/>
      <c r="W105" t="s" s="17">
        <v>1006</v>
      </c>
      <c r="X105" s="17"/>
      <c r="Y105" s="17"/>
      <c r="Z105" s="17"/>
      <c r="AA105" s="17"/>
      <c r="AB105" s="24"/>
      <c r="AC105" s="24"/>
      <c r="AD105" s="33">
        <v>2</v>
      </c>
      <c r="AE105" t="s" s="17">
        <v>438</v>
      </c>
      <c r="AF105" t="s" s="25">
        <v>1007</v>
      </c>
      <c r="AG105" t="s" s="17">
        <v>1125</v>
      </c>
      <c r="AH105" t="s" s="22">
        <v>1009</v>
      </c>
      <c r="AI105" t="s" s="23">
        <v>1010</v>
      </c>
      <c r="AJ105" t="s" s="17">
        <v>1126</v>
      </c>
    </row>
    <row r="106" ht="18.9" customHeight="1">
      <c r="B106" t="str" s="48" cm="1">
        <f t="array" ref="B106">G106&amp;"_"&amp;T106&amp;"_"&amp;W106&amp;"_"&amp;P106&amp;"_"&amp;F106</f>
        <v>RES_5%_100mW_0603_10K</v>
      </c>
      <c r="C106" t="str" s="16" cm="1">
        <f t="array" ref="C106">$F106&amp;IF($G106="LED"," LED","")&amp;IF($T106="",""," ")&amp;$T106&amp;IF($J106="",""," ")&amp;$J106&amp;IF($U106="",""," ")&amp;$U106&amp;IF($V106="",""," ")&amp;$V106&amp;IF($W106="",""," ")&amp;$W106&amp;IF($Z106="",""," ")&amp;$Z106&amp;IF($Z106="","","mcd")</f>
        <v>10K 5% thick film 75V 100mW</v>
      </c>
      <c r="D106" t="str" s="16" cm="1">
        <f t="array" ref="D106">$F106&amp;" "&amp;G106&amp;IF($T106="",""," ")&amp;$T106&amp;IF($J106="",""," ")&amp;$J106&amp;IF($U106="",""," ")&amp;$U106&amp;IF($V106="",""," ")&amp;$V106&amp;IF($W106="",""," ")&amp;$W106&amp;IF($Z106="",""," ")&amp;$Z106&amp;IF($Z106="","","mcd")</f>
        <v>10K RES 5% thick film 75V 100mW</v>
      </c>
      <c r="E106" t="str" s="15" cm="1">
        <f t="array" ref="E106">IF(ISBLANK(K106),"",HYPERLINK("https://jlcpcb.com/partdetail/"&amp;$K106,$K106))</f>
        <v>C15401</v>
      </c>
      <c r="F106" t="str" s="15" cm="1">
        <f t="array" ref="F106">M106</f>
        <v>10K</v>
      </c>
      <c r="G106" t="s" s="17">
        <v>999</v>
      </c>
      <c r="H106" s="17"/>
      <c r="I106" t="s" s="17">
        <v>8</v>
      </c>
      <c r="J106" t="s" s="17">
        <v>1000</v>
      </c>
      <c r="K106" t="s" s="19">
        <v>1128</v>
      </c>
      <c r="L106" t="s" s="19">
        <v>1124</v>
      </c>
      <c r="M106" t="s" s="17">
        <v>1117</v>
      </c>
      <c r="N106" s="17"/>
      <c r="O106" s="17"/>
      <c r="P106" t="s" s="17">
        <v>435</v>
      </c>
      <c r="Q106" s="17"/>
      <c r="R106" s="17"/>
      <c r="S106" s="17"/>
      <c r="T106" t="s" s="17">
        <v>1004</v>
      </c>
      <c r="U106" t="s" s="17">
        <v>1005</v>
      </c>
      <c r="V106" s="17"/>
      <c r="W106" t="s" s="17">
        <v>1006</v>
      </c>
      <c r="X106" s="17"/>
      <c r="Y106" s="17"/>
      <c r="Z106" s="17"/>
      <c r="AA106" s="17"/>
      <c r="AB106" s="24"/>
      <c r="AC106" s="24"/>
      <c r="AD106" s="33">
        <v>3</v>
      </c>
      <c r="AE106" t="s" s="17">
        <v>211</v>
      </c>
      <c r="AF106" t="s" s="25">
        <v>1030</v>
      </c>
      <c r="AG106" t="s" s="17">
        <v>1129</v>
      </c>
      <c r="AH106" t="s" s="40">
        <v>1009</v>
      </c>
      <c r="AI106" t="s" s="23">
        <v>1010</v>
      </c>
      <c r="AJ106" t="s" s="17">
        <v>1130</v>
      </c>
    </row>
    <row r="107" ht="18.9" customHeight="1">
      <c r="B107" t="str" s="48" cm="1">
        <f t="array" ref="B107">G107&amp;"_"&amp;T107&amp;"_"&amp;W107&amp;"_"&amp;P107&amp;"_"&amp;F107</f>
        <v>RES_5%_100mW_0603_12k</v>
      </c>
      <c r="C107" t="str" s="16" cm="1">
        <f t="array" ref="C107">$F107&amp;IF($G107="LED"," LED","")&amp;IF($T107="",""," ")&amp;$T107&amp;IF($J107="",""," ")&amp;$J107&amp;IF($U107="",""," ")&amp;$U107&amp;IF($V107="",""," ")&amp;$V107&amp;IF($W107="",""," ")&amp;$W107&amp;IF($Z107="",""," ")&amp;$Z107&amp;IF($Z107="","","mcd")</f>
        <v>12k 5% thick film 75V 100mW</v>
      </c>
      <c r="D107" t="str" s="16" cm="1">
        <f t="array" ref="D107">$F107&amp;" "&amp;G107&amp;IF($T107="",""," ")&amp;$T107&amp;IF($J107="",""," ")&amp;$J107&amp;IF($U107="",""," ")&amp;$U107&amp;IF($V107="",""," ")&amp;$V107&amp;IF($W107="",""," ")&amp;$W107&amp;IF($Z107="",""," ")&amp;$Z107&amp;IF($Z107="","","mcd")</f>
        <v>12k RES 5% thick film 75V 100mW</v>
      </c>
      <c r="E107" t="str" s="15" cm="1">
        <f t="array" ref="E107">IF(ISBLANK(K107),"",HYPERLINK("https://jlcpcb.com/partdetail/"&amp;$K107,$K107))</f>
        <v>C25577</v>
      </c>
      <c r="F107" t="str" s="15" cm="1">
        <f t="array" ref="F107">M107</f>
        <v>12k</v>
      </c>
      <c r="G107" t="s" s="17">
        <v>999</v>
      </c>
      <c r="H107" s="17"/>
      <c r="I107" t="s" s="17">
        <v>8</v>
      </c>
      <c r="J107" t="s" s="17">
        <v>1000</v>
      </c>
      <c r="K107" t="s" s="19">
        <v>1136</v>
      </c>
      <c r="L107" t="s" s="19">
        <v>1137</v>
      </c>
      <c r="M107" t="s" s="17">
        <v>1138</v>
      </c>
      <c r="N107" s="17"/>
      <c r="O107" s="17"/>
      <c r="P107" t="s" s="17">
        <v>435</v>
      </c>
      <c r="Q107" s="17"/>
      <c r="R107" s="17"/>
      <c r="S107" s="17"/>
      <c r="T107" t="s" s="17">
        <v>1004</v>
      </c>
      <c r="U107" t="s" s="17">
        <v>1005</v>
      </c>
      <c r="V107" s="17"/>
      <c r="W107" t="s" s="17">
        <v>1006</v>
      </c>
      <c r="X107" s="17"/>
      <c r="Y107" s="17"/>
      <c r="Z107" s="17"/>
      <c r="AA107" s="17"/>
      <c r="AB107" s="24"/>
      <c r="AC107" s="24"/>
      <c r="AD107" s="42"/>
      <c r="AE107" s="18"/>
      <c r="AF107" t="s" s="25">
        <v>1030</v>
      </c>
      <c r="AG107" t="s" s="17">
        <v>1139</v>
      </c>
      <c r="AH107" t="s" s="40">
        <v>1009</v>
      </c>
      <c r="AI107" t="s" s="23">
        <v>1010</v>
      </c>
      <c r="AJ107" t="s" s="17">
        <v>1140</v>
      </c>
    </row>
    <row r="108" ht="18.9" customHeight="1">
      <c r="B108" t="str" s="48" cm="1">
        <f t="array" ref="B108">G108&amp;"_"&amp;T108&amp;"_"&amp;W108&amp;"_"&amp;P108&amp;"_"&amp;F108</f>
        <v>RES_5%_100mW_0603_22K</v>
      </c>
      <c r="C108" t="str" s="16" cm="1">
        <f t="array" ref="C108">$F108&amp;IF($G108="LED"," LED","")&amp;IF($T108="",""," ")&amp;$T108&amp;IF($J108="",""," ")&amp;$J108&amp;IF($U108="",""," ")&amp;$U108&amp;IF($V108="",""," ")&amp;$V108&amp;IF($W108="",""," ")&amp;$W108&amp;IF($Z108="",""," ")&amp;$Z108&amp;IF($Z108="","","mcd")</f>
        <v>22K 5% thick film 75V 100mW</v>
      </c>
      <c r="D108" t="str" s="16" cm="1">
        <f t="array" ref="D108">$F108&amp;" "&amp;G108&amp;IF($T108="",""," ")&amp;$T108&amp;IF($J108="",""," ")&amp;$J108&amp;IF($U108="",""," ")&amp;$U108&amp;IF($V108="",""," ")&amp;$V108&amp;IF($W108="",""," ")&amp;$W108&amp;IF($Z108="",""," ")&amp;$Z108&amp;IF($Z108="","","mcd")</f>
        <v>22K RES 5% thick film 75V 100mW</v>
      </c>
      <c r="E108" t="str" s="15" cm="1">
        <f t="array" ref="E108">IF(ISBLANK(K108),"",HYPERLINK("https://jlcpcb.com/partdetail/"&amp;$K108,$K108))</f>
        <v>C23344</v>
      </c>
      <c r="F108" t="str" s="15" cm="1">
        <f t="array" ref="F108">M108</f>
        <v>22K</v>
      </c>
      <c r="G108" t="s" s="17">
        <v>999</v>
      </c>
      <c r="H108" s="17"/>
      <c r="I108" t="s" s="17">
        <v>8</v>
      </c>
      <c r="J108" t="s" s="17">
        <v>1000</v>
      </c>
      <c r="K108" t="s" s="19">
        <v>1146</v>
      </c>
      <c r="L108" t="s" s="19">
        <v>1147</v>
      </c>
      <c r="M108" t="s" s="17">
        <v>1148</v>
      </c>
      <c r="N108" s="17"/>
      <c r="O108" s="17"/>
      <c r="P108" t="s" s="17">
        <v>435</v>
      </c>
      <c r="Q108" s="17"/>
      <c r="R108" s="17"/>
      <c r="S108" s="17"/>
      <c r="T108" t="s" s="17">
        <v>1004</v>
      </c>
      <c r="U108" t="s" s="17">
        <v>1005</v>
      </c>
      <c r="V108" s="17"/>
      <c r="W108" t="s" s="17">
        <v>1006</v>
      </c>
      <c r="X108" s="17"/>
      <c r="Y108" s="17"/>
      <c r="Z108" s="17"/>
      <c r="AA108" s="17"/>
      <c r="AB108" s="24"/>
      <c r="AC108" s="24"/>
      <c r="AD108" s="33">
        <v>1</v>
      </c>
      <c r="AE108" t="s" s="17">
        <v>211</v>
      </c>
      <c r="AF108" t="s" s="25">
        <v>1030</v>
      </c>
      <c r="AG108" t="s" s="17">
        <v>1149</v>
      </c>
      <c r="AH108" t="s" s="40">
        <v>1009</v>
      </c>
      <c r="AI108" t="s" s="23">
        <v>1010</v>
      </c>
      <c r="AJ108" t="s" s="17">
        <v>1150</v>
      </c>
    </row>
    <row r="109" ht="18.9" customHeight="1">
      <c r="B109" t="str" s="48" cm="1">
        <f t="array" ref="B109">G109&amp;"_"&amp;T109&amp;"_"&amp;W109&amp;"_"&amp;P109&amp;"_"&amp;F109</f>
        <v>RES_5%_100mW_0603_100K</v>
      </c>
      <c r="C109" t="str" s="16" cm="1">
        <f t="array" ref="C109">$F109&amp;IF($G109="LED"," LED","")&amp;IF($T109="",""," ")&amp;$T109&amp;IF($J109="",""," ")&amp;$J109&amp;IF($U109="",""," ")&amp;$U109&amp;IF($V109="",""," ")&amp;$V109&amp;IF($W109="",""," ")&amp;$W109&amp;IF($Z109="",""," ")&amp;$Z109&amp;IF($Z109="","","mcd")</f>
        <v>100K 5% thick film 75V 100mW</v>
      </c>
      <c r="D109" t="str" s="16" cm="1">
        <f t="array" ref="D109">$F109&amp;" "&amp;G109&amp;IF($T109="",""," ")&amp;$T109&amp;IF($J109="",""," ")&amp;$J109&amp;IF($U109="",""," ")&amp;$U109&amp;IF($V109="",""," ")&amp;$V109&amp;IF($W109="",""," ")&amp;$W109&amp;IF($Z109="",""," ")&amp;$Z109&amp;IF($Z109="","","mcd")</f>
        <v>100K RES 5% thick film 75V 100mW</v>
      </c>
      <c r="E109" t="str" s="15" cm="1">
        <f t="array" ref="E109">IF(ISBLANK(K109),"",HYPERLINK("https://jlcpcb.com/partdetail/"&amp;$K109,$K109))</f>
        <v>C15458</v>
      </c>
      <c r="F109" t="str" s="15" cm="1">
        <f t="array" ref="F109">M109</f>
        <v>100K</v>
      </c>
      <c r="G109" t="s" s="17">
        <v>999</v>
      </c>
      <c r="H109" s="17"/>
      <c r="I109" t="s" s="17">
        <v>8</v>
      </c>
      <c r="J109" t="s" s="17">
        <v>1000</v>
      </c>
      <c r="K109" t="s" s="19">
        <v>1156</v>
      </c>
      <c r="L109" t="s" s="19">
        <v>1157</v>
      </c>
      <c r="M109" t="s" s="17">
        <v>1158</v>
      </c>
      <c r="N109" s="17"/>
      <c r="O109" s="17"/>
      <c r="P109" t="s" s="17">
        <v>435</v>
      </c>
      <c r="Q109" s="17"/>
      <c r="R109" s="17"/>
      <c r="S109" s="17"/>
      <c r="T109" t="s" s="17">
        <v>1004</v>
      </c>
      <c r="U109" t="s" s="17">
        <v>1005</v>
      </c>
      <c r="V109" s="17"/>
      <c r="W109" t="s" s="17">
        <v>1006</v>
      </c>
      <c r="X109" s="17"/>
      <c r="Y109" s="17"/>
      <c r="Z109" s="17"/>
      <c r="AA109" s="17"/>
      <c r="AB109" s="24"/>
      <c r="AC109" s="24"/>
      <c r="AD109" s="33">
        <v>1</v>
      </c>
      <c r="AE109" t="s" s="17">
        <v>211</v>
      </c>
      <c r="AF109" t="s" s="25">
        <v>1030</v>
      </c>
      <c r="AG109" t="s" s="17">
        <v>1159</v>
      </c>
      <c r="AH109" t="s" s="40">
        <v>1009</v>
      </c>
      <c r="AI109" t="s" s="23">
        <v>1010</v>
      </c>
      <c r="AJ109" t="s" s="17">
        <v>1160</v>
      </c>
    </row>
    <row r="110" ht="18.9" customHeight="1">
      <c r="B110" t="str" s="48" cm="1">
        <f t="array" ref="B110">G110&amp;"_"&amp;T110&amp;"_"&amp;W110&amp;"_"&amp;P110&amp;"_"&amp;F110</f>
        <v>RES_1%_100mW_0603_1M</v>
      </c>
      <c r="C110" t="str" s="16" cm="1">
        <f t="array" ref="C110">$F110&amp;IF($G110="LED"," LED","")&amp;IF($T110="",""," ")&amp;$T110&amp;IF($J110="",""," ")&amp;$J110&amp;IF($U110="",""," ")&amp;$U110&amp;IF($V110="",""," ")&amp;$V110&amp;IF($W110="",""," ")&amp;$W110&amp;IF($Z110="",""," ")&amp;$Z110&amp;IF($Z110="","","mcd")</f>
        <v>1M 1% thick film 75V 100mW</v>
      </c>
      <c r="D110" t="str" s="16" cm="1">
        <f t="array" ref="D110">$F110&amp;" "&amp;G110&amp;IF($T110="",""," ")&amp;$T110&amp;IF($J110="",""," ")&amp;$J110&amp;IF($U110="",""," ")&amp;$U110&amp;IF($V110="",""," ")&amp;$V110&amp;IF($W110="",""," ")&amp;$W110&amp;IF($Z110="",""," ")&amp;$Z110&amp;IF($Z110="","","mcd")</f>
        <v>1M RES 1% thick film 75V 100mW</v>
      </c>
      <c r="E110" t="str" s="15" cm="1">
        <f t="array" ref="E110">IF(ISBLANK(K110),"",HYPERLINK("https://jlcpcb.com/partdetail/"&amp;$K110,$K110))</f>
        <v>C22935</v>
      </c>
      <c r="F110" t="str" s="15" cm="1">
        <f t="array" ref="F110">M110</f>
        <v>1M</v>
      </c>
      <c r="G110" t="s" s="17">
        <v>999</v>
      </c>
      <c r="H110" s="17"/>
      <c r="I110" t="s" s="17">
        <v>8</v>
      </c>
      <c r="J110" t="s" s="17">
        <v>1000</v>
      </c>
      <c r="K110" t="s" s="19">
        <v>1166</v>
      </c>
      <c r="L110" t="s" s="19">
        <v>1167</v>
      </c>
      <c r="M110" t="s" s="17">
        <v>1168</v>
      </c>
      <c r="N110" s="17"/>
      <c r="O110" s="17"/>
      <c r="P110" t="s" s="17">
        <v>435</v>
      </c>
      <c r="Q110" s="17"/>
      <c r="R110" s="17"/>
      <c r="S110" s="17"/>
      <c r="T110" t="s" s="17">
        <v>1020</v>
      </c>
      <c r="U110" t="s" s="17">
        <v>1005</v>
      </c>
      <c r="V110" s="17"/>
      <c r="W110" t="s" s="17">
        <v>1006</v>
      </c>
      <c r="X110" s="17"/>
      <c r="Y110" s="17"/>
      <c r="Z110" s="17"/>
      <c r="AA110" s="17"/>
      <c r="AB110" s="24"/>
      <c r="AC110" s="24"/>
      <c r="AD110" s="33">
        <v>1</v>
      </c>
      <c r="AE110" t="s" s="17">
        <v>438</v>
      </c>
      <c r="AF110" t="s" s="25">
        <v>1030</v>
      </c>
      <c r="AG110" t="s" s="17">
        <v>1169</v>
      </c>
      <c r="AH110" t="s" s="22">
        <v>1009</v>
      </c>
      <c r="AI110" t="s" s="23">
        <v>1010</v>
      </c>
      <c r="AJ110" t="s" s="17">
        <v>1170</v>
      </c>
    </row>
    <row r="111" ht="17.7" customHeight="1">
      <c r="B111" t="str" s="48" cm="1">
        <f t="array" ref="B111">G111&amp;"_"&amp;T111&amp;"_"&amp;W111&amp;"_"&amp;P111&amp;"_"&amp;F111</f>
        <v>RES_5%_100mW_0603_1M</v>
      </c>
      <c r="C111" t="str" s="16" cm="1">
        <f t="array" ref="C111">$F111&amp;IF($G111="LED"," LED","")&amp;IF($T111="",""," ")&amp;$T111&amp;IF($J111="",""," ")&amp;$J111&amp;IF($U111="",""," ")&amp;$U111&amp;IF($V111="",""," ")&amp;$V111&amp;IF($W111="",""," ")&amp;$W111&amp;IF($Z111="",""," ")&amp;$Z111&amp;IF($Z111="","","mcd")</f>
        <v>1M 5% thick film 75V 100mW</v>
      </c>
      <c r="D111" t="str" s="16" cm="1">
        <f t="array" ref="D111">$F111&amp;" "&amp;G111&amp;IF($T111="",""," ")&amp;$T111&amp;IF($J111="",""," ")&amp;$J111&amp;IF($U111="",""," ")&amp;$U111&amp;IF($V111="",""," ")&amp;$V111&amp;IF($W111="",""," ")&amp;$W111&amp;IF($Z111="",""," ")&amp;$Z111&amp;IF($Z111="","","mcd")</f>
        <v>1M RES 5% thick film 75V 100mW</v>
      </c>
      <c r="E111" t="str" s="15" cm="1">
        <f t="array" ref="E111">IF(ISBLANK(K111),"",HYPERLINK("https://jlcpcb.com/partdetail/"&amp;$K111,$K111))</f>
        <v>C26098</v>
      </c>
      <c r="F111" t="str" s="15" cm="1">
        <f t="array" ref="F111">M111</f>
        <v>1M</v>
      </c>
      <c r="G111" t="s" s="17">
        <v>999</v>
      </c>
      <c r="H111" s="17"/>
      <c r="I111" t="s" s="17">
        <v>8</v>
      </c>
      <c r="J111" t="s" s="17">
        <v>1000</v>
      </c>
      <c r="K111" t="s" s="19">
        <v>1175</v>
      </c>
      <c r="L111" t="s" s="19">
        <v>1176</v>
      </c>
      <c r="M111" t="s" s="17">
        <v>1168</v>
      </c>
      <c r="N111" s="17"/>
      <c r="O111" s="17"/>
      <c r="P111" t="s" s="17">
        <v>435</v>
      </c>
      <c r="Q111" s="17"/>
      <c r="R111" s="17"/>
      <c r="S111" s="17"/>
      <c r="T111" t="s" s="17">
        <v>1004</v>
      </c>
      <c r="U111" t="s" s="17">
        <v>1005</v>
      </c>
      <c r="V111" s="17"/>
      <c r="W111" t="s" s="17">
        <v>1006</v>
      </c>
      <c r="X111" s="17"/>
      <c r="Y111" s="17"/>
      <c r="Z111" s="17"/>
      <c r="AA111" s="17"/>
      <c r="AB111" s="24"/>
      <c r="AC111" s="24"/>
      <c r="AD111" s="33">
        <v>2</v>
      </c>
      <c r="AE111" t="s" s="17">
        <v>211</v>
      </c>
      <c r="AF111" t="s" s="25">
        <v>1030</v>
      </c>
      <c r="AG111" t="s" s="35">
        <v>1177</v>
      </c>
      <c r="AH111" t="s" s="40">
        <v>1009</v>
      </c>
      <c r="AI111" t="s" s="23">
        <v>1010</v>
      </c>
      <c r="AJ111" t="s" s="17">
        <v>1178</v>
      </c>
    </row>
    <row r="112" ht="18.9" customHeight="1">
      <c r="B112" t="str" s="48" cm="1">
        <f t="array" ref="B112">G112&amp;"_"&amp;T112&amp;"_"&amp;W112&amp;"_"&amp;P112&amp;"_"&amp;F112</f>
        <v>RES_5%_100mW_0603_2.2M</v>
      </c>
      <c r="C112" t="str" s="16" cm="1">
        <f t="array" ref="C112">$F112&amp;IF($G112="LED"," LED","")&amp;IF($T112="",""," ")&amp;$T112&amp;IF($J112="",""," ")&amp;$J112&amp;IF($U112="",""," ")&amp;$U112&amp;IF($V112="",""," ")&amp;$V112&amp;IF($W112="",""," ")&amp;$W112&amp;IF($Z112="",""," ")&amp;$Z112&amp;IF($Z112="","","mcd")</f>
        <v>2.2M 5% thick film 75V 100mW</v>
      </c>
      <c r="D112" t="str" s="16" cm="1">
        <f t="array" ref="D112">$F112&amp;" "&amp;G112&amp;IF($T112="",""," ")&amp;$T112&amp;IF($J112="",""," ")&amp;$J112&amp;IF($U112="",""," ")&amp;$U112&amp;IF($V112="",""," ")&amp;$V112&amp;IF($W112="",""," ")&amp;$W112&amp;IF($Z112="",""," ")&amp;$Z112&amp;IF($Z112="","","mcd")</f>
        <v>2.2M RES 5% thick film 75V 100mW</v>
      </c>
      <c r="E112" t="str" s="15" cm="1">
        <f t="array" ref="E112">IF(ISBLANK(K112),"",HYPERLINK("https://jlcpcb.com/partdetail/"&amp;$K112,$K112))</f>
        <v>C18679</v>
      </c>
      <c r="F112" t="str" s="15" cm="1">
        <f t="array" ref="F112">M112</f>
        <v>2.2M</v>
      </c>
      <c r="G112" t="s" s="17">
        <v>999</v>
      </c>
      <c r="H112" s="17"/>
      <c r="I112" t="s" s="17">
        <v>8</v>
      </c>
      <c r="J112" t="s" s="17">
        <v>1000</v>
      </c>
      <c r="K112" t="s" s="19">
        <v>1184</v>
      </c>
      <c r="L112" t="s" s="19">
        <v>1185</v>
      </c>
      <c r="M112" t="s" s="17">
        <v>1186</v>
      </c>
      <c r="N112" s="17"/>
      <c r="O112" s="17"/>
      <c r="P112" t="s" s="17">
        <v>435</v>
      </c>
      <c r="Q112" s="17"/>
      <c r="R112" s="17"/>
      <c r="S112" s="17"/>
      <c r="T112" t="s" s="17">
        <v>1004</v>
      </c>
      <c r="U112" t="s" s="17">
        <v>1005</v>
      </c>
      <c r="V112" s="17"/>
      <c r="W112" t="s" s="17">
        <v>1006</v>
      </c>
      <c r="X112" s="17"/>
      <c r="Y112" s="17"/>
      <c r="Z112" s="17"/>
      <c r="AA112" s="17"/>
      <c r="AB112" s="24"/>
      <c r="AC112" s="24"/>
      <c r="AD112" s="33">
        <v>3</v>
      </c>
      <c r="AE112" t="s" s="17">
        <v>211</v>
      </c>
      <c r="AF112" t="s" s="25">
        <v>1030</v>
      </c>
      <c r="AG112" t="s" s="17">
        <v>1187</v>
      </c>
      <c r="AH112" t="s" s="22">
        <v>1009</v>
      </c>
      <c r="AI112" t="s" s="23">
        <v>1010</v>
      </c>
      <c r="AJ112" t="s" s="17">
        <v>1188</v>
      </c>
    </row>
    <row r="113" ht="18.9" customHeight="1">
      <c r="B113" t="str" s="48" cm="1">
        <f t="array" ref="B113">G113&amp;"_"&amp;T113&amp;"_"&amp;W113&amp;"_"&amp;P113&amp;"_"&amp;F113</f>
        <v>RES_5%_100mW_0603_2.2M</v>
      </c>
      <c r="C113" t="str" s="16" cm="1">
        <f t="array" ref="C113">$F113&amp;IF($G113="LED"," LED","")&amp;IF($T113="",""," ")&amp;$T113&amp;IF($J113="",""," ")&amp;$J113&amp;IF($U113="",""," ")&amp;$U113&amp;IF($V113="",""," ")&amp;$V113&amp;IF($W113="",""," ")&amp;$W113&amp;IF($Z113="",""," ")&amp;$Z113&amp;IF($Z113="","","mcd")</f>
        <v>2.2M 5% thick film 50V 100mW</v>
      </c>
      <c r="D113" t="str" s="16" cm="1">
        <f t="array" ref="D113">$F113&amp;" "&amp;G113&amp;IF($T113="",""," ")&amp;$T113&amp;IF($J113="",""," ")&amp;$J113&amp;IF($U113="",""," ")&amp;$U113&amp;IF($V113="",""," ")&amp;$V113&amp;IF($W113="",""," ")&amp;$W113&amp;IF($Z113="",""," ")&amp;$Z113&amp;IF($Z113="","","mcd")</f>
        <v>2.2M RES 5% thick film 50V 100mW</v>
      </c>
      <c r="E113" t="str" s="15" cm="1">
        <f t="array" ref="E113">IF(ISBLANK(K113),"",HYPERLINK("https://jlcpcb.com/partdetail/"&amp;$K113,$K113))</f>
        <v>C403986</v>
      </c>
      <c r="F113" t="str" s="15" cm="1">
        <f t="array" ref="F113">M113</f>
        <v>2.2M</v>
      </c>
      <c r="G113" t="s" s="17">
        <v>999</v>
      </c>
      <c r="H113" s="17"/>
      <c r="I113" t="s" s="17">
        <v>8</v>
      </c>
      <c r="J113" t="s" s="17">
        <v>1000</v>
      </c>
      <c r="K113" t="s" s="19">
        <v>1192</v>
      </c>
      <c r="L113" t="s" s="19">
        <v>1193</v>
      </c>
      <c r="M113" t="s" s="17">
        <v>1186</v>
      </c>
      <c r="N113" s="17"/>
      <c r="O113" s="17"/>
      <c r="P113" t="s" s="17">
        <v>435</v>
      </c>
      <c r="Q113" s="17"/>
      <c r="R113" s="17"/>
      <c r="S113" s="17"/>
      <c r="T113" t="s" s="17">
        <v>1004</v>
      </c>
      <c r="U113" t="s" s="17">
        <v>451</v>
      </c>
      <c r="V113" s="17"/>
      <c r="W113" t="s" s="17">
        <v>1006</v>
      </c>
      <c r="X113" s="17"/>
      <c r="Y113" s="17"/>
      <c r="Z113" s="17"/>
      <c r="AA113" s="17"/>
      <c r="AB113" s="24"/>
      <c r="AC113" s="24"/>
      <c r="AD113" s="33">
        <v>1</v>
      </c>
      <c r="AE113" t="s" s="17">
        <v>438</v>
      </c>
      <c r="AF113" t="s" s="25">
        <v>1194</v>
      </c>
      <c r="AG113" t="s" s="17">
        <v>1195</v>
      </c>
      <c r="AH113" t="s" s="40">
        <v>1009</v>
      </c>
      <c r="AI113" t="s" s="23">
        <v>1010</v>
      </c>
      <c r="AJ113" t="s" s="17">
        <v>1196</v>
      </c>
    </row>
    <row r="114" ht="18.9" customHeight="1">
      <c r="B114" t="str" s="48" cm="1">
        <f t="array" ref="B114">G114&amp;"_"&amp;T114&amp;"_"&amp;W114&amp;"_"&amp;P114&amp;"_"&amp;F114</f>
        <v>RES_5%_100mW_0603_2.2M</v>
      </c>
      <c r="C114" t="str" s="16" cm="1">
        <f t="array" ref="C114">$F114&amp;IF($G114="LED"," LED","")&amp;IF($T114="",""," ")&amp;$T114&amp;IF($J114="",""," ")&amp;$J114&amp;IF($U114="",""," ")&amp;$U114&amp;IF($V114="",""," ")&amp;$V114&amp;IF($W114="",""," ")&amp;$W114&amp;IF($Z114="",""," ")&amp;$Z114&amp;IF($Z114="","","mcd")</f>
        <v>2.2M 5% thick film 75V 100mW</v>
      </c>
      <c r="D114" t="str" s="16" cm="1">
        <f t="array" ref="D114">$F114&amp;" "&amp;G114&amp;IF($T114="",""," ")&amp;$T114&amp;IF($J114="",""," ")&amp;$J114&amp;IF($U114="",""," ")&amp;$U114&amp;IF($V114="",""," ")&amp;$V114&amp;IF($W114="",""," ")&amp;$W114&amp;IF($Z114="",""," ")&amp;$Z114&amp;IF($Z114="","","mcd")</f>
        <v>2.2M RES 5% thick film 75V 100mW</v>
      </c>
      <c r="E114" t="str" s="15" cm="1">
        <f t="array" ref="E114">IF(ISBLANK(K114),"",HYPERLINK("https://jlcpcb.com/partdetail/"&amp;$K114,$K114))</f>
        <v>C18679</v>
      </c>
      <c r="F114" t="str" s="15" cm="1">
        <f t="array" ref="F114">M114</f>
        <v>2.2M</v>
      </c>
      <c r="G114" t="s" s="17">
        <v>999</v>
      </c>
      <c r="H114" s="17"/>
      <c r="I114" t="s" s="17">
        <v>8</v>
      </c>
      <c r="J114" t="s" s="17">
        <v>1000</v>
      </c>
      <c r="K114" t="s" s="19">
        <v>1184</v>
      </c>
      <c r="L114" t="s" s="19">
        <v>1185</v>
      </c>
      <c r="M114" t="s" s="17">
        <v>1186</v>
      </c>
      <c r="N114" s="17"/>
      <c r="O114" s="17"/>
      <c r="P114" t="s" s="17">
        <v>435</v>
      </c>
      <c r="Q114" s="17"/>
      <c r="R114" s="17"/>
      <c r="S114" s="17"/>
      <c r="T114" t="s" s="17">
        <v>1004</v>
      </c>
      <c r="U114" t="s" s="17">
        <v>1005</v>
      </c>
      <c r="V114" s="17"/>
      <c r="W114" t="s" s="17">
        <v>1006</v>
      </c>
      <c r="X114" s="17"/>
      <c r="Y114" s="17"/>
      <c r="Z114" s="17"/>
      <c r="AA114" s="17"/>
      <c r="AB114" s="24"/>
      <c r="AC114" s="24"/>
      <c r="AD114" s="33">
        <v>2</v>
      </c>
      <c r="AE114" t="s" s="17">
        <v>438</v>
      </c>
      <c r="AF114" t="s" s="25">
        <v>1030</v>
      </c>
      <c r="AG114" t="s" s="17">
        <v>1187</v>
      </c>
      <c r="AH114" t="s" s="40">
        <v>1009</v>
      </c>
      <c r="AI114" t="s" s="23">
        <v>1010</v>
      </c>
      <c r="AJ114" t="s" s="17">
        <v>1188</v>
      </c>
    </row>
    <row r="115" ht="18.9" customHeight="1">
      <c r="B115" t="str" s="48" cm="1">
        <f t="array" ref="B115">G115&amp;"_"&amp;T115&amp;"_"&amp;W115&amp;"_"&amp;P115&amp;"_"&amp;F115</f>
        <v>RLY___ISOPLUS-264_CPC1709J</v>
      </c>
      <c r="C115" t="str" s="16" cm="1">
        <f t="array" ref="C115">$F115&amp;IF($G115="LED"," LED","")&amp;IF($T115="",""," ")&amp;$T115&amp;IF($J115="",""," ")&amp;$J115&amp;IF($U115="",""," ")&amp;$U115&amp;IF($V115="",""," ")&amp;$V115&amp;IF($W115="",""," ")&amp;$W115&amp;IF($Z115="",""," ")&amp;$Z115&amp;IF($Z115="","","mcd")</f>
        <v>CPC1709J SSR 1.42V 9A-22.8A</v>
      </c>
      <c r="D115" t="str" s="16" cm="1">
        <f t="array" ref="D115">$F115&amp;" "&amp;G115&amp;IF($T115="",""," ")&amp;$T115&amp;IF($J115="",""," ")&amp;$J115&amp;IF($U115="",""," ")&amp;$U115&amp;IF($V115="",""," ")&amp;$V115&amp;IF($W115="",""," ")&amp;$W115&amp;IF($Z115="",""," ")&amp;$Z115&amp;IF($Z115="","","mcd")</f>
        <v>CPC1709J RLY SSR 1.42V 9A-22.8A</v>
      </c>
      <c r="E115" t="str" s="15" cm="1">
        <f t="array" ref="E115">IF(ISBLANK(K115),"",HYPERLINK("https://jlcpcb.com/partdetail/"&amp;$K115,$K115))</f>
        <v>C1525253</v>
      </c>
      <c r="F115" t="str" s="15" cm="1">
        <f t="array" ref="F115">H115</f>
        <v>CPC1709J</v>
      </c>
      <c r="G115" t="s" s="17">
        <v>901</v>
      </c>
      <c r="H115" t="str" s="18" cm="1">
        <f t="array" ref="H115">AG115</f>
        <v>CPC1709J</v>
      </c>
      <c r="I115" t="s" s="17">
        <v>204</v>
      </c>
      <c r="J115" t="s" s="17">
        <v>1202</v>
      </c>
      <c r="K115" t="s" s="19">
        <v>1203</v>
      </c>
      <c r="L115" t="s" s="19">
        <v>1204</v>
      </c>
      <c r="M115" s="17"/>
      <c r="N115" s="17"/>
      <c r="O115" s="17"/>
      <c r="P115" t="s" s="17">
        <v>1205</v>
      </c>
      <c r="Q115" s="17"/>
      <c r="R115" s="17"/>
      <c r="S115" s="17"/>
      <c r="T115" s="17"/>
      <c r="U115" t="s" s="17">
        <v>1206</v>
      </c>
      <c r="V115" t="s" s="17">
        <v>1207</v>
      </c>
      <c r="W115" s="17"/>
      <c r="X115" s="17"/>
      <c r="Y115" s="17"/>
      <c r="Z115" s="17"/>
      <c r="AA115" s="17"/>
      <c r="AB115" s="24"/>
      <c r="AC115" s="24"/>
      <c r="AD115" s="33">
        <v>1</v>
      </c>
      <c r="AE115" t="s" s="17">
        <v>211</v>
      </c>
      <c r="AF115" t="s" s="25">
        <v>1208</v>
      </c>
      <c r="AG115" t="s" s="17">
        <v>1209</v>
      </c>
      <c r="AH115" t="s" s="40">
        <v>1210</v>
      </c>
      <c r="AI115" t="s" s="23">
        <v>1210</v>
      </c>
      <c r="AJ115" t="s" s="17">
        <v>1211</v>
      </c>
    </row>
    <row r="116" ht="18.9" customHeight="1">
      <c r="B116" t="str" s="49" cm="1">
        <f t="array" ref="B116">G116&amp;"_"&amp;T116&amp;"_"&amp;W116&amp;"_"&amp;P116&amp;"_"&amp;F116</f>
        <v>IC___SMD-6P_4N28SM</v>
      </c>
      <c r="C116" t="str" s="50" cm="1">
        <f t="array" ref="C116">$F116&amp;IF($G116="LED"," LED","")&amp;IF($T116="",""," ")&amp;$T116&amp;IF($J116="",""," ")&amp;$J116&amp;IF($U116="",""," ")&amp;$U116&amp;IF($V116="",""," ")&amp;$V116&amp;IF($W116="",""," ")&amp;$W116&amp;IF($Z116="",""," ")&amp;$Z116&amp;IF($Z116="","","mcd")</f>
        <v>4N28SM Phototransistor</v>
      </c>
      <c r="D116" t="str" s="50" cm="1">
        <f t="array" ref="D116">$F116&amp;" "&amp;G116&amp;IF($T116="",""," ")&amp;$T116&amp;IF($J116="",""," ")&amp;$J116&amp;IF($U116="",""," ")&amp;$U116&amp;IF($V116="",""," ")&amp;$V116&amp;IF($W116="",""," ")&amp;$W116&amp;IF($Z116="",""," ")&amp;$Z116&amp;IF($Z116="","","mcd")</f>
        <v>4N28SM IC Phototransistor</v>
      </c>
      <c r="E116" t="str" s="51" cm="1">
        <f t="array" ref="E116">IF(ISBLANK(K116),"",HYPERLINK("https://jlcpcb.com/partdetail/"&amp;$K116,$K116))</f>
        <v>C898949</v>
      </c>
      <c r="F116" t="str" s="51" cm="1">
        <f t="array" ref="F116">H116</f>
        <v>4N28SM</v>
      </c>
      <c r="G116" t="s" s="52">
        <v>638</v>
      </c>
      <c r="H116" t="str" s="53" cm="1">
        <f t="array" ref="H116">AG116</f>
        <v>4N28SM</v>
      </c>
      <c r="I116" t="s" s="52">
        <v>8</v>
      </c>
      <c r="J116" t="s" s="52">
        <v>1217</v>
      </c>
      <c r="K116" t="s" s="54">
        <v>1218</v>
      </c>
      <c r="L116" t="s" s="54">
        <v>1219</v>
      </c>
      <c r="M116" s="52"/>
      <c r="N116" s="52"/>
      <c r="O116" s="52"/>
      <c r="P116" t="s" s="52">
        <v>1220</v>
      </c>
      <c r="Q116" s="52"/>
      <c r="R116" t="s" s="52">
        <v>1221</v>
      </c>
      <c r="S116" t="s" s="52">
        <v>1222</v>
      </c>
      <c r="T116" s="52"/>
      <c r="U116" s="52"/>
      <c r="V116" s="52"/>
      <c r="W116" s="52"/>
      <c r="X116" s="52"/>
      <c r="Y116" s="52"/>
      <c r="Z116" s="52"/>
      <c r="AA116" s="52"/>
      <c r="AB116" s="55"/>
      <c r="AC116" s="55"/>
      <c r="AD116" s="56">
        <v>1</v>
      </c>
      <c r="AE116" t="s" s="52">
        <v>211</v>
      </c>
      <c r="AF116" t="s" s="57">
        <v>922</v>
      </c>
      <c r="AG116" t="s" s="52">
        <v>1223</v>
      </c>
      <c r="AH116" t="s" s="58">
        <v>1224</v>
      </c>
      <c r="AI116" t="s" s="59">
        <v>1225</v>
      </c>
      <c r="AJ116" t="s" s="52">
        <v>1226</v>
      </c>
    </row>
    <row r="117" ht="31" customHeight="1">
      <c r="B117" s="60"/>
      <c r="C117" s="61"/>
      <c r="D117" s="61"/>
      <c r="E117" s="61"/>
      <c r="F117" s="61"/>
      <c r="G117" s="61"/>
      <c r="H117" s="60"/>
      <c r="I117" s="61"/>
      <c r="J117" s="60"/>
      <c r="K117" s="61"/>
      <c r="L117" s="62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  <c r="AA117" s="60"/>
      <c r="AB117" s="61"/>
      <c r="AC117" s="61"/>
      <c r="AD117" s="61"/>
      <c r="AE117" s="61"/>
      <c r="AF117" s="61"/>
      <c r="AG117" s="61"/>
      <c r="AH117" s="61"/>
      <c r="AI117" s="61"/>
      <c r="AJ117" s="61"/>
    </row>
  </sheetData>
  <mergeCells count="1">
    <mergeCell ref="B2:AJ2"/>
  </mergeCells>
  <dataValidations count="2">
    <dataValidation type="list" allowBlank="1" showInputMessage="1" showErrorMessage="1" sqref="G3 G117">
      <formula1>",Category,SLK,CON,CAP,DIO,IC,LED,Q,RES"</formula1>
    </dataValidation>
    <dataValidation type="list" allowBlank="1" showInputMessage="1" showErrorMessage="1" sqref="G4:G63 G66:G116">
      <formula1>",Category,SLK,CON,CAP,DIO,IC,LED,Q,RES,ANA,IND,MCU,REG,OSC,RLY,SWI"</formula1>
    </dataValidation>
  </dataValidations>
  <hyperlinks>
    <hyperlink ref="E25" r:id="rId1" location="" tooltip="" display="C840579"/>
    <hyperlink ref="AJ25" r:id="rId2" location="" tooltip="" display="https://wmsc.lcsc.com/wmsc/upload/file/pdf/v2/lcsc/2311231642_ECE-EDG104S33_C840579.pdf"/>
    <hyperlink ref="E26" r:id="rId3" location="" tooltip="" display="C5340138"/>
    <hyperlink ref="AJ26" r:id="rId4" location="" tooltip="" display="https://wmsc.lcsc.com/wmsc/upload/file/pdf/v2/lcsc/2212291730_hanxia-HX-TS666CJ-250gf-009_C5340138.pdf"/>
    <hyperlink ref="E27" r:id="rId5" location="" tooltip="" display="C5340123"/>
    <hyperlink ref="AJ27" r:id="rId6" location="" tooltip="" display="https://wmsc.lcsc.com/wmsc/upload/file/pdf/v2/lcsc/2212271430_hanxia-HX-TS666TP-250gf-009_C5340123.pdf"/>
    <hyperlink ref="E28" r:id="rId7" location="" tooltip="" display="C7205130"/>
    <hyperlink ref="AJ28" r:id="rId8" location="" tooltip="" display="https://www.lcsc.com/datasheet/C7205130.pdf?spm=wm.sxq.inf.ggs___wm.ssy.bg.20.cbh&amp;lcsc_vid=QVZeA1dfQFALX1AFTlJbVAcFR1ldAgAEQVILVlZfRwcxVlNRQ1hXUFBQQVNdUzsOAxUeFF5JWBYZEEoKFBINSQcJGk4eFQsCAgIaSgADAwAHC0slRVJcUkoOAwwC"/>
    <hyperlink ref="E29" r:id="rId9" location="" tooltip="" display="C2325"/>
    <hyperlink ref="E34" r:id="rId10" location="" tooltip="" display="C3029316"/>
    <hyperlink ref="E35" r:id="rId11" location="" tooltip="" display="C429966"/>
    <hyperlink ref="E37" r:id="rId12" location="" tooltip="" display="C2691448"/>
    <hyperlink ref="E38" r:id="rId13" location="" tooltip="" display="C18214184"/>
    <hyperlink ref="E39" r:id="rId14" location="" tooltip="" display="C3816889"/>
    <hyperlink ref="E41" r:id="rId15" location="" tooltip="" display="C3646874"/>
    <hyperlink ref="E43" r:id="rId16" location="" tooltip="" display="C27438"/>
    <hyperlink ref="E44" r:id="rId17" location="" tooltip="" display="C2905419"/>
    <hyperlink ref="AJ45" r:id="rId18" location="" tooltip="" display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/>
    <hyperlink ref="AJ46" r:id="rId19" location="" tooltip="" display="https://mischianti.org/wp-content/uploads/2020/11/ESP32-DOIT-DEV-KIT-v1-pinout-mischianti.png"/>
    <hyperlink ref="E47" r:id="rId20" location="" tooltip="" display="C1852832"/>
    <hyperlink ref="AJ47" r:id="rId21" location="" tooltip="" display="https://wmsc.lcsc.com/wmsc/upload/file/pdf/v2/lcsc/2201271000_YAGEO-CC0603KPX7R8BB103_C1852832.pdf"/>
    <hyperlink ref="E48" r:id="rId22" location="" tooltip="" display="C3910010"/>
    <hyperlink ref="E49" r:id="rId23" location="" tooltip="" display="C100042"/>
    <hyperlink ref="AJ49" r:id="rId24" location="" tooltip="" display="https://www.lcsc.com/datasheet/lcsc_datasheet_2304140030_YAGEO-CC0603KRX7R9BB103_C100042.pdf"/>
    <hyperlink ref="E50" r:id="rId25" location="" tooltip="" display="C3853265"/>
    <hyperlink ref="E51" r:id="rId26" location="" tooltip="" display="C14663"/>
    <hyperlink ref="AJ51" r:id="rId27" location="" tooltip="" display="https://www.lcsc.com/datasheet/lcsc_datasheet_2211101700_YAGEO-CC0603KRX7R9BB104_C14663.pdf"/>
    <hyperlink ref="E52" r:id="rId28" location="" tooltip="" display="C2169859"/>
    <hyperlink ref="AJ52" r:id="rId29" location="" tooltip="" display="https://wmsc.lcsc.com/wmsc/upload/file/pdf/v2/lcsc/2309051403_Taiyo-Yuden-GMK107BJ105KAHT_C2169859.pdf"/>
    <hyperlink ref="E53" r:id="rId30" location="" tooltip="" display="C15849"/>
    <hyperlink ref="AJ53" r:id="rId31" location="" tooltip="" display="https://www.lcsc.com/datasheet/lcsc_datasheet_2304140030_Samsung-Electro-Mechanics-CL10A105KB8NNNC_C15849.pdf"/>
    <hyperlink ref="E54" r:id="rId32" location="" tooltip="" display="C13585"/>
    <hyperlink ref="AJ54" r:id="rId33" location="" tooltip="" display="https://www.lcsc.com/datasheet/lcsc_datasheet_2304140030_Samsung-Electro-Mechanics-CL31A106KBHNNNE_C13585.pdf"/>
    <hyperlink ref="E55" r:id="rId34" location="" tooltip="" display="C136294"/>
    <hyperlink ref="AJ55" r:id="rId35" location="" tooltip="" display="https://www.lcsc.com/datasheet/lcsc_datasheet_1808312007_Nichicon-UCD1V221MNL1GS_C136294.pdf"/>
    <hyperlink ref="AC56" r:id="rId36" location="" tooltip="" display="https://www.mouser.com/ProductDetail/Nichicon/UVR0J102MPD1TD"/>
    <hyperlink ref="E57" r:id="rId37" location="" tooltip="" display="C970714"/>
    <hyperlink ref="AJ57" r:id="rId38" location="" tooltip="" display="https://jlcpcb.com/api/file/downloadByFileSystemAccessId/8590911073887604736"/>
    <hyperlink ref="E58" r:id="rId39" location="" tooltip="" display="C353517"/>
    <hyperlink ref="AJ58" r:id="rId40" location="" tooltip="" display="https://www.lcsc.com/datasheet/lcsc_datasheet_2304140030_Shandong-Jingdao-Microelectronics-BZT52C4V7S_C353517.pdf"/>
    <hyperlink ref="E59" r:id="rId41" location="" tooltip="" display="C5261070"/>
    <hyperlink ref="AJ59" r:id="rId42" location="" tooltip="" display="https://wmsc.lcsc.com/wmsc/upload/file/pdf/v2/lcsc/2406051353_HXY-MOSFET-BAT54_C5261070.pdf"/>
    <hyperlink ref="E60" r:id="rId43" location="" tooltip="" display="C2926172"/>
    <hyperlink ref="AJ60" r:id="rId44" location="" tooltip="" display="https://wmsc.lcsc.com/wmsc/upload/file/pdf/v2/lcsc/2112031830_FOSAN-BAT54A_C2926172.pdf"/>
    <hyperlink ref="E61" r:id="rId45" location="" tooltip="" display="C2926174"/>
    <hyperlink ref="AJ61" r:id="rId46" location="" tooltip="" display="https://wmsc.lcsc.com/wmsc/upload/file/pdf/v2/lcsc/2112031830_FOSAN-BAT54S_C2926174.pdf"/>
    <hyperlink ref="E62" r:id="rId47" location="" tooltip="" display="C408388"/>
    <hyperlink ref="AJ62" r:id="rId48" location="" tooltip="" display="https://www.lcsc.com/datasheet/lcsc_datasheet_2407101108_MDD-Microdiode-Semiconductor-BAT54C_C408388.pdf"/>
    <hyperlink ref="E63" r:id="rId49" location="" tooltip="" display="C2500"/>
    <hyperlink ref="E64" r:id="rId50" location="" tooltip="" display="C2683482"/>
    <hyperlink ref="AJ64" r:id="rId51" location="" tooltip="" display="https://www.lcsc.com/datasheet/lcsc_datasheet_2403081523_IDCHIP-LM358D_C2683482.pdf"/>
    <hyperlink ref="E65" r:id="rId52" location="" tooltip="" display="C695838"/>
    <hyperlink ref="E66" r:id="rId53" location="" tooltip="" display="C5145392"/>
    <hyperlink ref="AJ66" r:id="rId54" location="" tooltip="" display="https://wmsc.lcsc.com/wmsc/upload/file/pdf/v2/lcsc/2209290930_HANSCHIP-semiconductor-NE556DRG_C5145392.pdf"/>
    <hyperlink ref="E67" r:id="rId55" location="" tooltip="" display="C629440"/>
    <hyperlink ref="AJ67" r:id="rId56" location="" tooltip="" display="https://wmsc.lcsc.com/wmsc/upload/file/pdf/v2/lcsc/2203221230_Microchip-Tech-MCP23017T-E-SO_C629440.pdf"/>
    <hyperlink ref="E68" r:id="rId57" location="" tooltip="" display="C2678753"/>
    <hyperlink ref="AJ68" r:id="rId58" location="" tooltip="" display="https://www.lcsc.com/datasheet/lcsc_datasheet_2405281434_NXP-Semicon-PCA9685PW-118_C2678753.pdf"/>
    <hyperlink ref="E69" r:id="rId59" location="" tooltip="" display="C965807"/>
    <hyperlink ref="AJ69" r:id="rId60" location="" tooltip="" display="https://wmsc.lcsc.com/wmsc/upload/file/pdf/v2/lcsc/2402181505_XINGLIGHT-XL-1608UBC-04_C965807.pdf"/>
    <hyperlink ref="E70" r:id="rId61" location="" tooltip="" display="C965808"/>
    <hyperlink ref="AJ70" r:id="rId62" location="" tooltip="" display="https://wmsc.lcsc.com/wmsc/upload/file/pdf/v2/lcsc/2402181505_XINGLIGHT-XL-1608UWC-04_C965808.pdf"/>
    <hyperlink ref="E71" r:id="rId63" location="" tooltip="" display="C965804"/>
    <hyperlink ref="AJ71" r:id="rId64" location="" tooltip="" display="https://wmsc.lcsc.com/wmsc/upload/file/pdf/v2/lcsc/2402181505_XINGLIGHT-XL-1608UGC-04_C965804.pdf"/>
    <hyperlink ref="E72" r:id="rId65" location="" tooltip="" display="C965806"/>
    <hyperlink ref="AJ72" r:id="rId66" location="" tooltip="" display="https://wmsc.lcsc.com/wmsc/upload/file/pdf/v2/lcsc/2402181505_XINGLIGHT-XL-1608SYGC-04_C965806.pdf"/>
    <hyperlink ref="E73" r:id="rId67" location="" tooltip="" display="C22371303"/>
    <hyperlink ref="AJ73" r:id="rId68" location="" tooltip="" display="https://wmsc.lcsc.com/wmsc/upload/file/pdf/v2/lcsc/2403281522_HONGLITRONIC-Hongli-Zhihui--HONGLITRONIC-HL-PSC-1608S25OC-G4_C22371303.pdf"/>
    <hyperlink ref="E74" r:id="rId69" location="" tooltip="" display="C965800"/>
    <hyperlink ref="AJ74" r:id="rId70" location="" tooltip="" display="https://wmsc.lcsc.com/wmsc/upload/file/pdf/v2/lcsc/2402181505_XINGLIGHT-XL-1608UOC-06_C965800.pdf"/>
    <hyperlink ref="E75" r:id="rId71" location="" tooltip="" display="C965801"/>
    <hyperlink ref="AJ75" r:id="rId72" location="" tooltip="" display="https://wmsc.lcsc.com/wmsc/upload/file/pdf/v2/lcsc/2402181505_XINGLIGHT-XL-1608UOC-06_C965800.pdf"/>
    <hyperlink ref="E76" r:id="rId73" location="" tooltip="" display="C965803"/>
    <hyperlink ref="AJ76" r:id="rId74" location="" tooltip="" display="https://wmsc.lcsc.com/wmsc/upload/file/pdf/v2/lcsc/2402181505_XINGLIGHT-XL-1608UOC-04_C965801.pdf"/>
    <hyperlink ref="E77" r:id="rId75" location="" tooltip="" display="C7288939"/>
    <hyperlink ref="AJ77" r:id="rId76" location="" tooltip="" display="https://wmsc.lcsc.com/wmsc/upload/file/pdf/v2/lcsc/2404241146_Inolux-IN-S63ASR_C7288939.pdf"/>
    <hyperlink ref="E78" r:id="rId77" location="" tooltip="" display="C965799"/>
    <hyperlink ref="AJ78" r:id="rId78" location="" tooltip="" display="https://wmsc.lcsc.com/wmsc/upload/file/pdf/v2/lcsc/2402181505_XINGLIGHT-XL-1608SURC-06_C965799.pdf"/>
    <hyperlink ref="E79" r:id="rId79" location="" tooltip="" display="C965798"/>
    <hyperlink ref="AJ79" r:id="rId80" location="" tooltip="" display="https://wmsc.lcsc.com/wmsc/upload/file/pdf/v2/lcsc/2402181505_XINGLIGHT-XL-1608SURC-04_C965798.pdf"/>
    <hyperlink ref="E80" r:id="rId81" location="" tooltip="" display="C2843785"/>
    <hyperlink ref="AJ80" r:id="rId82" location="" tooltip="" display="https://www.lcsc.com/datasheet/lcsc_datasheet_2404120946_XINGLIGHT-XL-5050RGBC-WS2812B_C2843785.pdf"/>
    <hyperlink ref="E81" r:id="rId83" location="" tooltip="" display="C5345985"/>
    <hyperlink ref="AJ81" r:id="rId84" location="" tooltip="" display="https://wmsc.lcsc.com/wmsc/upload/file/pdf/v2/lcsc/2301120930_HXY-MOSFET-AMS1117-ADJ_C5345985.pdf"/>
    <hyperlink ref="E82" r:id="rId85" location="" tooltip="" display="C5345982"/>
    <hyperlink ref="AJ82" r:id="rId86" location="" tooltip="" display="https://wmsc.lcsc.com/wmsc/upload/file/pdf/v2/lcsc/2301120930_HXY-MOSFET-AMS1117-3-3_C5345982.pdf"/>
    <hyperlink ref="E83" r:id="rId87" location="" tooltip="" display="C5345984"/>
    <hyperlink ref="AJ83" r:id="rId88" location="" tooltip="" display="https://wmsc.lcsc.com/wmsc/upload/file/pdf/v2/lcsc/2301120930_HXY-MOSFET-AMS1117-5-0_C5345984.pdf"/>
    <hyperlink ref="E85" r:id="rId89" location="" tooltip="" display="C347278"/>
    <hyperlink ref="AJ85" r:id="rId90" location="" tooltip="" display="https://www.lcsc.com/datasheet/C347278.pdf?spm=wm.sxq.inf.ggs&amp;lcsc_vid=TlhaVVxSFQRdBQZVQVQPVAdWFABYBlFeRFMKUQcARlMxVlNRQ1hWVlFTTllbUDsOAxUeFF5JWBYZEEoKFBINSQcJGk4dAgUUFAk="/>
    <hyperlink ref="AJ86" r:id="rId91" location="" tooltip="" display="https://omronfs.omron.com/en_US/ecb/products/pdf/en-g2rl.pdf"/>
    <hyperlink ref="E88" r:id="rId92" location="" tooltip="" display="C5184404"/>
    <hyperlink ref="AJ88" r:id="rId93" location="" tooltip="" display="https://wmsc.lcsc.com/wmsc/upload/file/pdf/v2/lcsc/2407151447_HXY-MOSFET-MMBT3904_C5184404.pdf"/>
    <hyperlink ref="E89" r:id="rId94" location="" tooltip="" display="C5184433"/>
    <hyperlink ref="AJ89" r:id="rId95" location="" tooltip="" display="https://wmsc.lcsc.com/wmsc/upload/file/pdf/v2/lcsc/2303091430_HXY-MOSFET-BC807-40_C5184433.pdf"/>
    <hyperlink ref="E90" r:id="rId96" location="" tooltip="" display="C5224215"/>
    <hyperlink ref="AJ90" r:id="rId97" location="" tooltip="" display="https://wmsc.lcsc.com/wmsc/upload/file/pdf/v2/lcsc/2210271630_ElecSuper-2N7002_C5224215.pdf"/>
    <hyperlink ref="E91" r:id="rId98" location="" tooltip="" display="C878901"/>
    <hyperlink ref="AJ91" r:id="rId99" location="" tooltip="" display="https://www.diodes.com/assets/Datasheets/ds31773.pdf"/>
    <hyperlink ref="E92" r:id="rId100" location="" tooltip="" display="C7499856"/>
    <hyperlink ref="AJ92" r:id="rId101" location="" tooltip="" display="https://wmsc.lcsc.com/wmsc/upload/file/pdf/v2/lcsc/2310251707_HL-2301V_C7499856.pdf"/>
    <hyperlink ref="E93" r:id="rId102" location="" tooltip="" display="C2907123"/>
    <hyperlink ref="AJ93" r:id="rId103" location="" tooltip="" display="https://wmsc.lcsc.com/wmsc/upload/file/pdf/v2/lcsc/2308241947_FOJAN-FRC0603J201-TS_C2907123.pdf"/>
    <hyperlink ref="E94" r:id="rId104" location="" tooltip="" display="C5842375"/>
    <hyperlink ref="AJ94" r:id="rId105" location="" tooltip="" display="https://wmsc.lcsc.com/wmsc/upload/file/pdf/v2/lcsc/2312030915_YAGEO-RC0603FR-13220RL_C5842375.pdf"/>
    <hyperlink ref="E95" r:id="rId106" location="" tooltip="" display="C1226"/>
    <hyperlink ref="AJ95" r:id="rId107" location="" tooltip="" display="https://www.lcsc.com/datasheet/lcsc_datasheet_2206010230_UNI-ROYAL-Uniroyal-Elec-0603WAJ0221T5E_C1226.pdf"/>
    <hyperlink ref="E96" r:id="rId108" location="" tooltip="" display="C25231"/>
    <hyperlink ref="AJ96" r:id="rId109" location="" tooltip="" display="https://www.lcsc.com/datasheet/lcsc_datasheet_2205311845_UNI-ROYAL-Uniroyal-Elec-0603WAJ0331T5E_C25231.pdf"/>
    <hyperlink ref="E97" r:id="rId110" location="" tooltip="" display="C25241"/>
    <hyperlink ref="AJ97" r:id="rId111" location="" tooltip="" display="https://www.lcsc.com/datasheet/lcsc_datasheet_2205311845_UNI-ROYAL-Uniroyal-Elec-0603WAJ0471T5E_C25241.pdf"/>
    <hyperlink ref="E98" r:id="rId112" location="" tooltip="" display="C25585"/>
    <hyperlink ref="AJ98" r:id="rId113" location="" tooltip="" display="https://www.lcsc.com/datasheet/lcsc_datasheet_2206010100_UNI-ROYAL-Uniroyal-Elec-0603WAJ0102T5E_C25585.pdf"/>
    <hyperlink ref="E99" r:id="rId114" location="" tooltip="" display="C25992"/>
    <hyperlink ref="AJ99" r:id="rId115" location="" tooltip="" display="https://www.lcsc.com/datasheet/lcsc_datasheet_2206010045_UNI-ROYAL-Uniroyal-Elec-0603WAJ0222T5E_C25992.pdf"/>
    <hyperlink ref="E100" r:id="rId116" location="" tooltip="" display="C2907023"/>
    <hyperlink ref="AJ100" r:id="rId117" location="" tooltip="" display="https://wmsc.lcsc.com/wmsc/upload/file/pdf/v2/lcsc/2308241947_FOJAN-FRC0603F3301TS_C2907023.pdf"/>
    <hyperlink ref="E101" r:id="rId118" location="" tooltip="" display="C25995"/>
    <hyperlink ref="AJ101" r:id="rId119" location="" tooltip="" display="https://www.lcsc.com/datasheet/lcsc_datasheet_2206010045_UNI-ROYAL-Uniroyal-Elec-0603WAJ0332T5E_C25995.pdf"/>
    <hyperlink ref="E102" r:id="rId120" location="" tooltip="" display="C25999"/>
    <hyperlink ref="AJ102" r:id="rId121" location="" tooltip="" display="https://www.lcsc.com/datasheet/lcsc_datasheet_2206010045_UNI-ROYAL-Uniroyal-Elec-0603WAJ0472T5E_C25999.pdf"/>
    <hyperlink ref="E103" r:id="rId122" location="" tooltip="" display="C26001"/>
    <hyperlink ref="AJ103" r:id="rId123" location="" tooltip="" display="https://www.lcsc.com/datasheet/lcsc_datasheet_2206010045_UNI-ROYAL-Uniroyal-Elec-0603WAJ0562T5E_C26001.pdf"/>
    <hyperlink ref="E104" r:id="rId124" location="" tooltip="" display="C4118381"/>
    <hyperlink ref="AJ104" r:id="rId125" location="" tooltip="" display="https://wmsc.lcsc.com/wmsc/upload/file/pdf/v2/lcsc/2404101024_YAGEO-RC0603JR-1310KL_C4118381.pdf"/>
    <hyperlink ref="E105" r:id="rId126" location="" tooltip="" display="C2930027"/>
    <hyperlink ref="AJ105" r:id="rId127" location="" tooltip="" display="https://wmsc.lcsc.com/wmsc/upload/file/pdf/v2/lcsc/2308241009_FOJAN-FRC0603J103TS_C2930027.pdf"/>
    <hyperlink ref="E106" r:id="rId128" location="" tooltip="" display="C15401"/>
    <hyperlink ref="AJ106" r:id="rId129" location="" tooltip="" display="https://www.lcsc.com/datasheet/lcsc_datasheet_2206010216_UNI-ROYAL-Uniroyal-Elec-0603WAJ0103T5E_C15401.pdf"/>
    <hyperlink ref="E107" r:id="rId130" location="" tooltip="" display="C25577"/>
    <hyperlink ref="AJ107" r:id="rId131" location="" tooltip="" display="https://www.lcsc.com/datasheet/lcsc_datasheet_2205311900_UNI-ROYAL-Uniroyal-Elec-0603WAJ0123T5E_C25577.pdf"/>
    <hyperlink ref="E108" r:id="rId132" location="" tooltip="" display="C23344"/>
    <hyperlink ref="AJ108" r:id="rId133" location="" tooltip="" display="https://www.lcsc.com/datasheet/lcsc_datasheet_2206010100_UNI-ROYAL-Uniroyal-Elec-0603WAJ0223T5E_C23344.pdf"/>
    <hyperlink ref="E109" r:id="rId134" location="" tooltip="" display="C15458"/>
    <hyperlink ref="AJ109" r:id="rId135" location="" tooltip="" display="https://www.lcsc.com/datasheet/lcsc_datasheet_2206010216_UNI-ROYAL-Uniroyal-Elec-0603WAJ0104T5E_C15458.pdf"/>
    <hyperlink ref="E110" r:id="rId136" location="" tooltip="" display="C22935"/>
    <hyperlink ref="AJ110" r:id="rId137" location="" tooltip="" display="https://www.lcsc.com/datasheet/lcsc_datasheet_2206010130_UNI-ROYAL-Uniroyal-Elec-0603WAF1004T5E_C22935.pdf"/>
    <hyperlink ref="E111" r:id="rId138" location="" tooltip="" display="C26098"/>
    <hyperlink ref="AJ111" r:id="rId139" location="" tooltip="" display="https://www.lcsc.com/datasheet/lcsc_datasheet_2206010030_UNI-ROYAL-Uniroyal-Elec-0603WAJ0105T5E_C26098.pdf"/>
    <hyperlink ref="E112" r:id="rId140" location="" tooltip="" display="C18679"/>
    <hyperlink ref="AJ112" r:id="rId141" location="" tooltip="" display="https://www.lcsc.com/datasheet/lcsc_datasheet_2206010145_UNI-ROYAL-Uniroyal-Elec-0603WAJ0225T5E_C18679.pdf"/>
    <hyperlink ref="E113" r:id="rId142" location="" tooltip="" display="C403986"/>
    <hyperlink ref="AJ113" r:id="rId143" location="" tooltip="" display="https://wmsc.lcsc.com/wmsc/upload/file/pdf/v2/lcsc/2304140030_FH--Guangdong-Fenghua-Advanced-Tech-RS-03L225JJT_C403986.pdf"/>
    <hyperlink ref="E114" r:id="rId144" location="" tooltip="" display="C18679"/>
    <hyperlink ref="AJ114" r:id="rId145" location="" tooltip="" display="https://www.lcsc.com/datasheet/lcsc_datasheet_2206010145_UNI-ROYAL-Uniroyal-Elec-0603WAJ0225T5E_C18679.pdf"/>
    <hyperlink ref="E115" r:id="rId146" location="" tooltip="" display="C1525253"/>
    <hyperlink ref="AJ115" r:id="rId147" location="" tooltip="" display="https://jlcpcb.com/api/file/downloadByFileSystemAccessId/8589033743424368640"/>
    <hyperlink ref="E116" r:id="rId148" location="" tooltip="" display="C898949"/>
    <hyperlink ref="AJ116" r:id="rId149" location="" tooltip="" display="https://jlcpcb.com/api/file/downloadByFileSystemAccessId/8588917274006720512"/>
  </hyperlink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