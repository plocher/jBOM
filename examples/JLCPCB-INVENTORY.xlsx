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locher/Dropbox/KiCad/jBOM/examples/"/>
    </mc:Choice>
  </mc:AlternateContent>
  <xr:revisionPtr revIDLastSave="0" documentId="13_ncr:1_{C56A6888-0A32-3842-8289-9CDDACC7323C}" xr6:coauthVersionLast="47" xr6:coauthVersionMax="47" xr10:uidLastSave="{00000000-0000-0000-0000-000000000000}"/>
  <bookViews>
    <workbookView xWindow="0" yWindow="620" windowWidth="76800" windowHeight="42580" xr2:uid="{00000000-000D-0000-FFFF-FFFF00000000}"/>
  </bookViews>
  <sheets>
    <sheet name="Parts Inventory on JLCP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<sst xmlns="http://schemas.openxmlformats.org/spreadsheetml/2006/main" count="271" uniqueCount="185">
  <si>
    <t>Category</t>
  </si>
  <si>
    <t>MFR Part #</t>
  </si>
  <si>
    <t>Footprint</t>
  </si>
  <si>
    <t>Description</t>
  </si>
  <si>
    <t>JLCPCB Part #</t>
  </si>
  <si>
    <t>JLCPCB Parts Qty</t>
  </si>
  <si>
    <t>Global Sourcing Parts Qty</t>
  </si>
  <si>
    <t>Consigned Parts Qty</t>
  </si>
  <si>
    <t>Unit Price($)</t>
  </si>
  <si>
    <t>Total Price($)</t>
  </si>
  <si>
    <t>Capacitors</t>
  </si>
  <si>
    <t>CC0603KRX7R9BB103</t>
  </si>
  <si>
    <t>0603</t>
  </si>
  <si>
    <t>10nF 50V X7R ±10% 0603 Multilayer Ceramic Capacitors MLCC - SMD/SMT ROHS</t>
  </si>
  <si>
    <t>C100042</t>
  </si>
  <si>
    <t>CL31A106KBHNNNE</t>
  </si>
  <si>
    <t>1206</t>
  </si>
  <si>
    <t>10uF 50V X5R ±10% 1206 Multilayer Ceramic Capacitors MLCC - SMD/SMT ROHS</t>
  </si>
  <si>
    <t>C13585</t>
  </si>
  <si>
    <t>UCD1V221MNL1GS</t>
  </si>
  <si>
    <t>SMD,D8xL10mm</t>
  </si>
  <si>
    <t>-55℃~+105℃ 10.5mm 2000hrs@105℃ 220uF 300mA@120Hz 35V 8mm ±20% SMD,D8xL10mm Aluminum Electrolytic Capacitors - SMD ROHS</t>
  </si>
  <si>
    <t>C136294</t>
  </si>
  <si>
    <t>CC0603KRX7R9BB104</t>
  </si>
  <si>
    <t>100nF 50V X7R ±10% 0603 Multilayer Ceramic Capacitors MLCC - SMD/SMT ROHS</t>
  </si>
  <si>
    <t>C14663</t>
  </si>
  <si>
    <t>Resistors</t>
  </si>
  <si>
    <t>0603WAJ0104T5E</t>
  </si>
  <si>
    <t>-55℃~+155℃ 100kΩ 100mW 75V Thick Film Resistor ±100ppm/℃ ±5% 0603 Chip Resistor - Surface Mount ROHS</t>
  </si>
  <si>
    <t>C15458</t>
  </si>
  <si>
    <t>CL10A105KB8NNNC</t>
  </si>
  <si>
    <t>1uF 50V X5R ±10% 0603 Multilayer Ceramic Capacitors MLCC - SMD/SMT ROHS</t>
  </si>
  <si>
    <t>C15849</t>
  </si>
  <si>
    <t>Optoelectronics</t>
  </si>
  <si>
    <t>LTST-C194TGKT</t>
  </si>
  <si>
    <t>-20℃~+80℃ 130° 20mA 260.5mcd 3.2V 525nm 530nm 76mW Emerald Green Water Clear 0603 LED Indication - Discrete ROHS</t>
  </si>
  <si>
    <t>C161618</t>
  </si>
  <si>
    <t>CC0603KPX7R8BB103</t>
  </si>
  <si>
    <t>10nF 25V X7R ±10% 0603 Multilayer Ceramic Capacitors MLCC - SMD/SMT ROHS</t>
  </si>
  <si>
    <t>C1852832</t>
  </si>
  <si>
    <t>0603WAJ0225T5E</t>
  </si>
  <si>
    <t>-55℃~+155℃ 100mW 2.2MΩ 75V Thick Film Resistor ±100ppm/℃ ±5% 0603 Chip Resistor - Surface Mount ROHS</t>
  </si>
  <si>
    <t>C18679</t>
  </si>
  <si>
    <t>GMK107BJ105KAHT</t>
  </si>
  <si>
    <t>1uF 35V X5R ±10% 0603 Multilayer Ceramic Capacitors MLCC - SMD/SMT ROHS</t>
  </si>
  <si>
    <t>C2169859</t>
  </si>
  <si>
    <t>HL-PSC-1608S25OC-G4</t>
  </si>
  <si>
    <t>-40℃~+85℃ 10mA 130° 2.4V 600nm~612nm 60mW 90mcd Orange Water Clear 0603 LED Indication - Discrete ROHS</t>
  </si>
  <si>
    <t>C22371303</t>
  </si>
  <si>
    <t>0603WAF1004T5E</t>
  </si>
  <si>
    <t>-55℃~+155℃ 100mW 1MΩ 75V Thick Film Resistor ±1% ±100ppm/℃ 0603 Chip Resistor - Surface Mount ROHS</t>
  </si>
  <si>
    <t>C22935</t>
  </si>
  <si>
    <t>0603WAJ0223T5E</t>
  </si>
  <si>
    <t>-55℃~+155℃ 100mW 22kΩ 75V Thick Film Resistor ±100ppm/℃ ±5% 0603 Chip Resistor - Surface Mount ROHS</t>
  </si>
  <si>
    <t>C23344</t>
  </si>
  <si>
    <t>0603X104K250CT</t>
  </si>
  <si>
    <t>100nF 25V X5R ±10% 0603 Multilayer Ceramic Capacitors MLCC - SMD/SMT ROHS</t>
  </si>
  <si>
    <t>C2443214</t>
  </si>
  <si>
    <t>0603WAJ0331T5E</t>
  </si>
  <si>
    <t>-55℃~+155℃ 100mW 330Ω 75V Thick Film Resistor ±100ppm/℃ ±5% 0603 Chip Resistor - Surface Mount ROHS</t>
  </si>
  <si>
    <t>C25231</t>
  </si>
  <si>
    <t>0603WAJ0471T5E</t>
  </si>
  <si>
    <t>-55℃~+155℃ 100mW 470Ω 75V Thick Film Resistor ±100ppm/℃ ±5% 0603 Chip Resistor - Surface Mount ROHS</t>
  </si>
  <si>
    <t>C25241</t>
  </si>
  <si>
    <t>0603WAJ0102T5E</t>
  </si>
  <si>
    <t>-55℃~+155℃ 100mW 1kΩ 75V Thick Film Resistor ±100ppm/℃ ±5% 0603 Chip Resistor - Surface Mount ROHS</t>
  </si>
  <si>
    <t>C25585</t>
  </si>
  <si>
    <t>0603WAJ0222T5E</t>
  </si>
  <si>
    <t>-55℃~+155℃ 100mW 2.2kΩ 75V Thick Film Resistor ±100ppm/℃ ±5% 0603 Chip Resistor - Surface Mount ROHS</t>
  </si>
  <si>
    <t>C25992</t>
  </si>
  <si>
    <t>0603WAJ0472T5E</t>
  </si>
  <si>
    <t>-55℃~+155℃ 100mW 4.7kΩ 75V Thick Film Resistor ±100ppm/℃ ±5% 0603 Chip Resistor - Surface Mount ROHS</t>
  </si>
  <si>
    <t>C25999</t>
  </si>
  <si>
    <t>0603WAJ0562T5E</t>
  </si>
  <si>
    <t>-55℃~+155℃ 100mW 5.6kΩ 75V Thick Film Resistor ±100ppm/℃ ±5% 0603 Chip Resistor - Surface Mount ROHS</t>
  </si>
  <si>
    <t>C26001</t>
  </si>
  <si>
    <t>LED Drivers</t>
  </si>
  <si>
    <t>PCA9685PW,118</t>
  </si>
  <si>
    <t>TSSOP-28</t>
  </si>
  <si>
    <t>-40℃~+85℃ 100kHz~1MHz 16 2.3V~5.5V 25mA PWM TSSOP-28 LED Drivers ROHS</t>
  </si>
  <si>
    <t>C2678753</t>
  </si>
  <si>
    <t>Amplifiers/Comparators</t>
  </si>
  <si>
    <t>LM358D</t>
  </si>
  <si>
    <t>SOP-8</t>
  </si>
  <si>
    <t>-15V~-1.5V -40℃~+85℃ 1.18mA 120mA 1MHz 2 300V/ms 30V 3V~30V 40nV/√Hz@1kHz 500nA 7mV 7uV/℃ 80dB SOP-8 Operational Amplifier ROHS</t>
  </si>
  <si>
    <t>C2683482</t>
  </si>
  <si>
    <t>XL-5050RGBC-2812B</t>
  </si>
  <si>
    <t>SMD5050</t>
  </si>
  <si>
    <t>-20℃~+85℃ 0.3mA 1.6mm 120° 2000V 3.5V~5.5V 465nm~475nm 4kHz 5mm 5mm 800Kbit/s G:1300mcd~1800mcd Top-mount Water Clear SMD5050-4P RGB LEDs(Built-in IC) ROHS</t>
  </si>
  <si>
    <t>C2843785</t>
  </si>
  <si>
    <t>FRC0603F3301TS</t>
  </si>
  <si>
    <t>-55℃~+155℃ 100mW 3.3kΩ 75V Thick Film Resistor ±1% ±100ppm/℃ 0603 Chip Resistor - Surface Mount ROHS</t>
  </si>
  <si>
    <t>C2907023</t>
  </si>
  <si>
    <t>FRC0603J201 TS</t>
  </si>
  <si>
    <t>-55℃~+155℃ 100mW 200Ω 75V Thick Film Resistor ±100ppm/℃ ±5% 0603 Chip Resistor - Surface Mount ROHS</t>
  </si>
  <si>
    <t>C2907123</t>
  </si>
  <si>
    <t>FRC0603J103 TS</t>
  </si>
  <si>
    <t>-55℃~+155℃ 100mW 10kΩ 75V Thick Film Resistor ±100ppm/℃ ±5% 0603 Chip Resistor - Surface Mount</t>
  </si>
  <si>
    <t>C2930027</t>
  </si>
  <si>
    <t>GMC10X5R104K25NT</t>
  </si>
  <si>
    <t>C3853265</t>
  </si>
  <si>
    <t>GMC10X5R103K50NT</t>
  </si>
  <si>
    <t>10nF 50V X5R ±10% 0603 Multilayer Ceramic Capacitors MLCC - SMD/SMT ROHS</t>
  </si>
  <si>
    <t>C3910010</t>
  </si>
  <si>
    <t>RS-03L225JJT</t>
  </si>
  <si>
    <t>-55℃~+155℃ 100mW 2.2MΩ 50V Thick Film Resistor ±250ppm/℃ ±5% 0603 Chip Resistor - Surface Mount ROHS</t>
  </si>
  <si>
    <t>C403986</t>
  </si>
  <si>
    <t>Diodes</t>
  </si>
  <si>
    <t>BAT54C</t>
  </si>
  <si>
    <t>SOT-23</t>
  </si>
  <si>
    <t>1 Pair Common Cathode 1V@100mA 200mA 2uA@25V 30V 600mA SOT-23 Schottky Diodes ROHS</t>
  </si>
  <si>
    <t>C408388</t>
  </si>
  <si>
    <t>RC0603JR-1310KL</t>
  </si>
  <si>
    <t>-55℃~+155℃ 100mW 10kΩ 75V Thick Film Resistor ±100ppm/℃ ±5% 0603 Chip Resistor - Surface Mount ROHS</t>
  </si>
  <si>
    <t>C4118381</t>
  </si>
  <si>
    <t>Transistors/Thyristors</t>
  </si>
  <si>
    <t>MMBT3904</t>
  </si>
  <si>
    <t>100@10mA,1V 100nA 200mA 200mW 300MHz 300mV 40V 6V NPN SOT-23 Bipolar (BJT) ROHS</t>
  </si>
  <si>
    <t>C5184404</t>
  </si>
  <si>
    <t>BC807-40</t>
  </si>
  <si>
    <t>100MHz 100nA 250@100mA,1V 300mW 45V 500mA 5V 700mV PNP SOT-23 Bipolar (BJT) ROHS</t>
  </si>
  <si>
    <t>C5184433</t>
  </si>
  <si>
    <t>2N7002</t>
  </si>
  <si>
    <t>-55℃~+150℃ 1.6V@250uA 1.8nC@4.5V 11pF 2.05Ω@4.5V 28pF 300mA 350mW 4pF 60V N-Channel One N-channel SOT-23 MOSFETs ROHS</t>
  </si>
  <si>
    <t>C5224215</t>
  </si>
  <si>
    <t>Power Management (PMIC)</t>
  </si>
  <si>
    <t>AMS1117-5.0</t>
  </si>
  <si>
    <t>SOT-223</t>
  </si>
  <si>
    <t>0℃~+125℃@(Ta) 1 12mA 18V 1A 20mV@(1A) 5V Fixed Positive SOT-223 Voltage Regulators - Linear, Low Drop Out (LDO) Regulators ROHS</t>
  </si>
  <si>
    <t>C5345984</t>
  </si>
  <si>
    <t>L196L-QYC-TR</t>
  </si>
  <si>
    <t>100mcd 140° 2.15V 595nm 598nm Water Clear Yellow 0603 LED Indication - Discrete ROHS</t>
  </si>
  <si>
    <t>C5663181</t>
  </si>
  <si>
    <t>L196B-QOC-TR</t>
  </si>
  <si>
    <t>150° 20mA 2V 605nm 615nm 95mcd Orange Water Clear 0603 LED Indication - Discrete ROHS</t>
  </si>
  <si>
    <t>C5745677</t>
  </si>
  <si>
    <t>LTST-C194KFKT</t>
  </si>
  <si>
    <t>130° 162.5mcd 20mA 2V 605nm 611nm Orange Water Clear 0603 LED Indication - Discrete ROHS</t>
  </si>
  <si>
    <t>C575416</t>
  </si>
  <si>
    <t>RC0603FR-13220RL</t>
  </si>
  <si>
    <t>-55℃~+155℃ 100mW 220Ω 75V Thick Film Resistor ±1% ±100ppm/℃ 0603 Chip Resistor - Surface Mount ROHS</t>
  </si>
  <si>
    <t>C5842375</t>
  </si>
  <si>
    <t>Interface</t>
  </si>
  <si>
    <t>MCP23017T-E/SO</t>
  </si>
  <si>
    <t>SOIC-28-300mil</t>
  </si>
  <si>
    <t>-40℃~+125℃ 1.7MHz 1.8V~5.5V 16 3mA 3uA 600mV 8 8mA I2C Interrupt Output SOIC-28-300mil I/O Expanders ROHS</t>
  </si>
  <si>
    <t>C629440</t>
  </si>
  <si>
    <t>SOIC-8</t>
  </si>
  <si>
    <t>-40℃~+85℃ 1MHz 2 300V/ms 30V 3V~30V 40mA 40nV/√Hz@1kHz 430uA 45nA 5nA 80dB 9mV SOIC-8 Operational Amplifier ROHS</t>
  </si>
  <si>
    <t>C688858</t>
  </si>
  <si>
    <t>IN-S63ASR</t>
  </si>
  <si>
    <t>-30℃~+85℃ 120° 150mcd 2.2V 20mA 622nm 630nm 75mW Red Water Clear 0603 LED Indication - Discrete ROHS</t>
  </si>
  <si>
    <t>C7288939</t>
  </si>
  <si>
    <t>2301V</t>
  </si>
  <si>
    <t>-55℃~+150℃ 1 P-Channel 185pF 2.2nC@4.5V 2.3A 20V 25pF 400mV 800mW 95mΩ SOT-23 MOSFETs ROHS</t>
  </si>
  <si>
    <t>C7499856</t>
  </si>
  <si>
    <t>DMN4468LSS-13-VB</t>
  </si>
  <si>
    <t>SO-8</t>
  </si>
  <si>
    <t>-55℃~+150℃@(Tj) 1 N-Channel 13A 3V 4.1W 6.8nC@5V 73pF@15V 800pF@15V 8mΩ@10V,10A SO-8 MOSFETs ROHS</t>
  </si>
  <si>
    <t>C878901</t>
  </si>
  <si>
    <t>CR-03JA7---3K3</t>
  </si>
  <si>
    <t>-55℃~+155℃ 100mW 3.3kΩ 75V Thick Film Resistor ±100ppm/℃ ±5% 0603 Chip Resistor - Surface Mount ROHS</t>
  </si>
  <si>
    <t>C881901</t>
  </si>
  <si>
    <t>XL-1608SURC-06</t>
  </si>
  <si>
    <t>-40℃~+85℃ 120° 2.3V 20mA 225mcd 50mW 620nm~630nm 625nm Red Top-mount Water Clear 0603 LED Indication - Discrete ROHS</t>
  </si>
  <si>
    <t>C965799</t>
  </si>
  <si>
    <t>XL-1608UOC-06</t>
  </si>
  <si>
    <t>-40℃~+85℃ 120° 2.3V 20mA 315mcd 50mW 600nm~610nm 605nm Orange Water Clear op View Mount 0603 LED Indication - Discrete ROHS</t>
  </si>
  <si>
    <t>C965800</t>
  </si>
  <si>
    <t>XL-1608UYC-04</t>
  </si>
  <si>
    <t>-40℃~+85℃ 120° 2.3V 20mA 210mcd 50mW 585nm~595nm 590nm Water Clear Yellow op View Mount 0603 LED Indication - Discrete ROHS</t>
  </si>
  <si>
    <t>C965803</t>
  </si>
  <si>
    <t>XL-1608UGC-04</t>
  </si>
  <si>
    <t>-40℃~+85℃ 120° 20mA 3.3V 515nm~535nm 525nm 70mW 810mcd Discrete Diode Emerald Green Water Clear op View Mount 0603 LED Indication - Discrete ROHS</t>
  </si>
  <si>
    <t>C965804</t>
  </si>
  <si>
    <t>XL-1608SYGC-04</t>
  </si>
  <si>
    <t>-40℃~+85℃ 120° 2.4V 20mA 50mW 50mcd 565nm~575nm 572nm Water Clear Yellow Green op View Mount 0603 LED Indication - Discrete ROHS</t>
  </si>
  <si>
    <t>C965806</t>
  </si>
  <si>
    <t>XL-1608UBC-04</t>
  </si>
  <si>
    <t>120° 20mA 3.3V 300mcd 455nm~475nm 470nm 70mW Blue Top-mount Water Clear 0603 LED Indication - Discrete ROHS</t>
  </si>
  <si>
    <t>C965807</t>
  </si>
  <si>
    <t>XL-1608UWC-04</t>
  </si>
  <si>
    <t>-40℃~+85℃ 120° 130mcd 13700K~33000K 2.7V 20mA 70mW White Yellow Lens op View Mount 0603 LED Indication - Discrete ROHS</t>
  </si>
  <si>
    <t>C965808</t>
  </si>
  <si>
    <t>IPN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</si>
</sst>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5"/>
      <name val="宋体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workbookViewId="0">
      <selection activeCell="A3" sqref="A3:A53"/>
    </sheetView>
  </sheetViews>
  <sheetFormatPr baseColWidth="10" defaultColWidth="8.83203125" defaultRowHeight="15"/>
  <cols>
    <col min="1" max="1" width="27.1640625" customWidth="1"/>
    <col min="2" max="2" width="23" customWidth="1"/>
    <col min="3" max="3" width="19" customWidth="1"/>
    <col min="4" max="4" width="14" customWidth="1"/>
    <col min="5" max="5" width="160" customWidth="1"/>
    <col min="6" max="6" width="13" customWidth="1"/>
    <col min="7" max="7" width="16" customWidth="1"/>
    <col min="8" max="8" width="25" customWidth="1"/>
    <col min="9" max="9" width="19" customWidth="1"/>
    <col min="10" max="10" width="13" customWidth="1"/>
    <col min="11" max="11" width="14" customWidth="1"/>
  </cols>
  <sheetData>
    <row r="1" spans="1:11" ht="38">
      <c r="A1" t="s">
        <v>184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t="str">
        <f>_xlfn.CONCAT("JLC-", F2)</f>
        <v>JLC-C100042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3620</v>
      </c>
      <c r="H2" s="2">
        <v>0</v>
      </c>
      <c r="I2" s="2">
        <v>0</v>
      </c>
      <c r="J2" s="2">
        <v>0.01</v>
      </c>
      <c r="K2" s="2">
        <v>4.37</v>
      </c>
    </row>
    <row r="3" spans="1:11">
      <c r="A3" t="str">
        <f t="shared" ref="A3:A53" si="0">_xlfn.CONCAT("JLC-", F3)</f>
        <v>JLC-C13585</v>
      </c>
      <c r="B3" s="2" t="s">
        <v>10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1980</v>
      </c>
      <c r="H3" s="2">
        <v>0</v>
      </c>
      <c r="I3" s="2">
        <v>0</v>
      </c>
      <c r="J3" s="2">
        <v>0.02</v>
      </c>
      <c r="K3" s="2">
        <v>37.82</v>
      </c>
    </row>
    <row r="4" spans="1:11">
      <c r="A4" t="str">
        <f t="shared" si="0"/>
        <v>JLC-C136294</v>
      </c>
      <c r="B4" s="2" t="s">
        <v>10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490</v>
      </c>
      <c r="H4" s="2">
        <v>0</v>
      </c>
      <c r="I4" s="2">
        <v>0</v>
      </c>
      <c r="J4" s="2">
        <v>0.16</v>
      </c>
      <c r="K4" s="2">
        <v>76.14</v>
      </c>
    </row>
    <row r="5" spans="1:11">
      <c r="A5" t="str">
        <f t="shared" si="0"/>
        <v>JLC-C14663</v>
      </c>
      <c r="B5" s="2" t="s">
        <v>10</v>
      </c>
      <c r="C5" s="2" t="s">
        <v>23</v>
      </c>
      <c r="D5" s="2" t="s">
        <v>12</v>
      </c>
      <c r="E5" s="2" t="s">
        <v>24</v>
      </c>
      <c r="F5" s="2" t="s">
        <v>25</v>
      </c>
      <c r="G5" s="2">
        <v>3260</v>
      </c>
      <c r="H5" s="2">
        <v>0</v>
      </c>
      <c r="I5" s="2">
        <v>0</v>
      </c>
      <c r="J5" s="2">
        <v>0.01</v>
      </c>
      <c r="K5" s="2">
        <v>4.33</v>
      </c>
    </row>
    <row r="6" spans="1:11">
      <c r="A6" t="str">
        <f t="shared" si="0"/>
        <v>JLC-C15458</v>
      </c>
      <c r="B6" s="2" t="s">
        <v>26</v>
      </c>
      <c r="C6" s="2" t="s">
        <v>27</v>
      </c>
      <c r="D6" s="2" t="s">
        <v>12</v>
      </c>
      <c r="E6" s="2" t="s">
        <v>28</v>
      </c>
      <c r="F6" s="2" t="s">
        <v>29</v>
      </c>
      <c r="G6" s="2">
        <v>5000</v>
      </c>
      <c r="H6" s="2">
        <v>0</v>
      </c>
      <c r="I6" s="2">
        <v>0</v>
      </c>
      <c r="J6" s="2">
        <v>0.01</v>
      </c>
      <c r="K6" s="2">
        <v>2.52</v>
      </c>
    </row>
    <row r="7" spans="1:11">
      <c r="A7" t="str">
        <f t="shared" si="0"/>
        <v>JLC-C15849</v>
      </c>
      <c r="B7" s="2" t="s">
        <v>10</v>
      </c>
      <c r="C7" s="2" t="s">
        <v>30</v>
      </c>
      <c r="D7" s="2" t="s">
        <v>12</v>
      </c>
      <c r="E7" s="2" t="s">
        <v>31</v>
      </c>
      <c r="F7" s="2" t="s">
        <v>32</v>
      </c>
      <c r="G7" s="2">
        <v>3620</v>
      </c>
      <c r="H7" s="2">
        <v>0</v>
      </c>
      <c r="I7" s="2">
        <v>0</v>
      </c>
      <c r="J7" s="2">
        <v>0.01</v>
      </c>
      <c r="K7" s="2">
        <v>10.95</v>
      </c>
    </row>
    <row r="8" spans="1:11">
      <c r="A8" t="str">
        <f t="shared" si="0"/>
        <v>JLC-C161618</v>
      </c>
      <c r="B8" s="2" t="s">
        <v>33</v>
      </c>
      <c r="C8" s="2" t="s">
        <v>34</v>
      </c>
      <c r="D8" s="2" t="s">
        <v>12</v>
      </c>
      <c r="E8" s="2" t="s">
        <v>35</v>
      </c>
      <c r="F8" s="2" t="s">
        <v>36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>
      <c r="A9" t="str">
        <f t="shared" si="0"/>
        <v>JLC-C1852832</v>
      </c>
      <c r="B9" s="2" t="s">
        <v>10</v>
      </c>
      <c r="C9" s="2" t="s">
        <v>37</v>
      </c>
      <c r="D9" s="2" t="s">
        <v>12</v>
      </c>
      <c r="E9" s="2" t="s">
        <v>38</v>
      </c>
      <c r="F9" s="2" t="s">
        <v>39</v>
      </c>
      <c r="G9" s="2">
        <v>3394</v>
      </c>
      <c r="H9" s="2">
        <v>0</v>
      </c>
      <c r="I9" s="2">
        <v>0</v>
      </c>
      <c r="J9" s="2">
        <v>0.02</v>
      </c>
      <c r="K9" s="2">
        <v>42.34</v>
      </c>
    </row>
    <row r="10" spans="1:11">
      <c r="A10" t="str">
        <f t="shared" si="0"/>
        <v>JLC-C18679</v>
      </c>
      <c r="B10" s="2" t="s">
        <v>26</v>
      </c>
      <c r="C10" s="2" t="s">
        <v>40</v>
      </c>
      <c r="D10" s="2" t="s">
        <v>12</v>
      </c>
      <c r="E10" s="2" t="s">
        <v>41</v>
      </c>
      <c r="F10" s="2" t="s">
        <v>42</v>
      </c>
      <c r="G10" s="2">
        <v>4260</v>
      </c>
      <c r="H10" s="2">
        <v>0</v>
      </c>
      <c r="I10" s="2">
        <v>0</v>
      </c>
      <c r="J10" s="2">
        <v>0.01</v>
      </c>
      <c r="K10" s="2">
        <v>2.58</v>
      </c>
    </row>
    <row r="11" spans="1:11">
      <c r="A11" t="str">
        <f t="shared" si="0"/>
        <v>JLC-C2169859</v>
      </c>
      <c r="B11" s="2" t="s">
        <v>10</v>
      </c>
      <c r="C11" s="2" t="s">
        <v>43</v>
      </c>
      <c r="D11" s="2" t="s">
        <v>12</v>
      </c>
      <c r="E11" s="2" t="s">
        <v>44</v>
      </c>
      <c r="F11" s="2" t="s">
        <v>45</v>
      </c>
      <c r="G11" s="2">
        <v>3973</v>
      </c>
      <c r="H11" s="2">
        <v>0</v>
      </c>
      <c r="I11" s="2">
        <v>0</v>
      </c>
      <c r="J11" s="2">
        <v>0.04</v>
      </c>
      <c r="K11" s="2">
        <v>128.57</v>
      </c>
    </row>
    <row r="12" spans="1:11">
      <c r="A12" t="str">
        <f t="shared" si="0"/>
        <v>JLC-C22371303</v>
      </c>
      <c r="B12" s="2" t="s">
        <v>33</v>
      </c>
      <c r="C12" s="2" t="s">
        <v>46</v>
      </c>
      <c r="D12" s="2" t="s">
        <v>12</v>
      </c>
      <c r="E12" s="2" t="s">
        <v>47</v>
      </c>
      <c r="F12" s="2" t="s">
        <v>48</v>
      </c>
      <c r="G12" s="2">
        <v>4000</v>
      </c>
      <c r="H12" s="2">
        <v>0</v>
      </c>
      <c r="I12" s="2">
        <v>0</v>
      </c>
      <c r="J12" s="2">
        <v>0.01</v>
      </c>
      <c r="K12" s="2">
        <v>21.3</v>
      </c>
    </row>
    <row r="13" spans="1:11">
      <c r="A13" t="str">
        <f t="shared" si="0"/>
        <v>JLC-C22935</v>
      </c>
      <c r="B13" s="2" t="s">
        <v>26</v>
      </c>
      <c r="C13" s="2" t="s">
        <v>49</v>
      </c>
      <c r="D13" s="2" t="s">
        <v>12</v>
      </c>
      <c r="E13" s="2" t="s">
        <v>50</v>
      </c>
      <c r="F13" s="2" t="s">
        <v>51</v>
      </c>
      <c r="G13" s="2">
        <v>9960</v>
      </c>
      <c r="H13" s="2">
        <v>0</v>
      </c>
      <c r="I13" s="2">
        <v>0</v>
      </c>
      <c r="J13" s="2">
        <v>0.01</v>
      </c>
      <c r="K13" s="2">
        <v>6.32</v>
      </c>
    </row>
    <row r="14" spans="1:11">
      <c r="A14" t="str">
        <f t="shared" si="0"/>
        <v>JLC-C23344</v>
      </c>
      <c r="B14" s="2" t="s">
        <v>26</v>
      </c>
      <c r="C14" s="2" t="s">
        <v>52</v>
      </c>
      <c r="D14" s="2" t="s">
        <v>12</v>
      </c>
      <c r="E14" s="2" t="s">
        <v>53</v>
      </c>
      <c r="F14" s="2" t="s">
        <v>54</v>
      </c>
      <c r="G14" s="2">
        <v>5000</v>
      </c>
      <c r="H14" s="2">
        <v>0</v>
      </c>
      <c r="I14" s="2">
        <v>0</v>
      </c>
      <c r="J14" s="2">
        <v>0.01</v>
      </c>
      <c r="K14" s="2">
        <v>2.52</v>
      </c>
    </row>
    <row r="15" spans="1:11">
      <c r="A15" t="str">
        <f t="shared" si="0"/>
        <v>JLC-C2443214</v>
      </c>
      <c r="B15" s="2" t="s">
        <v>10</v>
      </c>
      <c r="C15" s="2" t="s">
        <v>55</v>
      </c>
      <c r="D15" s="2" t="s">
        <v>12</v>
      </c>
      <c r="E15" s="2" t="s">
        <v>56</v>
      </c>
      <c r="F15" s="2" t="s">
        <v>57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>
      <c r="A16" t="str">
        <f t="shared" si="0"/>
        <v>JLC-C25231</v>
      </c>
      <c r="B16" s="2" t="s">
        <v>26</v>
      </c>
      <c r="C16" s="2" t="s">
        <v>58</v>
      </c>
      <c r="D16" s="2" t="s">
        <v>12</v>
      </c>
      <c r="E16" s="2" t="s">
        <v>59</v>
      </c>
      <c r="F16" s="2" t="s">
        <v>60</v>
      </c>
      <c r="G16" s="2">
        <v>5000</v>
      </c>
      <c r="H16" s="2">
        <v>0</v>
      </c>
      <c r="I16" s="2">
        <v>0</v>
      </c>
      <c r="J16" s="2">
        <v>0.01</v>
      </c>
      <c r="K16" s="2">
        <v>2.52</v>
      </c>
    </row>
    <row r="17" spans="1:11">
      <c r="A17" t="str">
        <f t="shared" si="0"/>
        <v>JLC-C25241</v>
      </c>
      <c r="B17" s="2" t="s">
        <v>26</v>
      </c>
      <c r="C17" s="2" t="s">
        <v>61</v>
      </c>
      <c r="D17" s="2" t="s">
        <v>12</v>
      </c>
      <c r="E17" s="2" t="s">
        <v>62</v>
      </c>
      <c r="F17" s="2" t="s">
        <v>63</v>
      </c>
      <c r="G17" s="2">
        <v>5000</v>
      </c>
      <c r="H17" s="2">
        <v>0</v>
      </c>
      <c r="I17" s="2">
        <v>0</v>
      </c>
      <c r="J17" s="2">
        <v>0.01</v>
      </c>
      <c r="K17" s="2">
        <v>2.52</v>
      </c>
    </row>
    <row r="18" spans="1:11">
      <c r="A18" t="str">
        <f t="shared" si="0"/>
        <v>JLC-C25585</v>
      </c>
      <c r="B18" s="2" t="s">
        <v>26</v>
      </c>
      <c r="C18" s="2" t="s">
        <v>64</v>
      </c>
      <c r="D18" s="2" t="s">
        <v>12</v>
      </c>
      <c r="E18" s="2" t="s">
        <v>65</v>
      </c>
      <c r="F18" s="2" t="s">
        <v>66</v>
      </c>
      <c r="G18" s="2">
        <v>4140</v>
      </c>
      <c r="H18" s="2">
        <v>0</v>
      </c>
      <c r="I18" s="2">
        <v>0</v>
      </c>
      <c r="J18" s="2">
        <v>0.01</v>
      </c>
      <c r="K18" s="2">
        <v>2.5499999999999998</v>
      </c>
    </row>
    <row r="19" spans="1:11">
      <c r="A19" t="str">
        <f t="shared" si="0"/>
        <v>JLC-C25992</v>
      </c>
      <c r="B19" s="2" t="s">
        <v>26</v>
      </c>
      <c r="C19" s="2" t="s">
        <v>67</v>
      </c>
      <c r="D19" s="2" t="s">
        <v>12</v>
      </c>
      <c r="E19" s="2" t="s">
        <v>68</v>
      </c>
      <c r="F19" s="2" t="s">
        <v>69</v>
      </c>
      <c r="G19" s="2">
        <v>4920</v>
      </c>
      <c r="H19" s="2">
        <v>0</v>
      </c>
      <c r="I19" s="2">
        <v>0</v>
      </c>
      <c r="J19" s="2">
        <v>0.01</v>
      </c>
      <c r="K19" s="2">
        <v>2.5099999999999998</v>
      </c>
    </row>
    <row r="20" spans="1:11">
      <c r="A20" t="str">
        <f t="shared" si="0"/>
        <v>JLC-C25999</v>
      </c>
      <c r="B20" s="2" t="s">
        <v>26</v>
      </c>
      <c r="C20" s="2" t="s">
        <v>70</v>
      </c>
      <c r="D20" s="2" t="s">
        <v>12</v>
      </c>
      <c r="E20" s="2" t="s">
        <v>71</v>
      </c>
      <c r="F20" s="2" t="s">
        <v>72</v>
      </c>
      <c r="G20" s="2">
        <v>5000</v>
      </c>
      <c r="H20" s="2">
        <v>0</v>
      </c>
      <c r="I20" s="2">
        <v>0</v>
      </c>
      <c r="J20" s="2">
        <v>0.01</v>
      </c>
      <c r="K20" s="2">
        <v>2.52</v>
      </c>
    </row>
    <row r="21" spans="1:11">
      <c r="A21" t="str">
        <f t="shared" si="0"/>
        <v>JLC-C26001</v>
      </c>
      <c r="B21" s="2" t="s">
        <v>26</v>
      </c>
      <c r="C21" s="2" t="s">
        <v>73</v>
      </c>
      <c r="D21" s="2" t="s">
        <v>12</v>
      </c>
      <c r="E21" s="2" t="s">
        <v>74</v>
      </c>
      <c r="F21" s="2" t="s">
        <v>75</v>
      </c>
      <c r="G21" s="2">
        <v>5000</v>
      </c>
      <c r="H21" s="2">
        <v>0</v>
      </c>
      <c r="I21" s="2">
        <v>0</v>
      </c>
      <c r="J21" s="2">
        <v>0.01</v>
      </c>
      <c r="K21" s="2">
        <v>2.52</v>
      </c>
    </row>
    <row r="22" spans="1:11">
      <c r="A22" t="str">
        <f t="shared" si="0"/>
        <v>JLC-C2678753</v>
      </c>
      <c r="B22" s="2" t="s">
        <v>76</v>
      </c>
      <c r="C22" s="2" t="s">
        <v>77</v>
      </c>
      <c r="D22" s="2" t="s">
        <v>78</v>
      </c>
      <c r="E22" s="2" t="s">
        <v>79</v>
      </c>
      <c r="F22" s="2" t="s">
        <v>80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>
      <c r="A23" t="str">
        <f t="shared" si="0"/>
        <v>JLC-C2683482</v>
      </c>
      <c r="B23" s="2" t="s">
        <v>81</v>
      </c>
      <c r="C23" s="2" t="s">
        <v>82</v>
      </c>
      <c r="D23" s="2" t="s">
        <v>83</v>
      </c>
      <c r="E23" s="2" t="s">
        <v>84</v>
      </c>
      <c r="F23" s="2" t="s">
        <v>85</v>
      </c>
      <c r="G23" s="2">
        <v>3640</v>
      </c>
      <c r="H23" s="2">
        <v>0</v>
      </c>
      <c r="I23" s="2">
        <v>0</v>
      </c>
      <c r="J23" s="2">
        <v>0.02</v>
      </c>
      <c r="K23" s="2">
        <v>68.83</v>
      </c>
    </row>
    <row r="24" spans="1:11">
      <c r="A24" t="str">
        <f t="shared" si="0"/>
        <v>JLC-C2843785</v>
      </c>
      <c r="B24" s="2" t="s">
        <v>33</v>
      </c>
      <c r="C24" s="2" t="s">
        <v>86</v>
      </c>
      <c r="D24" s="2" t="s">
        <v>87</v>
      </c>
      <c r="E24" s="2" t="s">
        <v>88</v>
      </c>
      <c r="F24" s="2" t="s">
        <v>89</v>
      </c>
      <c r="G24" s="2">
        <v>4707</v>
      </c>
      <c r="H24" s="2">
        <v>0</v>
      </c>
      <c r="I24" s="2">
        <v>0</v>
      </c>
      <c r="J24" s="2">
        <v>0.03</v>
      </c>
      <c r="K24" s="2">
        <v>118.77</v>
      </c>
    </row>
    <row r="25" spans="1:11">
      <c r="A25" t="str">
        <f t="shared" si="0"/>
        <v>JLC-C2907023</v>
      </c>
      <c r="B25" s="2" t="s">
        <v>26</v>
      </c>
      <c r="C25" s="2" t="s">
        <v>90</v>
      </c>
      <c r="D25" s="2" t="s">
        <v>12</v>
      </c>
      <c r="E25" s="2" t="s">
        <v>91</v>
      </c>
      <c r="F25" s="2" t="s">
        <v>92</v>
      </c>
      <c r="G25" s="2">
        <v>4620</v>
      </c>
      <c r="H25" s="2">
        <v>0</v>
      </c>
      <c r="I25" s="2">
        <v>0</v>
      </c>
      <c r="J25" s="2">
        <v>0.01</v>
      </c>
      <c r="K25" s="2">
        <v>2.8</v>
      </c>
    </row>
    <row r="26" spans="1:11">
      <c r="A26" t="str">
        <f t="shared" si="0"/>
        <v>JLC-C2907123</v>
      </c>
      <c r="B26" s="2" t="s">
        <v>26</v>
      </c>
      <c r="C26" s="2" t="s">
        <v>93</v>
      </c>
      <c r="D26" s="2" t="s">
        <v>12</v>
      </c>
      <c r="E26" s="2" t="s">
        <v>94</v>
      </c>
      <c r="F26" s="2" t="s">
        <v>95</v>
      </c>
      <c r="G26" s="2">
        <v>4620</v>
      </c>
      <c r="H26" s="2">
        <v>0</v>
      </c>
      <c r="I26" s="2">
        <v>0</v>
      </c>
      <c r="J26" s="2">
        <v>0.01</v>
      </c>
      <c r="K26" s="2">
        <v>1.85</v>
      </c>
    </row>
    <row r="27" spans="1:11">
      <c r="A27" t="str">
        <f t="shared" si="0"/>
        <v>JLC-C2930027</v>
      </c>
      <c r="B27" s="2" t="s">
        <v>26</v>
      </c>
      <c r="C27" s="2" t="s">
        <v>96</v>
      </c>
      <c r="D27" s="2" t="s">
        <v>12</v>
      </c>
      <c r="E27" s="2" t="s">
        <v>97</v>
      </c>
      <c r="F27" s="2" t="s">
        <v>98</v>
      </c>
      <c r="G27" s="2">
        <v>3180</v>
      </c>
      <c r="H27" s="2">
        <v>0</v>
      </c>
      <c r="I27" s="2">
        <v>0</v>
      </c>
      <c r="J27" s="2">
        <v>0.01</v>
      </c>
      <c r="K27" s="2">
        <v>1.59</v>
      </c>
    </row>
    <row r="28" spans="1:11">
      <c r="A28" t="str">
        <f t="shared" si="0"/>
        <v>JLC-C3853265</v>
      </c>
      <c r="B28" s="2" t="s">
        <v>10</v>
      </c>
      <c r="C28" s="2" t="s">
        <v>99</v>
      </c>
      <c r="D28" s="2" t="s">
        <v>12</v>
      </c>
      <c r="E28" s="2" t="s">
        <v>56</v>
      </c>
      <c r="F28" s="2" t="s">
        <v>100</v>
      </c>
      <c r="G28" s="2">
        <v>4000</v>
      </c>
      <c r="H28" s="2">
        <v>0</v>
      </c>
      <c r="I28" s="2">
        <v>0</v>
      </c>
      <c r="J28" s="2">
        <v>0.01</v>
      </c>
      <c r="K28" s="2">
        <v>10.34</v>
      </c>
    </row>
    <row r="29" spans="1:11">
      <c r="A29" t="str">
        <f t="shared" si="0"/>
        <v>JLC-C3910010</v>
      </c>
      <c r="B29" s="2" t="s">
        <v>10</v>
      </c>
      <c r="C29" s="2" t="s">
        <v>101</v>
      </c>
      <c r="D29" s="2" t="s">
        <v>12</v>
      </c>
      <c r="E29" s="2" t="s">
        <v>102</v>
      </c>
      <c r="F29" s="2" t="s">
        <v>103</v>
      </c>
      <c r="G29" s="2">
        <v>4000</v>
      </c>
      <c r="H29" s="2">
        <v>0</v>
      </c>
      <c r="I29" s="2">
        <v>0</v>
      </c>
      <c r="J29" s="2">
        <v>0.01</v>
      </c>
      <c r="K29" s="2">
        <v>9.4600000000000009</v>
      </c>
    </row>
    <row r="30" spans="1:11">
      <c r="A30" t="str">
        <f t="shared" si="0"/>
        <v>JLC-C403986</v>
      </c>
      <c r="B30" s="2" t="s">
        <v>26</v>
      </c>
      <c r="C30" s="2" t="s">
        <v>104</v>
      </c>
      <c r="D30" s="2" t="s">
        <v>12</v>
      </c>
      <c r="E30" s="2" t="s">
        <v>105</v>
      </c>
      <c r="F30" s="2" t="s">
        <v>106</v>
      </c>
      <c r="G30" s="2">
        <v>5000</v>
      </c>
      <c r="H30" s="2">
        <v>0</v>
      </c>
      <c r="I30" s="2">
        <v>0</v>
      </c>
      <c r="J30" s="2">
        <v>0.01</v>
      </c>
      <c r="K30" s="2">
        <v>2.0099999999999998</v>
      </c>
    </row>
    <row r="31" spans="1:11">
      <c r="A31" t="str">
        <f t="shared" si="0"/>
        <v>JLC-C408388</v>
      </c>
      <c r="B31" s="2" t="s">
        <v>107</v>
      </c>
      <c r="C31" s="2" t="s">
        <v>108</v>
      </c>
      <c r="D31" s="2" t="s">
        <v>109</v>
      </c>
      <c r="E31" s="2" t="s">
        <v>110</v>
      </c>
      <c r="F31" s="2" t="s">
        <v>111</v>
      </c>
      <c r="G31" s="2">
        <v>830</v>
      </c>
      <c r="H31" s="2">
        <v>0</v>
      </c>
      <c r="I31" s="2">
        <v>0</v>
      </c>
      <c r="J31" s="2">
        <v>0.01</v>
      </c>
      <c r="K31" s="2">
        <v>6.25</v>
      </c>
    </row>
    <row r="32" spans="1:11">
      <c r="A32" t="str">
        <f t="shared" si="0"/>
        <v>JLC-C4118381</v>
      </c>
      <c r="B32" s="2" t="s">
        <v>26</v>
      </c>
      <c r="C32" s="2" t="s">
        <v>112</v>
      </c>
      <c r="D32" s="2" t="s">
        <v>12</v>
      </c>
      <c r="E32" s="2" t="s">
        <v>113</v>
      </c>
      <c r="F32" s="2" t="s">
        <v>114</v>
      </c>
      <c r="G32" s="2">
        <v>9508</v>
      </c>
      <c r="H32" s="2">
        <v>0</v>
      </c>
      <c r="I32" s="2">
        <v>0</v>
      </c>
      <c r="J32" s="2">
        <v>0.01</v>
      </c>
      <c r="K32" s="2">
        <v>40.159999999999997</v>
      </c>
    </row>
    <row r="33" spans="1:11">
      <c r="A33" t="str">
        <f t="shared" si="0"/>
        <v>JLC-C5184404</v>
      </c>
      <c r="B33" s="2" t="s">
        <v>115</v>
      </c>
      <c r="C33" s="2" t="s">
        <v>116</v>
      </c>
      <c r="D33" s="2" t="s">
        <v>109</v>
      </c>
      <c r="E33" s="2" t="s">
        <v>117</v>
      </c>
      <c r="F33" s="2" t="s">
        <v>118</v>
      </c>
      <c r="G33" s="2">
        <v>5970</v>
      </c>
      <c r="H33" s="2">
        <v>0</v>
      </c>
      <c r="I33" s="2">
        <v>0</v>
      </c>
      <c r="J33" s="2">
        <v>0.01</v>
      </c>
      <c r="K33" s="2">
        <v>20.399999999999999</v>
      </c>
    </row>
    <row r="34" spans="1:11">
      <c r="A34" t="str">
        <f t="shared" si="0"/>
        <v>JLC-C5184433</v>
      </c>
      <c r="B34" s="2" t="s">
        <v>115</v>
      </c>
      <c r="C34" s="2" t="s">
        <v>119</v>
      </c>
      <c r="D34" s="2" t="s">
        <v>109</v>
      </c>
      <c r="E34" s="2" t="s">
        <v>120</v>
      </c>
      <c r="F34" s="2" t="s">
        <v>121</v>
      </c>
      <c r="G34" s="2">
        <v>6000</v>
      </c>
      <c r="H34" s="2">
        <v>0</v>
      </c>
      <c r="I34" s="2">
        <v>0</v>
      </c>
      <c r="J34" s="2">
        <v>0.01</v>
      </c>
      <c r="K34" s="2">
        <v>43.41</v>
      </c>
    </row>
    <row r="35" spans="1:11">
      <c r="A35" t="str">
        <f t="shared" si="0"/>
        <v>JLC-C5224215</v>
      </c>
      <c r="B35" s="2" t="s">
        <v>115</v>
      </c>
      <c r="C35" s="2" t="s">
        <v>122</v>
      </c>
      <c r="D35" s="2" t="s">
        <v>109</v>
      </c>
      <c r="E35" s="2" t="s">
        <v>123</v>
      </c>
      <c r="F35" s="2" t="s">
        <v>124</v>
      </c>
      <c r="G35" s="2">
        <v>2630</v>
      </c>
      <c r="H35" s="2">
        <v>0</v>
      </c>
      <c r="I35" s="2">
        <v>0</v>
      </c>
      <c r="J35" s="2">
        <v>0.01</v>
      </c>
      <c r="K35" s="2">
        <v>17.190000000000001</v>
      </c>
    </row>
    <row r="36" spans="1:11">
      <c r="A36" t="str">
        <f t="shared" si="0"/>
        <v>JLC-C5345984</v>
      </c>
      <c r="B36" s="2" t="s">
        <v>125</v>
      </c>
      <c r="C36" s="2" t="s">
        <v>126</v>
      </c>
      <c r="D36" s="2" t="s">
        <v>127</v>
      </c>
      <c r="E36" s="2" t="s">
        <v>128</v>
      </c>
      <c r="F36" s="2" t="s">
        <v>129</v>
      </c>
      <c r="G36" s="2">
        <v>482</v>
      </c>
      <c r="H36" s="2">
        <v>0</v>
      </c>
      <c r="I36" s="2">
        <v>0</v>
      </c>
      <c r="J36" s="2">
        <v>0.03</v>
      </c>
      <c r="K36" s="2">
        <v>13.69</v>
      </c>
    </row>
    <row r="37" spans="1:11">
      <c r="A37" t="str">
        <f t="shared" si="0"/>
        <v>JLC-C5663181</v>
      </c>
      <c r="B37" s="2" t="s">
        <v>33</v>
      </c>
      <c r="C37" s="2" t="s">
        <v>130</v>
      </c>
      <c r="D37" s="2" t="s">
        <v>12</v>
      </c>
      <c r="E37" s="2" t="s">
        <v>131</v>
      </c>
      <c r="F37" s="2" t="s">
        <v>132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>
      <c r="A38" t="str">
        <f t="shared" si="0"/>
        <v>JLC-C5745677</v>
      </c>
      <c r="B38" s="2" t="s">
        <v>33</v>
      </c>
      <c r="C38" s="2" t="s">
        <v>133</v>
      </c>
      <c r="D38" s="2" t="s">
        <v>12</v>
      </c>
      <c r="E38" s="2" t="s">
        <v>134</v>
      </c>
      <c r="F38" s="2" t="s">
        <v>135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>
      <c r="A39" t="str">
        <f t="shared" si="0"/>
        <v>JLC-C575416</v>
      </c>
      <c r="B39" s="2" t="s">
        <v>33</v>
      </c>
      <c r="C39" s="2" t="s">
        <v>136</v>
      </c>
      <c r="D39" s="2" t="s">
        <v>12</v>
      </c>
      <c r="E39" s="2" t="s">
        <v>137</v>
      </c>
      <c r="F39" s="2" t="s">
        <v>138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1">
      <c r="A40" t="str">
        <f t="shared" si="0"/>
        <v>JLC-C5842375</v>
      </c>
      <c r="B40" s="2" t="s">
        <v>26</v>
      </c>
      <c r="C40" s="2" t="s">
        <v>139</v>
      </c>
      <c r="D40" s="2" t="s">
        <v>12</v>
      </c>
      <c r="E40" s="2" t="s">
        <v>140</v>
      </c>
      <c r="F40" s="2" t="s">
        <v>141</v>
      </c>
      <c r="G40" s="2">
        <v>3914</v>
      </c>
      <c r="H40" s="2">
        <v>0</v>
      </c>
      <c r="I40" s="2">
        <v>0</v>
      </c>
      <c r="J40" s="2">
        <v>0.01</v>
      </c>
      <c r="K40" s="2">
        <v>27.15</v>
      </c>
    </row>
    <row r="41" spans="1:11">
      <c r="A41" t="str">
        <f t="shared" si="0"/>
        <v>JLC-C629440</v>
      </c>
      <c r="B41" s="2" t="s">
        <v>142</v>
      </c>
      <c r="C41" s="2" t="s">
        <v>143</v>
      </c>
      <c r="D41" s="2" t="s">
        <v>144</v>
      </c>
      <c r="E41" s="2" t="s">
        <v>145</v>
      </c>
      <c r="F41" s="2" t="s">
        <v>146</v>
      </c>
      <c r="G41" s="2">
        <v>20</v>
      </c>
      <c r="H41" s="2">
        <v>0</v>
      </c>
      <c r="I41" s="2">
        <v>0</v>
      </c>
      <c r="J41" s="2">
        <v>1.46</v>
      </c>
      <c r="K41" s="2">
        <v>29.1</v>
      </c>
    </row>
    <row r="42" spans="1:11">
      <c r="A42" t="str">
        <f t="shared" si="0"/>
        <v>JLC-C688858</v>
      </c>
      <c r="B42" s="2" t="s">
        <v>81</v>
      </c>
      <c r="C42" s="2" t="s">
        <v>82</v>
      </c>
      <c r="D42" s="2" t="s">
        <v>147</v>
      </c>
      <c r="E42" s="2" t="s">
        <v>148</v>
      </c>
      <c r="F42" s="2" t="s">
        <v>149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>
      <c r="A43" t="str">
        <f t="shared" si="0"/>
        <v>JLC-C7288939</v>
      </c>
      <c r="B43" s="2" t="s">
        <v>33</v>
      </c>
      <c r="C43" s="2" t="s">
        <v>150</v>
      </c>
      <c r="D43" s="2" t="s">
        <v>12</v>
      </c>
      <c r="E43" s="2" t="s">
        <v>151</v>
      </c>
      <c r="F43" s="2" t="s">
        <v>152</v>
      </c>
      <c r="G43" s="2">
        <v>4000</v>
      </c>
      <c r="H43" s="2">
        <v>0</v>
      </c>
      <c r="I43" s="2">
        <v>0</v>
      </c>
      <c r="J43" s="2">
        <v>7.0000000000000007E-2</v>
      </c>
      <c r="K43" s="2">
        <v>255.29</v>
      </c>
    </row>
    <row r="44" spans="1:11">
      <c r="A44" t="str">
        <f t="shared" si="0"/>
        <v>JLC-C7499856</v>
      </c>
      <c r="B44" s="2" t="s">
        <v>115</v>
      </c>
      <c r="C44" s="2" t="s">
        <v>153</v>
      </c>
      <c r="D44" s="2" t="s">
        <v>109</v>
      </c>
      <c r="E44" s="2" t="s">
        <v>154</v>
      </c>
      <c r="F44" s="2" t="s">
        <v>155</v>
      </c>
      <c r="G44" s="2">
        <v>3000</v>
      </c>
      <c r="H44" s="2">
        <v>0</v>
      </c>
      <c r="I44" s="2">
        <v>0</v>
      </c>
      <c r="J44" s="2">
        <v>0.01</v>
      </c>
      <c r="K44" s="2">
        <v>17.48</v>
      </c>
    </row>
    <row r="45" spans="1:11">
      <c r="A45" t="str">
        <f t="shared" si="0"/>
        <v>JLC-C878901</v>
      </c>
      <c r="B45" s="2" t="s">
        <v>115</v>
      </c>
      <c r="C45" s="2" t="s">
        <v>156</v>
      </c>
      <c r="D45" s="2" t="s">
        <v>157</v>
      </c>
      <c r="E45" s="2" t="s">
        <v>158</v>
      </c>
      <c r="F45" s="2" t="s">
        <v>159</v>
      </c>
      <c r="G45" s="2">
        <v>15</v>
      </c>
      <c r="H45" s="2">
        <v>0</v>
      </c>
      <c r="I45" s="2">
        <v>0</v>
      </c>
      <c r="J45" s="2">
        <v>0.18</v>
      </c>
      <c r="K45" s="2">
        <v>2.69</v>
      </c>
    </row>
    <row r="46" spans="1:11">
      <c r="A46" t="str">
        <f t="shared" si="0"/>
        <v>JLC-C881901</v>
      </c>
      <c r="B46" s="2" t="s">
        <v>26</v>
      </c>
      <c r="C46" s="2" t="s">
        <v>160</v>
      </c>
      <c r="D46" s="2" t="s">
        <v>12</v>
      </c>
      <c r="E46" s="2" t="s">
        <v>161</v>
      </c>
      <c r="F46" s="2" t="s">
        <v>162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>
      <c r="A47" t="str">
        <f t="shared" si="0"/>
        <v>JLC-C965799</v>
      </c>
      <c r="B47" s="2" t="s">
        <v>33</v>
      </c>
      <c r="C47" s="2" t="s">
        <v>163</v>
      </c>
      <c r="D47" s="2" t="s">
        <v>12</v>
      </c>
      <c r="E47" s="2" t="s">
        <v>164</v>
      </c>
      <c r="F47" s="2" t="s">
        <v>165</v>
      </c>
      <c r="G47" s="2">
        <v>3160</v>
      </c>
      <c r="H47" s="2">
        <v>0</v>
      </c>
      <c r="I47" s="2">
        <v>0</v>
      </c>
      <c r="J47" s="2">
        <v>0.01</v>
      </c>
      <c r="K47" s="2">
        <v>5.87</v>
      </c>
    </row>
    <row r="48" spans="1:11">
      <c r="A48" t="str">
        <f t="shared" si="0"/>
        <v>JLC-C965800</v>
      </c>
      <c r="B48" s="2" t="s">
        <v>33</v>
      </c>
      <c r="C48" s="2" t="s">
        <v>166</v>
      </c>
      <c r="D48" s="2" t="s">
        <v>12</v>
      </c>
      <c r="E48" s="2" t="s">
        <v>167</v>
      </c>
      <c r="F48" s="2" t="s">
        <v>168</v>
      </c>
      <c r="G48" s="2">
        <v>3618</v>
      </c>
      <c r="H48" s="2">
        <v>0</v>
      </c>
      <c r="I48" s="2">
        <v>0</v>
      </c>
      <c r="J48" s="2">
        <v>0.01</v>
      </c>
      <c r="K48" s="2">
        <v>12.77</v>
      </c>
    </row>
    <row r="49" spans="1:11">
      <c r="A49" t="str">
        <f t="shared" si="0"/>
        <v>JLC-C965803</v>
      </c>
      <c r="B49" s="2" t="s">
        <v>33</v>
      </c>
      <c r="C49" s="2" t="s">
        <v>169</v>
      </c>
      <c r="D49" s="2" t="s">
        <v>12</v>
      </c>
      <c r="E49" s="2" t="s">
        <v>170</v>
      </c>
      <c r="F49" s="2" t="s">
        <v>171</v>
      </c>
      <c r="G49" s="2">
        <v>2390</v>
      </c>
      <c r="H49" s="2">
        <v>0</v>
      </c>
      <c r="I49" s="2">
        <v>0</v>
      </c>
      <c r="J49" s="2">
        <v>0.01</v>
      </c>
      <c r="K49" s="2">
        <v>10.54</v>
      </c>
    </row>
    <row r="50" spans="1:11">
      <c r="A50" t="str">
        <f t="shared" si="0"/>
        <v>JLC-C965804</v>
      </c>
      <c r="B50" s="2" t="s">
        <v>33</v>
      </c>
      <c r="C50" s="2" t="s">
        <v>172</v>
      </c>
      <c r="D50" s="2" t="s">
        <v>12</v>
      </c>
      <c r="E50" s="2" t="s">
        <v>173</v>
      </c>
      <c r="F50" s="2" t="s">
        <v>174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</row>
    <row r="51" spans="1:11">
      <c r="A51" t="str">
        <f t="shared" si="0"/>
        <v>JLC-C965806</v>
      </c>
      <c r="B51" s="2" t="s">
        <v>33</v>
      </c>
      <c r="C51" s="2" t="s">
        <v>175</v>
      </c>
      <c r="D51" s="2" t="s">
        <v>12</v>
      </c>
      <c r="E51" s="2" t="s">
        <v>176</v>
      </c>
      <c r="F51" s="2" t="s">
        <v>177</v>
      </c>
      <c r="G51" s="2">
        <v>4000</v>
      </c>
      <c r="H51" s="2">
        <v>0</v>
      </c>
      <c r="I51" s="2">
        <v>0</v>
      </c>
      <c r="J51" s="2">
        <v>0.01</v>
      </c>
      <c r="K51" s="2">
        <v>16.899999999999999</v>
      </c>
    </row>
    <row r="52" spans="1:11">
      <c r="A52" t="str">
        <f t="shared" si="0"/>
        <v>JLC-C965807</v>
      </c>
      <c r="B52" s="2" t="s">
        <v>33</v>
      </c>
      <c r="C52" s="2" t="s">
        <v>178</v>
      </c>
      <c r="D52" s="2" t="s">
        <v>12</v>
      </c>
      <c r="E52" s="2" t="s">
        <v>179</v>
      </c>
      <c r="F52" s="2" t="s">
        <v>180</v>
      </c>
      <c r="G52" s="2">
        <v>3190</v>
      </c>
      <c r="H52" s="2">
        <v>0</v>
      </c>
      <c r="I52" s="2">
        <v>0</v>
      </c>
      <c r="J52" s="2">
        <v>0.01</v>
      </c>
      <c r="K52" s="2">
        <v>7.27</v>
      </c>
    </row>
    <row r="53" spans="1:11">
      <c r="A53" t="str">
        <f t="shared" si="0"/>
        <v>JLC-C965808</v>
      </c>
      <c r="B53" s="2" t="s">
        <v>33</v>
      </c>
      <c r="C53" s="2" t="s">
        <v>181</v>
      </c>
      <c r="D53" s="2" t="s">
        <v>12</v>
      </c>
      <c r="E53" s="2" t="s">
        <v>182</v>
      </c>
      <c r="F53" s="2" t="s">
        <v>183</v>
      </c>
      <c r="G53" s="2">
        <v>2790</v>
      </c>
      <c r="H53" s="2">
        <v>0</v>
      </c>
      <c r="I53" s="2">
        <v>0</v>
      </c>
      <c r="J53" s="2">
        <v>0.01</v>
      </c>
      <c r="K53" s="2">
        <v>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 Inventory on JLCPCB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 Plocher</cp:lastModifiedBy>
  <dcterms:created xsi:type="dcterms:W3CDTF">2025-12-17T05:50:08Z</dcterms:created>
  <dcterms:modified xsi:type="dcterms:W3CDTF">2026-01-31T02:47:59Z</dcterms:modified>
</cp:coreProperties>
</file>